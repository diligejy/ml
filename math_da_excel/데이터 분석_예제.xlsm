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drawings/drawing3.xml" ContentType="application/vnd.openxmlformats-officedocument.drawing+xml"/>
  <Override PartName="/xl/charts/chart16.xml" ContentType="application/vnd.openxmlformats-officedocument.drawingml.chart+xml"/>
  <Override PartName="/xl/drawings/drawing4.xml" ContentType="application/vnd.openxmlformats-officedocument.drawing+xml"/>
  <Override PartName="/xl/charts/chart17.xml" ContentType="application/vnd.openxmlformats-officedocument.drawingml.chart+xml"/>
  <Override PartName="/xl/drawings/drawing5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saveExternalLinkValues="0" codeName="현재_통합_문서" defaultThemeVersion="124226"/>
  <bookViews>
    <workbookView xWindow="480" yWindow="84" windowWidth="22056" windowHeight="9264" tabRatio="850" firstSheet="13" activeTab="15"/>
  </bookViews>
  <sheets>
    <sheet name="기초통계량" sheetId="3" r:id="rId1"/>
    <sheet name="정규분포와 시그마" sheetId="2" r:id="rId2"/>
    <sheet name="데이터 표준화" sheetId="1" r:id="rId3"/>
    <sheet name="공분산" sheetId="5" r:id="rId4"/>
    <sheet name="상관계수" sheetId="4" r:id="rId5"/>
    <sheet name="행렬" sheetId="16" r:id="rId6"/>
    <sheet name="주성분분석" sheetId="15" r:id="rId7"/>
    <sheet name="MTS" sheetId="8" r:id="rId8"/>
    <sheet name="MTS (상관행렬)" sheetId="23" r:id="rId9"/>
    <sheet name="단순회귀분석" sheetId="10" r:id="rId10"/>
    <sheet name="다중회귀분석" sheetId="11" r:id="rId11"/>
    <sheet name="PCR" sheetId="12" r:id="rId12"/>
    <sheet name="PLS" sheetId="13" r:id="rId13"/>
    <sheet name="마할라노비스거리계산" sheetId="24" r:id="rId14"/>
    <sheet name="보스턴주택가격" sheetId="25" r:id="rId15"/>
    <sheet name="보스턴주택가격_회귀" sheetId="26" r:id="rId16"/>
    <sheet name="보스턴주택가격_PCA" sheetId="27" r:id="rId17"/>
    <sheet name="보스턴주택가격_PCA_회귀" sheetId="28" r:id="rId18"/>
    <sheet name="고유값고유벡터" sheetId="6" r:id="rId19"/>
  </sheets>
  <calcPr calcId="144525"/>
</workbook>
</file>

<file path=xl/calcChain.xml><?xml version="1.0" encoding="utf-8"?>
<calcChain xmlns="http://schemas.openxmlformats.org/spreadsheetml/2006/main">
  <c r="AC50" i="27" l="1"/>
  <c r="AD6" i="27" l="1"/>
  <c r="AE6" i="27"/>
  <c r="AF6" i="27"/>
  <c r="AG6" i="27"/>
  <c r="AH6" i="27"/>
  <c r="AI6" i="27"/>
  <c r="AJ6" i="27"/>
  <c r="AK6" i="27"/>
  <c r="AL6" i="27"/>
  <c r="AM6" i="27"/>
  <c r="AN6" i="27"/>
  <c r="AD7" i="27"/>
  <c r="AE7" i="27"/>
  <c r="AF7" i="27"/>
  <c r="AG7" i="27"/>
  <c r="AH7" i="27"/>
  <c r="AI7" i="27"/>
  <c r="AJ7" i="27"/>
  <c r="AK7" i="27"/>
  <c r="AL7" i="27"/>
  <c r="AM7" i="27"/>
  <c r="AN7" i="27"/>
  <c r="AD8" i="27"/>
  <c r="AE8" i="27"/>
  <c r="AF8" i="27"/>
  <c r="AG8" i="27"/>
  <c r="AH8" i="27"/>
  <c r="AI8" i="27"/>
  <c r="AJ8" i="27"/>
  <c r="AK8" i="27"/>
  <c r="AL8" i="27"/>
  <c r="AM8" i="27"/>
  <c r="AN8" i="27"/>
  <c r="AD9" i="27"/>
  <c r="AE9" i="27"/>
  <c r="AF9" i="27"/>
  <c r="AG9" i="27"/>
  <c r="AH9" i="27"/>
  <c r="AI9" i="27"/>
  <c r="AJ9" i="27"/>
  <c r="AK9" i="27"/>
  <c r="AL9" i="27"/>
  <c r="AM9" i="27"/>
  <c r="AN9" i="27"/>
  <c r="AD10" i="27"/>
  <c r="AE10" i="27"/>
  <c r="AF10" i="27"/>
  <c r="AG10" i="27"/>
  <c r="AH10" i="27"/>
  <c r="AI10" i="27"/>
  <c r="AJ10" i="27"/>
  <c r="AK10" i="27"/>
  <c r="AL10" i="27"/>
  <c r="AM10" i="27"/>
  <c r="AN10" i="27"/>
  <c r="AD11" i="27"/>
  <c r="AE11" i="27"/>
  <c r="AF11" i="27"/>
  <c r="AG11" i="27"/>
  <c r="AH11" i="27"/>
  <c r="AI11" i="27"/>
  <c r="AJ11" i="27"/>
  <c r="AK11" i="27"/>
  <c r="AL11" i="27"/>
  <c r="AM11" i="27"/>
  <c r="AN11" i="27"/>
  <c r="AD12" i="27"/>
  <c r="AE12" i="27"/>
  <c r="AF12" i="27"/>
  <c r="AG12" i="27"/>
  <c r="AH12" i="27"/>
  <c r="AI12" i="27"/>
  <c r="AJ12" i="27"/>
  <c r="AK12" i="27"/>
  <c r="AL12" i="27"/>
  <c r="AM12" i="27"/>
  <c r="AN12" i="27"/>
  <c r="AD13" i="27"/>
  <c r="AE13" i="27"/>
  <c r="AF13" i="27"/>
  <c r="AG13" i="27"/>
  <c r="AH13" i="27"/>
  <c r="AI13" i="27"/>
  <c r="AJ13" i="27"/>
  <c r="AK13" i="27"/>
  <c r="AL13" i="27"/>
  <c r="AM13" i="27"/>
  <c r="AN13" i="27"/>
  <c r="AD14" i="27"/>
  <c r="AE14" i="27"/>
  <c r="AF14" i="27"/>
  <c r="AG14" i="27"/>
  <c r="AH14" i="27"/>
  <c r="AI14" i="27"/>
  <c r="AJ14" i="27"/>
  <c r="AK14" i="27"/>
  <c r="AL14" i="27"/>
  <c r="AM14" i="27"/>
  <c r="AN14" i="27"/>
  <c r="AD15" i="27"/>
  <c r="AE15" i="27"/>
  <c r="AF15" i="27"/>
  <c r="AG15" i="27"/>
  <c r="AH15" i="27"/>
  <c r="AI15" i="27"/>
  <c r="AJ15" i="27"/>
  <c r="AK15" i="27"/>
  <c r="AL15" i="27"/>
  <c r="AM15" i="27"/>
  <c r="AN15" i="27"/>
  <c r="AD16" i="27"/>
  <c r="AE16" i="27"/>
  <c r="AF16" i="27"/>
  <c r="AG16" i="27"/>
  <c r="AH16" i="27"/>
  <c r="AI16" i="27"/>
  <c r="AJ16" i="27"/>
  <c r="AK16" i="27"/>
  <c r="AL16" i="27"/>
  <c r="AM16" i="27"/>
  <c r="AN16" i="27"/>
  <c r="AD17" i="27"/>
  <c r="AE17" i="27"/>
  <c r="AF17" i="27"/>
  <c r="AG17" i="27"/>
  <c r="AH17" i="27"/>
  <c r="AI17" i="27"/>
  <c r="AJ17" i="27"/>
  <c r="AK17" i="27"/>
  <c r="AL17" i="27"/>
  <c r="AM17" i="27"/>
  <c r="AN17" i="27"/>
  <c r="AC17" i="27"/>
  <c r="AC16" i="27"/>
  <c r="AC15" i="27"/>
  <c r="AC14" i="27"/>
  <c r="AC13" i="27"/>
  <c r="AC12" i="27"/>
  <c r="AC11" i="27"/>
  <c r="AC10" i="27"/>
  <c r="AC9" i="27"/>
  <c r="AC8" i="27"/>
  <c r="AC7" i="27"/>
  <c r="AC6" i="27"/>
  <c r="AD22" i="27"/>
  <c r="AE22" i="27"/>
  <c r="AF22" i="27"/>
  <c r="AG22" i="27"/>
  <c r="AH22" i="27"/>
  <c r="AI22" i="27"/>
  <c r="AJ22" i="27"/>
  <c r="AK22" i="27"/>
  <c r="AL22" i="27"/>
  <c r="AM22" i="27"/>
  <c r="AN22" i="27"/>
  <c r="AC22" i="27"/>
  <c r="C1" i="27" l="1"/>
  <c r="D1" i="27"/>
  <c r="E1" i="27"/>
  <c r="F1" i="27"/>
  <c r="G1" i="27"/>
  <c r="H1" i="27"/>
  <c r="I1" i="27"/>
  <c r="J1" i="27"/>
  <c r="K1" i="27"/>
  <c r="L1" i="27"/>
  <c r="M1" i="27"/>
  <c r="C2" i="27"/>
  <c r="P465" i="27" s="1"/>
  <c r="D2" i="27"/>
  <c r="E2" i="27"/>
  <c r="F2" i="27"/>
  <c r="G2" i="27"/>
  <c r="H2" i="27"/>
  <c r="I2" i="27"/>
  <c r="J2" i="27"/>
  <c r="K2" i="27"/>
  <c r="X441" i="27" s="1"/>
  <c r="L2" i="27"/>
  <c r="M2" i="27"/>
  <c r="B2" i="27"/>
  <c r="B1" i="27"/>
  <c r="AC23" i="27"/>
  <c r="T505" i="27" l="1"/>
  <c r="V416" i="27"/>
  <c r="O15" i="27"/>
  <c r="U482" i="27"/>
  <c r="O212" i="27"/>
  <c r="W476" i="27"/>
  <c r="O147" i="27"/>
  <c r="Q341" i="27"/>
  <c r="O62" i="27"/>
  <c r="U393" i="27"/>
  <c r="O468" i="27"/>
  <c r="V502" i="27"/>
  <c r="O404" i="27"/>
  <c r="O340" i="27"/>
  <c r="T453" i="27"/>
  <c r="O276" i="27"/>
  <c r="Z435" i="27"/>
  <c r="Z346" i="27"/>
  <c r="R510" i="27"/>
  <c r="R511" i="27"/>
  <c r="R498" i="27"/>
  <c r="R459" i="27"/>
  <c r="R509" i="27"/>
  <c r="Y446" i="27"/>
  <c r="O460" i="27"/>
  <c r="O396" i="27"/>
  <c r="O332" i="27"/>
  <c r="O268" i="27"/>
  <c r="O204" i="27"/>
  <c r="O136" i="27"/>
  <c r="O51" i="27"/>
  <c r="X457" i="27"/>
  <c r="P481" i="27"/>
  <c r="O452" i="27"/>
  <c r="O388" i="27"/>
  <c r="O324" i="27"/>
  <c r="O260" i="27"/>
  <c r="O196" i="27"/>
  <c r="O126" i="27"/>
  <c r="O40" i="27"/>
  <c r="Y470" i="27"/>
  <c r="W468" i="27"/>
  <c r="O508" i="27"/>
  <c r="O444" i="27"/>
  <c r="O380" i="27"/>
  <c r="O316" i="27"/>
  <c r="O252" i="27"/>
  <c r="O188" i="27"/>
  <c r="O115" i="27"/>
  <c r="O30" i="27"/>
  <c r="Q501" i="27"/>
  <c r="V479" i="27"/>
  <c r="O500" i="27"/>
  <c r="O436" i="27"/>
  <c r="O372" i="27"/>
  <c r="O308" i="27"/>
  <c r="O244" i="27"/>
  <c r="O180" i="27"/>
  <c r="O104" i="27"/>
  <c r="O19" i="27"/>
  <c r="W499" i="27"/>
  <c r="U409" i="27"/>
  <c r="O492" i="27"/>
  <c r="O428" i="27"/>
  <c r="O364" i="27"/>
  <c r="O300" i="27"/>
  <c r="O236" i="27"/>
  <c r="O172" i="27"/>
  <c r="O94" i="27"/>
  <c r="O8" i="27"/>
  <c r="V447" i="27"/>
  <c r="T437" i="27"/>
  <c r="O484" i="27"/>
  <c r="O420" i="27"/>
  <c r="O356" i="27"/>
  <c r="O292" i="27"/>
  <c r="O228" i="27"/>
  <c r="O164" i="27"/>
  <c r="O83" i="27"/>
  <c r="T496" i="27"/>
  <c r="S423" i="27"/>
  <c r="O476" i="27"/>
  <c r="O412" i="27"/>
  <c r="O348" i="27"/>
  <c r="O284" i="27"/>
  <c r="O220" i="27"/>
  <c r="O156" i="27"/>
  <c r="O72" i="27"/>
  <c r="Q494" i="27"/>
  <c r="Q430" i="27"/>
  <c r="S508" i="27"/>
  <c r="S506" i="27"/>
  <c r="P504" i="27"/>
  <c r="S488" i="27"/>
  <c r="Z8" i="27"/>
  <c r="Z16" i="27"/>
  <c r="Z24" i="27"/>
  <c r="Z32" i="27"/>
  <c r="Z40" i="27"/>
  <c r="Z48" i="27"/>
  <c r="Z56" i="27"/>
  <c r="Z11" i="27"/>
  <c r="Z19" i="27"/>
  <c r="Z27" i="27"/>
  <c r="Z35" i="27"/>
  <c r="Z43" i="27"/>
  <c r="Z51" i="27"/>
  <c r="Z59" i="27"/>
  <c r="Z6" i="27"/>
  <c r="Z14" i="27"/>
  <c r="Z22" i="27"/>
  <c r="Z30" i="27"/>
  <c r="Z38" i="27"/>
  <c r="Z46" i="27"/>
  <c r="Z54" i="27"/>
  <c r="Z62" i="27"/>
  <c r="Z9" i="27"/>
  <c r="Z17" i="27"/>
  <c r="Z25" i="27"/>
  <c r="Z33" i="27"/>
  <c r="Z41" i="27"/>
  <c r="Z49" i="27"/>
  <c r="Z57" i="27"/>
  <c r="Z7" i="27"/>
  <c r="Z15" i="27"/>
  <c r="Z23" i="27"/>
  <c r="Z31" i="27"/>
  <c r="Z39" i="27"/>
  <c r="Z47" i="27"/>
  <c r="Z55" i="27"/>
  <c r="Z63" i="27"/>
  <c r="Z10" i="27"/>
  <c r="Z18" i="27"/>
  <c r="Z26" i="27"/>
  <c r="Z34" i="27"/>
  <c r="Z42" i="27"/>
  <c r="Z50" i="27"/>
  <c r="Z58" i="27"/>
  <c r="Z21" i="27"/>
  <c r="Z53" i="27"/>
  <c r="Z64" i="27"/>
  <c r="Z65" i="27"/>
  <c r="Z73" i="27"/>
  <c r="Z81" i="27"/>
  <c r="Z89" i="27"/>
  <c r="Z97" i="27"/>
  <c r="Z36" i="27"/>
  <c r="Z68" i="27"/>
  <c r="Z76" i="27"/>
  <c r="Z84" i="27"/>
  <c r="Z92" i="27"/>
  <c r="Z100" i="27"/>
  <c r="Z108" i="27"/>
  <c r="Z13" i="27"/>
  <c r="Z45" i="27"/>
  <c r="Z71" i="27"/>
  <c r="Z79" i="27"/>
  <c r="Z87" i="27"/>
  <c r="Z95" i="27"/>
  <c r="Z103" i="27"/>
  <c r="Z28" i="27"/>
  <c r="Z60" i="27"/>
  <c r="Z66" i="27"/>
  <c r="Z74" i="27"/>
  <c r="Z82" i="27"/>
  <c r="Z90" i="27"/>
  <c r="Z98" i="27"/>
  <c r="Z106" i="27"/>
  <c r="Z20" i="27"/>
  <c r="Z52" i="27"/>
  <c r="Z72" i="27"/>
  <c r="Z80" i="27"/>
  <c r="Z88" i="27"/>
  <c r="Z96" i="27"/>
  <c r="Z104" i="27"/>
  <c r="Z29" i="27"/>
  <c r="Z61" i="27"/>
  <c r="Z67" i="27"/>
  <c r="Z75" i="27"/>
  <c r="Z83" i="27"/>
  <c r="Z91" i="27"/>
  <c r="Z99" i="27"/>
  <c r="Z107" i="27"/>
  <c r="Z12" i="27"/>
  <c r="Z44" i="27"/>
  <c r="Z77" i="27"/>
  <c r="Z102" i="27"/>
  <c r="Z112" i="27"/>
  <c r="Z115" i="27"/>
  <c r="Z123" i="27"/>
  <c r="Z131" i="27"/>
  <c r="Z139" i="27"/>
  <c r="Z147" i="27"/>
  <c r="Z155" i="27"/>
  <c r="Z37" i="27"/>
  <c r="Z69" i="27"/>
  <c r="Z113" i="27"/>
  <c r="Z121" i="27"/>
  <c r="Z129" i="27"/>
  <c r="Z137" i="27"/>
  <c r="Z145" i="27"/>
  <c r="Z153" i="27"/>
  <c r="Z93" i="27"/>
  <c r="Z101" i="27"/>
  <c r="Z119" i="27"/>
  <c r="Z127" i="27"/>
  <c r="Z135" i="27"/>
  <c r="Z128" i="27"/>
  <c r="Z158" i="27"/>
  <c r="Z166" i="27"/>
  <c r="Z174" i="27"/>
  <c r="Z120" i="27"/>
  <c r="Z134" i="27"/>
  <c r="Z161" i="27"/>
  <c r="Z109" i="27"/>
  <c r="Z126" i="27"/>
  <c r="Z133" i="27"/>
  <c r="Z156" i="27"/>
  <c r="Z70" i="27"/>
  <c r="Z78" i="27"/>
  <c r="Z85" i="27"/>
  <c r="Z94" i="27"/>
  <c r="Z118" i="27"/>
  <c r="Z125" i="27"/>
  <c r="Z132" i="27"/>
  <c r="Z140" i="27"/>
  <c r="Z159" i="27"/>
  <c r="Z167" i="27"/>
  <c r="Z175" i="27"/>
  <c r="Z105" i="27"/>
  <c r="Z117" i="27"/>
  <c r="Z124" i="27"/>
  <c r="Z138" i="27"/>
  <c r="Z141" i="27"/>
  <c r="Z142" i="27"/>
  <c r="Z143" i="27"/>
  <c r="Z86" i="27"/>
  <c r="Z111" i="27"/>
  <c r="Z114" i="27"/>
  <c r="Z130" i="27"/>
  <c r="Z176" i="27"/>
  <c r="Z180" i="27"/>
  <c r="Z188" i="27"/>
  <c r="Z196" i="27"/>
  <c r="Z204" i="27"/>
  <c r="Z136" i="27"/>
  <c r="Z152" i="27"/>
  <c r="Z157" i="27"/>
  <c r="Z160" i="27"/>
  <c r="Z177" i="27"/>
  <c r="Z183" i="27"/>
  <c r="Z191" i="27"/>
  <c r="Z199" i="27"/>
  <c r="Z150" i="27"/>
  <c r="Z186" i="27"/>
  <c r="Z194" i="27"/>
  <c r="Z202" i="27"/>
  <c r="Z210" i="27"/>
  <c r="Z148" i="27"/>
  <c r="Z162" i="27"/>
  <c r="Z178" i="27"/>
  <c r="Z181" i="27"/>
  <c r="Z189" i="27"/>
  <c r="Z197" i="27"/>
  <c r="Z116" i="27"/>
  <c r="Z122" i="27"/>
  <c r="Z163" i="27"/>
  <c r="Z164" i="27"/>
  <c r="Z165" i="27"/>
  <c r="Z184" i="27"/>
  <c r="Z192" i="27"/>
  <c r="Z200" i="27"/>
  <c r="Z208" i="27"/>
  <c r="Z171" i="27"/>
  <c r="Z172" i="27"/>
  <c r="Z173" i="27"/>
  <c r="Z182" i="27"/>
  <c r="Z190" i="27"/>
  <c r="Z198" i="27"/>
  <c r="Z206" i="27"/>
  <c r="Z151" i="27"/>
  <c r="Z168" i="27"/>
  <c r="Z179" i="27"/>
  <c r="Z218" i="27"/>
  <c r="Z226" i="27"/>
  <c r="Z234" i="27"/>
  <c r="Z242" i="27"/>
  <c r="Z185" i="27"/>
  <c r="Z205" i="27"/>
  <c r="Z213" i="27"/>
  <c r="Z221" i="27"/>
  <c r="Z229" i="27"/>
  <c r="Z237" i="27"/>
  <c r="Z245" i="27"/>
  <c r="Z169" i="27"/>
  <c r="Z216" i="27"/>
  <c r="Z224" i="27"/>
  <c r="Z232" i="27"/>
  <c r="Z240" i="27"/>
  <c r="Z144" i="27"/>
  <c r="Z154" i="27"/>
  <c r="Z211" i="27"/>
  <c r="Z219" i="27"/>
  <c r="Z227" i="27"/>
  <c r="Z235" i="27"/>
  <c r="Z243" i="27"/>
  <c r="Z251" i="27"/>
  <c r="Z146" i="27"/>
  <c r="Z170" i="27"/>
  <c r="Z195" i="27"/>
  <c r="Z207" i="27"/>
  <c r="Z214" i="27"/>
  <c r="Z222" i="27"/>
  <c r="Z230" i="27"/>
  <c r="Z238" i="27"/>
  <c r="Z246" i="27"/>
  <c r="Z187" i="27"/>
  <c r="Z203" i="27"/>
  <c r="Z212" i="27"/>
  <c r="Z220" i="27"/>
  <c r="Z228" i="27"/>
  <c r="Z236" i="27"/>
  <c r="Z149" i="27"/>
  <c r="Z193" i="27"/>
  <c r="Z209" i="27"/>
  <c r="Z215" i="27"/>
  <c r="Z223" i="27"/>
  <c r="Z231" i="27"/>
  <c r="Z239" i="27"/>
  <c r="Z247" i="27"/>
  <c r="Z255" i="27"/>
  <c r="Z110" i="27"/>
  <c r="Z217" i="27"/>
  <c r="Z249" i="27"/>
  <c r="Z256" i="27"/>
  <c r="Z264" i="27"/>
  <c r="Z272" i="27"/>
  <c r="Z280" i="27"/>
  <c r="Z288" i="27"/>
  <c r="Z296" i="27"/>
  <c r="Z304" i="27"/>
  <c r="Z201" i="27"/>
  <c r="Z241" i="27"/>
  <c r="Z259" i="27"/>
  <c r="Z267" i="27"/>
  <c r="Z275" i="27"/>
  <c r="Z283" i="27"/>
  <c r="Z291" i="27"/>
  <c r="Z299" i="27"/>
  <c r="Z262" i="27"/>
  <c r="Z270" i="27"/>
  <c r="Z278" i="27"/>
  <c r="Z286" i="27"/>
  <c r="Z294" i="27"/>
  <c r="Z302" i="27"/>
  <c r="Z310" i="27"/>
  <c r="Z225" i="27"/>
  <c r="Z257" i="27"/>
  <c r="Z265" i="27"/>
  <c r="Z273" i="27"/>
  <c r="Z281" i="27"/>
  <c r="Z289" i="27"/>
  <c r="Z297" i="27"/>
  <c r="Z305" i="27"/>
  <c r="Z248" i="27"/>
  <c r="Z260" i="27"/>
  <c r="Z268" i="27"/>
  <c r="Z276" i="27"/>
  <c r="Z284" i="27"/>
  <c r="Z292" i="27"/>
  <c r="Z300" i="27"/>
  <c r="Z233" i="27"/>
  <c r="Z252" i="27"/>
  <c r="Z253" i="27"/>
  <c r="Z254" i="27"/>
  <c r="Z258" i="27"/>
  <c r="Z266" i="27"/>
  <c r="Z274" i="27"/>
  <c r="Z282" i="27"/>
  <c r="Z290" i="27"/>
  <c r="Z298" i="27"/>
  <c r="Z306" i="27"/>
  <c r="Z244" i="27"/>
  <c r="Z261" i="27"/>
  <c r="Z269" i="27"/>
  <c r="Z277" i="27"/>
  <c r="Z285" i="27"/>
  <c r="Z293" i="27"/>
  <c r="Z301" i="27"/>
  <c r="Z309" i="27"/>
  <c r="Z315" i="27"/>
  <c r="Z323" i="27"/>
  <c r="Z331" i="27"/>
  <c r="Z339" i="27"/>
  <c r="Z347" i="27"/>
  <c r="Z355" i="27"/>
  <c r="Z363" i="27"/>
  <c r="Z371" i="27"/>
  <c r="Z379" i="27"/>
  <c r="Z387" i="27"/>
  <c r="Z395" i="27"/>
  <c r="Z403" i="27"/>
  <c r="Z279" i="27"/>
  <c r="Z307" i="27"/>
  <c r="Z318" i="27"/>
  <c r="Z326" i="27"/>
  <c r="Z334" i="27"/>
  <c r="Z342" i="27"/>
  <c r="Z350" i="27"/>
  <c r="Z358" i="27"/>
  <c r="Z366" i="27"/>
  <c r="Z374" i="27"/>
  <c r="Z382" i="27"/>
  <c r="Z390" i="27"/>
  <c r="Z398" i="27"/>
  <c r="Z406" i="27"/>
  <c r="Z303" i="27"/>
  <c r="Z313" i="27"/>
  <c r="Z321" i="27"/>
  <c r="Z329" i="27"/>
  <c r="Z337" i="27"/>
  <c r="Z345" i="27"/>
  <c r="Z353" i="27"/>
  <c r="Z361" i="27"/>
  <c r="Z369" i="27"/>
  <c r="Z377" i="27"/>
  <c r="Z385" i="27"/>
  <c r="Z393" i="27"/>
  <c r="Z401" i="27"/>
  <c r="Z409" i="27"/>
  <c r="Z417" i="27"/>
  <c r="Z250" i="27"/>
  <c r="Z263" i="27"/>
  <c r="Z316" i="27"/>
  <c r="Z324" i="27"/>
  <c r="Z332" i="27"/>
  <c r="Z340" i="27"/>
  <c r="Z348" i="27"/>
  <c r="Z356" i="27"/>
  <c r="Z364" i="27"/>
  <c r="Z372" i="27"/>
  <c r="Z380" i="27"/>
  <c r="Z388" i="27"/>
  <c r="Z396" i="27"/>
  <c r="Z404" i="27"/>
  <c r="Z287" i="27"/>
  <c r="Z311" i="27"/>
  <c r="Z319" i="27"/>
  <c r="Z327" i="27"/>
  <c r="Z335" i="27"/>
  <c r="Z343" i="27"/>
  <c r="Z351" i="27"/>
  <c r="Z359" i="27"/>
  <c r="Z367" i="27"/>
  <c r="Z375" i="27"/>
  <c r="Z383" i="27"/>
  <c r="Z391" i="27"/>
  <c r="Z399" i="27"/>
  <c r="Z407" i="27"/>
  <c r="Z271" i="27"/>
  <c r="Z308" i="27"/>
  <c r="Z317" i="27"/>
  <c r="Z325" i="27"/>
  <c r="Z333" i="27"/>
  <c r="Z341" i="27"/>
  <c r="Z349" i="27"/>
  <c r="Z357" i="27"/>
  <c r="Z365" i="27"/>
  <c r="Z373" i="27"/>
  <c r="Z381" i="27"/>
  <c r="Z389" i="27"/>
  <c r="Z397" i="27"/>
  <c r="Z405" i="27"/>
  <c r="Z295" i="27"/>
  <c r="Z312" i="27"/>
  <c r="Z320" i="27"/>
  <c r="Z328" i="27"/>
  <c r="Z336" i="27"/>
  <c r="Z344" i="27"/>
  <c r="Z352" i="27"/>
  <c r="Z360" i="27"/>
  <c r="Z368" i="27"/>
  <c r="Z376" i="27"/>
  <c r="Z384" i="27"/>
  <c r="Z392" i="27"/>
  <c r="Z400" i="27"/>
  <c r="Z408" i="27"/>
  <c r="Z416" i="27"/>
  <c r="Z370" i="27"/>
  <c r="Z411" i="27"/>
  <c r="Z430" i="27"/>
  <c r="Z438" i="27"/>
  <c r="Z446" i="27"/>
  <c r="Z454" i="27"/>
  <c r="Z462" i="27"/>
  <c r="Z470" i="27"/>
  <c r="Z478" i="27"/>
  <c r="Z486" i="27"/>
  <c r="Z330" i="27"/>
  <c r="Z394" i="27"/>
  <c r="Z425" i="27"/>
  <c r="Z433" i="27"/>
  <c r="Z441" i="27"/>
  <c r="Z449" i="27"/>
  <c r="Z457" i="27"/>
  <c r="Z465" i="27"/>
  <c r="Z473" i="27"/>
  <c r="Z481" i="27"/>
  <c r="Z489" i="27"/>
  <c r="Z497" i="27"/>
  <c r="Z354" i="27"/>
  <c r="Z413" i="27"/>
  <c r="Z414" i="27"/>
  <c r="Z415" i="27"/>
  <c r="Z428" i="27"/>
  <c r="Z436" i="27"/>
  <c r="Z444" i="27"/>
  <c r="Z452" i="27"/>
  <c r="Z460" i="27"/>
  <c r="Z468" i="27"/>
  <c r="Z476" i="27"/>
  <c r="Z484" i="27"/>
  <c r="Z492" i="27"/>
  <c r="Z500" i="27"/>
  <c r="Z508" i="27"/>
  <c r="Z314" i="27"/>
  <c r="Z378" i="27"/>
  <c r="Z410" i="27"/>
  <c r="Z418" i="27"/>
  <c r="Z419" i="27"/>
  <c r="Z420" i="27"/>
  <c r="Z431" i="27"/>
  <c r="Z439" i="27"/>
  <c r="Z447" i="27"/>
  <c r="Z455" i="27"/>
  <c r="Z463" i="27"/>
  <c r="Z471" i="27"/>
  <c r="Z479" i="27"/>
  <c r="Z487" i="27"/>
  <c r="Z495" i="27"/>
  <c r="Z503" i="27"/>
  <c r="Z338" i="27"/>
  <c r="Z402" i="27"/>
  <c r="Z412" i="27"/>
  <c r="Z421" i="27"/>
  <c r="Z422" i="27"/>
  <c r="Z423" i="27"/>
  <c r="Z426" i="27"/>
  <c r="Z434" i="27"/>
  <c r="Z442" i="27"/>
  <c r="Z450" i="27"/>
  <c r="Z458" i="27"/>
  <c r="Z466" i="27"/>
  <c r="Z474" i="27"/>
  <c r="Z482" i="27"/>
  <c r="Z490" i="27"/>
  <c r="Z362" i="27"/>
  <c r="Z429" i="27"/>
  <c r="Z437" i="27"/>
  <c r="Z445" i="27"/>
  <c r="Z453" i="27"/>
  <c r="Z461" i="27"/>
  <c r="Z469" i="27"/>
  <c r="Z477" i="27"/>
  <c r="Z485" i="27"/>
  <c r="Z493" i="27"/>
  <c r="Z322" i="27"/>
  <c r="Z386" i="27"/>
  <c r="Z424" i="27"/>
  <c r="Z432" i="27"/>
  <c r="Z440" i="27"/>
  <c r="Z448" i="27"/>
  <c r="Z456" i="27"/>
  <c r="Z464" i="27"/>
  <c r="Z472" i="27"/>
  <c r="Z480" i="27"/>
  <c r="Z488" i="27"/>
  <c r="Z496" i="27"/>
  <c r="Z504" i="27"/>
  <c r="R8" i="27"/>
  <c r="R16" i="27"/>
  <c r="R24" i="27"/>
  <c r="R32" i="27"/>
  <c r="R40" i="27"/>
  <c r="R48" i="27"/>
  <c r="R56" i="27"/>
  <c r="R11" i="27"/>
  <c r="R19" i="27"/>
  <c r="R27" i="27"/>
  <c r="R35" i="27"/>
  <c r="R43" i="27"/>
  <c r="R51" i="27"/>
  <c r="R59" i="27"/>
  <c r="R6" i="27"/>
  <c r="R14" i="27"/>
  <c r="R22" i="27"/>
  <c r="R30" i="27"/>
  <c r="R38" i="27"/>
  <c r="R46" i="27"/>
  <c r="R54" i="27"/>
  <c r="R62" i="27"/>
  <c r="R9" i="27"/>
  <c r="R17" i="27"/>
  <c r="R25" i="27"/>
  <c r="R33" i="27"/>
  <c r="R41" i="27"/>
  <c r="R49" i="27"/>
  <c r="R57" i="27"/>
  <c r="R7" i="27"/>
  <c r="R15" i="27"/>
  <c r="R23" i="27"/>
  <c r="R31" i="27"/>
  <c r="R39" i="27"/>
  <c r="R47" i="27"/>
  <c r="R55" i="27"/>
  <c r="R63" i="27"/>
  <c r="R10" i="27"/>
  <c r="R18" i="27"/>
  <c r="R26" i="27"/>
  <c r="R34" i="27"/>
  <c r="R42" i="27"/>
  <c r="R50" i="27"/>
  <c r="R58" i="27"/>
  <c r="R13" i="27"/>
  <c r="R45" i="27"/>
  <c r="R73" i="27"/>
  <c r="R81" i="27"/>
  <c r="R89" i="27"/>
  <c r="R97" i="27"/>
  <c r="R28" i="27"/>
  <c r="R60" i="27"/>
  <c r="R68" i="27"/>
  <c r="R76" i="27"/>
  <c r="R84" i="27"/>
  <c r="R92" i="27"/>
  <c r="R100" i="27"/>
  <c r="R108" i="27"/>
  <c r="R37" i="27"/>
  <c r="R65" i="27"/>
  <c r="R71" i="27"/>
  <c r="R79" i="27"/>
  <c r="R87" i="27"/>
  <c r="R95" i="27"/>
  <c r="R103" i="27"/>
  <c r="R20" i="27"/>
  <c r="R52" i="27"/>
  <c r="R66" i="27"/>
  <c r="R74" i="27"/>
  <c r="R82" i="27"/>
  <c r="R90" i="27"/>
  <c r="R98" i="27"/>
  <c r="R106" i="27"/>
  <c r="R29" i="27"/>
  <c r="R12" i="27"/>
  <c r="R44" i="27"/>
  <c r="R64" i="27"/>
  <c r="R72" i="27"/>
  <c r="R80" i="27"/>
  <c r="R88" i="27"/>
  <c r="R96" i="27"/>
  <c r="R104" i="27"/>
  <c r="R21" i="27"/>
  <c r="R53" i="27"/>
  <c r="R67" i="27"/>
  <c r="R75" i="27"/>
  <c r="R83" i="27"/>
  <c r="R91" i="27"/>
  <c r="R99" i="27"/>
  <c r="R107" i="27"/>
  <c r="R77" i="27"/>
  <c r="R69" i="27"/>
  <c r="R110" i="27"/>
  <c r="R115" i="27"/>
  <c r="R123" i="27"/>
  <c r="R131" i="27"/>
  <c r="R139" i="27"/>
  <c r="R147" i="27"/>
  <c r="R155" i="27"/>
  <c r="R36" i="27"/>
  <c r="R61" i="27"/>
  <c r="R93" i="27"/>
  <c r="R113" i="27"/>
  <c r="R121" i="27"/>
  <c r="R129" i="27"/>
  <c r="R137" i="27"/>
  <c r="R145" i="27"/>
  <c r="R153" i="27"/>
  <c r="R85" i="27"/>
  <c r="R119" i="27"/>
  <c r="R127" i="27"/>
  <c r="R135" i="27"/>
  <c r="R102" i="27"/>
  <c r="R116" i="27"/>
  <c r="R130" i="27"/>
  <c r="R149" i="27"/>
  <c r="R150" i="27"/>
  <c r="R151" i="27"/>
  <c r="R158" i="27"/>
  <c r="R166" i="27"/>
  <c r="R174" i="27"/>
  <c r="R94" i="27"/>
  <c r="R105" i="27"/>
  <c r="R111" i="27"/>
  <c r="R122" i="27"/>
  <c r="R152" i="27"/>
  <c r="R154" i="27"/>
  <c r="R161" i="27"/>
  <c r="R70" i="27"/>
  <c r="R78" i="27"/>
  <c r="R114" i="27"/>
  <c r="R136" i="27"/>
  <c r="R156" i="27"/>
  <c r="R128" i="27"/>
  <c r="R159" i="27"/>
  <c r="R167" i="27"/>
  <c r="R175" i="27"/>
  <c r="R86" i="27"/>
  <c r="R120" i="27"/>
  <c r="R134" i="27"/>
  <c r="R118" i="27"/>
  <c r="R124" i="27"/>
  <c r="R140" i="27"/>
  <c r="R171" i="27"/>
  <c r="R172" i="27"/>
  <c r="R173" i="27"/>
  <c r="R180" i="27"/>
  <c r="R188" i="27"/>
  <c r="R196" i="27"/>
  <c r="R204" i="27"/>
  <c r="R112" i="27"/>
  <c r="R176" i="27"/>
  <c r="R183" i="27"/>
  <c r="R191" i="27"/>
  <c r="R199" i="27"/>
  <c r="R125" i="27"/>
  <c r="R143" i="27"/>
  <c r="R148" i="27"/>
  <c r="R177" i="27"/>
  <c r="R186" i="27"/>
  <c r="R194" i="27"/>
  <c r="R202" i="27"/>
  <c r="R210" i="27"/>
  <c r="R181" i="27"/>
  <c r="R189" i="27"/>
  <c r="R197" i="27"/>
  <c r="R101" i="27"/>
  <c r="R109" i="27"/>
  <c r="R126" i="27"/>
  <c r="R132" i="27"/>
  <c r="R138" i="27"/>
  <c r="R141" i="27"/>
  <c r="R146" i="27"/>
  <c r="R178" i="27"/>
  <c r="R184" i="27"/>
  <c r="R192" i="27"/>
  <c r="R200" i="27"/>
  <c r="R208" i="27"/>
  <c r="R117" i="27"/>
  <c r="R133" i="27"/>
  <c r="R144" i="27"/>
  <c r="R157" i="27"/>
  <c r="R163" i="27"/>
  <c r="R164" i="27"/>
  <c r="R165" i="27"/>
  <c r="R179" i="27"/>
  <c r="R182" i="27"/>
  <c r="R190" i="27"/>
  <c r="R198" i="27"/>
  <c r="R206" i="27"/>
  <c r="R160" i="27"/>
  <c r="R207" i="27"/>
  <c r="R218" i="27"/>
  <c r="R226" i="27"/>
  <c r="R234" i="27"/>
  <c r="R242" i="27"/>
  <c r="R250" i="27"/>
  <c r="R142" i="27"/>
  <c r="R169" i="27"/>
  <c r="R213" i="27"/>
  <c r="R221" i="27"/>
  <c r="R229" i="27"/>
  <c r="R237" i="27"/>
  <c r="R245" i="27"/>
  <c r="R195" i="27"/>
  <c r="R203" i="27"/>
  <c r="R216" i="27"/>
  <c r="R224" i="27"/>
  <c r="R232" i="27"/>
  <c r="R240" i="27"/>
  <c r="R162" i="27"/>
  <c r="R170" i="27"/>
  <c r="R201" i="27"/>
  <c r="R209" i="27"/>
  <c r="R219" i="27"/>
  <c r="R227" i="27"/>
  <c r="R235" i="27"/>
  <c r="R243" i="27"/>
  <c r="R251" i="27"/>
  <c r="R187" i="27"/>
  <c r="R214" i="27"/>
  <c r="R222" i="27"/>
  <c r="R230" i="27"/>
  <c r="R238" i="27"/>
  <c r="R246" i="27"/>
  <c r="R211" i="27"/>
  <c r="R212" i="27"/>
  <c r="R220" i="27"/>
  <c r="R228" i="27"/>
  <c r="R236" i="27"/>
  <c r="R168" i="27"/>
  <c r="R185" i="27"/>
  <c r="R215" i="27"/>
  <c r="R223" i="27"/>
  <c r="R231" i="27"/>
  <c r="R239" i="27"/>
  <c r="R247" i="27"/>
  <c r="R255" i="27"/>
  <c r="R241" i="27"/>
  <c r="R252" i="27"/>
  <c r="R253" i="27"/>
  <c r="R254" i="27"/>
  <c r="R264" i="27"/>
  <c r="R272" i="27"/>
  <c r="R280" i="27"/>
  <c r="R288" i="27"/>
  <c r="R296" i="27"/>
  <c r="R304" i="27"/>
  <c r="R248" i="27"/>
  <c r="R256" i="27"/>
  <c r="R259" i="27"/>
  <c r="R267" i="27"/>
  <c r="R275" i="27"/>
  <c r="R283" i="27"/>
  <c r="R291" i="27"/>
  <c r="R299" i="27"/>
  <c r="R225" i="27"/>
  <c r="R262" i="27"/>
  <c r="R270" i="27"/>
  <c r="R278" i="27"/>
  <c r="R286" i="27"/>
  <c r="R294" i="27"/>
  <c r="R302" i="27"/>
  <c r="R310" i="27"/>
  <c r="R205" i="27"/>
  <c r="R257" i="27"/>
  <c r="R265" i="27"/>
  <c r="R273" i="27"/>
  <c r="R281" i="27"/>
  <c r="R289" i="27"/>
  <c r="R297" i="27"/>
  <c r="R305" i="27"/>
  <c r="R260" i="27"/>
  <c r="R268" i="27"/>
  <c r="R276" i="27"/>
  <c r="R284" i="27"/>
  <c r="R292" i="27"/>
  <c r="R300" i="27"/>
  <c r="R193" i="27"/>
  <c r="R258" i="27"/>
  <c r="R266" i="27"/>
  <c r="R274" i="27"/>
  <c r="R282" i="27"/>
  <c r="R290" i="27"/>
  <c r="R298" i="27"/>
  <c r="R306" i="27"/>
  <c r="R217" i="27"/>
  <c r="R261" i="27"/>
  <c r="R269" i="27"/>
  <c r="R277" i="27"/>
  <c r="R285" i="27"/>
  <c r="R293" i="27"/>
  <c r="R301" i="27"/>
  <c r="R309" i="27"/>
  <c r="R244" i="27"/>
  <c r="R279" i="27"/>
  <c r="R315" i="27"/>
  <c r="R323" i="27"/>
  <c r="R331" i="27"/>
  <c r="R339" i="27"/>
  <c r="R347" i="27"/>
  <c r="R355" i="27"/>
  <c r="R363" i="27"/>
  <c r="R371" i="27"/>
  <c r="R379" i="27"/>
  <c r="R387" i="27"/>
  <c r="R395" i="27"/>
  <c r="R403" i="27"/>
  <c r="R303" i="27"/>
  <c r="R318" i="27"/>
  <c r="R326" i="27"/>
  <c r="R334" i="27"/>
  <c r="R342" i="27"/>
  <c r="R350" i="27"/>
  <c r="R358" i="27"/>
  <c r="R366" i="27"/>
  <c r="R374" i="27"/>
  <c r="R382" i="27"/>
  <c r="R390" i="27"/>
  <c r="R398" i="27"/>
  <c r="R406" i="27"/>
  <c r="R249" i="27"/>
  <c r="R263" i="27"/>
  <c r="R308" i="27"/>
  <c r="R313" i="27"/>
  <c r="R321" i="27"/>
  <c r="R329" i="27"/>
  <c r="R337" i="27"/>
  <c r="R345" i="27"/>
  <c r="R353" i="27"/>
  <c r="R361" i="27"/>
  <c r="R369" i="27"/>
  <c r="R377" i="27"/>
  <c r="R385" i="27"/>
  <c r="R393" i="27"/>
  <c r="R401" i="27"/>
  <c r="R409" i="27"/>
  <c r="R417" i="27"/>
  <c r="R287" i="27"/>
  <c r="R316" i="27"/>
  <c r="R324" i="27"/>
  <c r="R332" i="27"/>
  <c r="R340" i="27"/>
  <c r="R348" i="27"/>
  <c r="R356" i="27"/>
  <c r="R364" i="27"/>
  <c r="R372" i="27"/>
  <c r="R380" i="27"/>
  <c r="R388" i="27"/>
  <c r="R396" i="27"/>
  <c r="R404" i="27"/>
  <c r="R412" i="27"/>
  <c r="R311" i="27"/>
  <c r="R319" i="27"/>
  <c r="R327" i="27"/>
  <c r="R335" i="27"/>
  <c r="R343" i="27"/>
  <c r="R351" i="27"/>
  <c r="R359" i="27"/>
  <c r="R367" i="27"/>
  <c r="R375" i="27"/>
  <c r="R383" i="27"/>
  <c r="R391" i="27"/>
  <c r="R399" i="27"/>
  <c r="R407" i="27"/>
  <c r="R233" i="27"/>
  <c r="R295" i="27"/>
  <c r="R317" i="27"/>
  <c r="R325" i="27"/>
  <c r="R333" i="27"/>
  <c r="R341" i="27"/>
  <c r="R349" i="27"/>
  <c r="R357" i="27"/>
  <c r="R365" i="27"/>
  <c r="R373" i="27"/>
  <c r="R381" i="27"/>
  <c r="R389" i="27"/>
  <c r="R397" i="27"/>
  <c r="R405" i="27"/>
  <c r="R312" i="27"/>
  <c r="R320" i="27"/>
  <c r="R328" i="27"/>
  <c r="R336" i="27"/>
  <c r="R344" i="27"/>
  <c r="R352" i="27"/>
  <c r="R360" i="27"/>
  <c r="R368" i="27"/>
  <c r="R376" i="27"/>
  <c r="R384" i="27"/>
  <c r="R392" i="27"/>
  <c r="R400" i="27"/>
  <c r="R408" i="27"/>
  <c r="R416" i="27"/>
  <c r="R424" i="27"/>
  <c r="R330" i="27"/>
  <c r="R394" i="27"/>
  <c r="R430" i="27"/>
  <c r="R438" i="27"/>
  <c r="R446" i="27"/>
  <c r="R454" i="27"/>
  <c r="R462" i="27"/>
  <c r="R470" i="27"/>
  <c r="R478" i="27"/>
  <c r="R486" i="27"/>
  <c r="R494" i="27"/>
  <c r="R354" i="27"/>
  <c r="R410" i="27"/>
  <c r="R425" i="27"/>
  <c r="R433" i="27"/>
  <c r="R441" i="27"/>
  <c r="R449" i="27"/>
  <c r="R457" i="27"/>
  <c r="R465" i="27"/>
  <c r="R473" i="27"/>
  <c r="R481" i="27"/>
  <c r="R489" i="27"/>
  <c r="R497" i="27"/>
  <c r="R505" i="27"/>
  <c r="R314" i="27"/>
  <c r="R378" i="27"/>
  <c r="R428" i="27"/>
  <c r="R436" i="27"/>
  <c r="R444" i="27"/>
  <c r="R452" i="27"/>
  <c r="R460" i="27"/>
  <c r="R468" i="27"/>
  <c r="R476" i="27"/>
  <c r="R484" i="27"/>
  <c r="R492" i="27"/>
  <c r="R500" i="27"/>
  <c r="R508" i="27"/>
  <c r="R307" i="27"/>
  <c r="R338" i="27"/>
  <c r="R402" i="27"/>
  <c r="R431" i="27"/>
  <c r="R439" i="27"/>
  <c r="R447" i="27"/>
  <c r="R455" i="27"/>
  <c r="R463" i="27"/>
  <c r="R471" i="27"/>
  <c r="R479" i="27"/>
  <c r="R487" i="27"/>
  <c r="R495" i="27"/>
  <c r="R503" i="27"/>
  <c r="R271" i="27"/>
  <c r="R362" i="27"/>
  <c r="R414" i="27"/>
  <c r="R415" i="27"/>
  <c r="R426" i="27"/>
  <c r="R434" i="27"/>
  <c r="R442" i="27"/>
  <c r="R450" i="27"/>
  <c r="R458" i="27"/>
  <c r="R466" i="27"/>
  <c r="R474" i="27"/>
  <c r="R482" i="27"/>
  <c r="R490" i="27"/>
  <c r="R322" i="27"/>
  <c r="R386" i="27"/>
  <c r="R411" i="27"/>
  <c r="R418" i="27"/>
  <c r="R419" i="27"/>
  <c r="R420" i="27"/>
  <c r="R429" i="27"/>
  <c r="R437" i="27"/>
  <c r="R445" i="27"/>
  <c r="R453" i="27"/>
  <c r="R461" i="27"/>
  <c r="R469" i="27"/>
  <c r="R477" i="27"/>
  <c r="R485" i="27"/>
  <c r="R493" i="27"/>
  <c r="R346" i="27"/>
  <c r="R413" i="27"/>
  <c r="R421" i="27"/>
  <c r="R422" i="27"/>
  <c r="R423" i="27"/>
  <c r="R432" i="27"/>
  <c r="R440" i="27"/>
  <c r="R448" i="27"/>
  <c r="R456" i="27"/>
  <c r="R464" i="27"/>
  <c r="R472" i="27"/>
  <c r="R480" i="27"/>
  <c r="R488" i="27"/>
  <c r="R496" i="27"/>
  <c r="R504" i="27"/>
  <c r="O507" i="27"/>
  <c r="O499" i="27"/>
  <c r="O491" i="27"/>
  <c r="O483" i="27"/>
  <c r="O475" i="27"/>
  <c r="O467" i="27"/>
  <c r="O459" i="27"/>
  <c r="O451" i="27"/>
  <c r="O443" i="27"/>
  <c r="O435" i="27"/>
  <c r="O427" i="27"/>
  <c r="O419" i="27"/>
  <c r="O411" i="27"/>
  <c r="O403" i="27"/>
  <c r="O395" i="27"/>
  <c r="O387" i="27"/>
  <c r="O379" i="27"/>
  <c r="O371" i="27"/>
  <c r="O363" i="27"/>
  <c r="O355" i="27"/>
  <c r="O347" i="27"/>
  <c r="O339" i="27"/>
  <c r="O331" i="27"/>
  <c r="O323" i="27"/>
  <c r="O315" i="27"/>
  <c r="O307" i="27"/>
  <c r="O299" i="27"/>
  <c r="O291" i="27"/>
  <c r="O283" i="27"/>
  <c r="O275" i="27"/>
  <c r="O267" i="27"/>
  <c r="O259" i="27"/>
  <c r="O251" i="27"/>
  <c r="O243" i="27"/>
  <c r="O235" i="27"/>
  <c r="O227" i="27"/>
  <c r="O219" i="27"/>
  <c r="O211" i="27"/>
  <c r="O203" i="27"/>
  <c r="O195" i="27"/>
  <c r="O187" i="27"/>
  <c r="O179" i="27"/>
  <c r="O171" i="27"/>
  <c r="O163" i="27"/>
  <c r="O155" i="27"/>
  <c r="O146" i="27"/>
  <c r="O135" i="27"/>
  <c r="O124" i="27"/>
  <c r="O114" i="27"/>
  <c r="O103" i="27"/>
  <c r="O92" i="27"/>
  <c r="O82" i="27"/>
  <c r="O71" i="27"/>
  <c r="O60" i="27"/>
  <c r="O50" i="27"/>
  <c r="O39" i="27"/>
  <c r="O28" i="27"/>
  <c r="O18" i="27"/>
  <c r="O7" i="27"/>
  <c r="P511" i="27"/>
  <c r="Q510" i="27"/>
  <c r="Q509" i="27"/>
  <c r="Q508" i="27"/>
  <c r="R507" i="27"/>
  <c r="R506" i="27"/>
  <c r="Q505" i="27"/>
  <c r="W503" i="27"/>
  <c r="R502" i="27"/>
  <c r="X500" i="27"/>
  <c r="S499" i="27"/>
  <c r="Y497" i="27"/>
  <c r="S496" i="27"/>
  <c r="T493" i="27"/>
  <c r="V487" i="27"/>
  <c r="X481" i="27"/>
  <c r="Z475" i="27"/>
  <c r="Q470" i="27"/>
  <c r="S464" i="27"/>
  <c r="U458" i="27"/>
  <c r="W452" i="27"/>
  <c r="P441" i="27"/>
  <c r="R435" i="27"/>
  <c r="T429" i="27"/>
  <c r="V415" i="27"/>
  <c r="W387" i="27"/>
  <c r="S13" i="27"/>
  <c r="S21" i="27"/>
  <c r="S29" i="27"/>
  <c r="S37" i="27"/>
  <c r="S45" i="27"/>
  <c r="S53" i="27"/>
  <c r="S61" i="27"/>
  <c r="S8" i="27"/>
  <c r="S16" i="27"/>
  <c r="S24" i="27"/>
  <c r="S32" i="27"/>
  <c r="S40" i="27"/>
  <c r="S48" i="27"/>
  <c r="S56" i="27"/>
  <c r="S64" i="27"/>
  <c r="S11" i="27"/>
  <c r="S19" i="27"/>
  <c r="S27" i="27"/>
  <c r="S35" i="27"/>
  <c r="S43" i="27"/>
  <c r="S51" i="27"/>
  <c r="S59" i="27"/>
  <c r="S6" i="27"/>
  <c r="S14" i="27"/>
  <c r="S22" i="27"/>
  <c r="S30" i="27"/>
  <c r="S38" i="27"/>
  <c r="S46" i="27"/>
  <c r="S54" i="27"/>
  <c r="S62" i="27"/>
  <c r="S9" i="27"/>
  <c r="S12" i="27"/>
  <c r="S20" i="27"/>
  <c r="S28" i="27"/>
  <c r="S36" i="27"/>
  <c r="S44" i="27"/>
  <c r="S52" i="27"/>
  <c r="S60" i="27"/>
  <c r="S7" i="27"/>
  <c r="S15" i="27"/>
  <c r="S23" i="27"/>
  <c r="S31" i="27"/>
  <c r="S39" i="27"/>
  <c r="S47" i="27"/>
  <c r="S55" i="27"/>
  <c r="S63" i="27"/>
  <c r="S10" i="27"/>
  <c r="S42" i="27"/>
  <c r="S70" i="27"/>
  <c r="S78" i="27"/>
  <c r="S86" i="27"/>
  <c r="S94" i="27"/>
  <c r="S25" i="27"/>
  <c r="S57" i="27"/>
  <c r="S73" i="27"/>
  <c r="S81" i="27"/>
  <c r="S89" i="27"/>
  <c r="S97" i="27"/>
  <c r="S105" i="27"/>
  <c r="S34" i="27"/>
  <c r="S68" i="27"/>
  <c r="S76" i="27"/>
  <c r="S84" i="27"/>
  <c r="S92" i="27"/>
  <c r="S100" i="27"/>
  <c r="S17" i="27"/>
  <c r="S49" i="27"/>
  <c r="S65" i="27"/>
  <c r="S71" i="27"/>
  <c r="S79" i="27"/>
  <c r="S87" i="27"/>
  <c r="S95" i="27"/>
  <c r="S103" i="27"/>
  <c r="S111" i="27"/>
  <c r="S26" i="27"/>
  <c r="S41" i="27"/>
  <c r="S69" i="27"/>
  <c r="S77" i="27"/>
  <c r="S85" i="27"/>
  <c r="S93" i="27"/>
  <c r="S101" i="27"/>
  <c r="S109" i="27"/>
  <c r="S18" i="27"/>
  <c r="S50" i="27"/>
  <c r="S72" i="27"/>
  <c r="S80" i="27"/>
  <c r="S88" i="27"/>
  <c r="S96" i="27"/>
  <c r="S104" i="27"/>
  <c r="S112" i="27"/>
  <c r="S74" i="27"/>
  <c r="S33" i="27"/>
  <c r="S83" i="27"/>
  <c r="S58" i="27"/>
  <c r="S66" i="27"/>
  <c r="S98" i="27"/>
  <c r="S120" i="27"/>
  <c r="S128" i="27"/>
  <c r="S136" i="27"/>
  <c r="S144" i="27"/>
  <c r="S152" i="27"/>
  <c r="S90" i="27"/>
  <c r="S118" i="27"/>
  <c r="S126" i="27"/>
  <c r="S134" i="27"/>
  <c r="S142" i="27"/>
  <c r="S150" i="27"/>
  <c r="S82" i="27"/>
  <c r="S108" i="27"/>
  <c r="S116" i="27"/>
  <c r="S124" i="27"/>
  <c r="S132" i="27"/>
  <c r="S67" i="27"/>
  <c r="S107" i="27"/>
  <c r="S117" i="27"/>
  <c r="S131" i="27"/>
  <c r="S138" i="27"/>
  <c r="S146" i="27"/>
  <c r="S147" i="27"/>
  <c r="S148" i="27"/>
  <c r="S163" i="27"/>
  <c r="S171" i="27"/>
  <c r="S179" i="27"/>
  <c r="S102" i="27"/>
  <c r="S123" i="27"/>
  <c r="S130" i="27"/>
  <c r="S137" i="27"/>
  <c r="S149" i="27"/>
  <c r="S151" i="27"/>
  <c r="S153" i="27"/>
  <c r="S158" i="27"/>
  <c r="S99" i="27"/>
  <c r="S115" i="27"/>
  <c r="S122" i="27"/>
  <c r="S129" i="27"/>
  <c r="S154" i="27"/>
  <c r="S155" i="27"/>
  <c r="S161" i="27"/>
  <c r="S114" i="27"/>
  <c r="S121" i="27"/>
  <c r="S135" i="27"/>
  <c r="S156" i="27"/>
  <c r="S164" i="27"/>
  <c r="S172" i="27"/>
  <c r="S91" i="27"/>
  <c r="S110" i="27"/>
  <c r="S113" i="27"/>
  <c r="S127" i="27"/>
  <c r="S106" i="27"/>
  <c r="S162" i="27"/>
  <c r="S168" i="27"/>
  <c r="S169" i="27"/>
  <c r="S170" i="27"/>
  <c r="S185" i="27"/>
  <c r="S193" i="27"/>
  <c r="S201" i="27"/>
  <c r="S209" i="27"/>
  <c r="S140" i="27"/>
  <c r="S145" i="27"/>
  <c r="S173" i="27"/>
  <c r="S174" i="27"/>
  <c r="S175" i="27"/>
  <c r="S180" i="27"/>
  <c r="S188" i="27"/>
  <c r="S196" i="27"/>
  <c r="S119" i="27"/>
  <c r="S176" i="27"/>
  <c r="S183" i="27"/>
  <c r="S191" i="27"/>
  <c r="S199" i="27"/>
  <c r="S207" i="27"/>
  <c r="S75" i="27"/>
  <c r="S125" i="27"/>
  <c r="S143" i="27"/>
  <c r="S177" i="27"/>
  <c r="S186" i="27"/>
  <c r="S194" i="27"/>
  <c r="S202" i="27"/>
  <c r="S181" i="27"/>
  <c r="S189" i="27"/>
  <c r="S197" i="27"/>
  <c r="S205" i="27"/>
  <c r="S160" i="27"/>
  <c r="S187" i="27"/>
  <c r="S195" i="27"/>
  <c r="S203" i="27"/>
  <c r="S211" i="27"/>
  <c r="S141" i="27"/>
  <c r="S200" i="27"/>
  <c r="S204" i="27"/>
  <c r="S215" i="27"/>
  <c r="S223" i="27"/>
  <c r="S231" i="27"/>
  <c r="S239" i="27"/>
  <c r="S247" i="27"/>
  <c r="S165" i="27"/>
  <c r="S210" i="27"/>
  <c r="S218" i="27"/>
  <c r="S226" i="27"/>
  <c r="S234" i="27"/>
  <c r="S242" i="27"/>
  <c r="S250" i="27"/>
  <c r="S192" i="27"/>
  <c r="S213" i="27"/>
  <c r="S221" i="27"/>
  <c r="S229" i="27"/>
  <c r="S237" i="27"/>
  <c r="S245" i="27"/>
  <c r="S133" i="27"/>
  <c r="S166" i="27"/>
  <c r="S198" i="27"/>
  <c r="S206" i="27"/>
  <c r="S216" i="27"/>
  <c r="S224" i="27"/>
  <c r="S232" i="27"/>
  <c r="S240" i="27"/>
  <c r="S248" i="27"/>
  <c r="S256" i="27"/>
  <c r="S178" i="27"/>
  <c r="S184" i="27"/>
  <c r="S219" i="27"/>
  <c r="S227" i="27"/>
  <c r="S235" i="27"/>
  <c r="S243" i="27"/>
  <c r="S208" i="27"/>
  <c r="S217" i="27"/>
  <c r="S225" i="27"/>
  <c r="S233" i="27"/>
  <c r="S241" i="27"/>
  <c r="S139" i="27"/>
  <c r="S159" i="27"/>
  <c r="S182" i="27"/>
  <c r="S212" i="27"/>
  <c r="S220" i="27"/>
  <c r="S228" i="27"/>
  <c r="S236" i="27"/>
  <c r="S244" i="27"/>
  <c r="S252" i="27"/>
  <c r="S251" i="27"/>
  <c r="S261" i="27"/>
  <c r="S269" i="27"/>
  <c r="S277" i="27"/>
  <c r="S285" i="27"/>
  <c r="S293" i="27"/>
  <c r="S301" i="27"/>
  <c r="S230" i="27"/>
  <c r="S253" i="27"/>
  <c r="S254" i="27"/>
  <c r="S255" i="27"/>
  <c r="S264" i="27"/>
  <c r="S272" i="27"/>
  <c r="S280" i="27"/>
  <c r="S288" i="27"/>
  <c r="S296" i="27"/>
  <c r="S304" i="27"/>
  <c r="S246" i="27"/>
  <c r="S259" i="27"/>
  <c r="S267" i="27"/>
  <c r="S275" i="27"/>
  <c r="S283" i="27"/>
  <c r="S291" i="27"/>
  <c r="S299" i="27"/>
  <c r="S307" i="27"/>
  <c r="S214" i="27"/>
  <c r="S262" i="27"/>
  <c r="S270" i="27"/>
  <c r="S278" i="27"/>
  <c r="S286" i="27"/>
  <c r="S294" i="27"/>
  <c r="S302" i="27"/>
  <c r="S310" i="27"/>
  <c r="S157" i="27"/>
  <c r="S238" i="27"/>
  <c r="S257" i="27"/>
  <c r="S265" i="27"/>
  <c r="S273" i="27"/>
  <c r="S281" i="27"/>
  <c r="S289" i="27"/>
  <c r="S297" i="27"/>
  <c r="S305" i="27"/>
  <c r="S167" i="27"/>
  <c r="S222" i="27"/>
  <c r="S249" i="27"/>
  <c r="S263" i="27"/>
  <c r="S271" i="27"/>
  <c r="S279" i="27"/>
  <c r="S287" i="27"/>
  <c r="S295" i="27"/>
  <c r="S303" i="27"/>
  <c r="S258" i="27"/>
  <c r="S266" i="27"/>
  <c r="S274" i="27"/>
  <c r="S282" i="27"/>
  <c r="S290" i="27"/>
  <c r="S298" i="27"/>
  <c r="S306" i="27"/>
  <c r="S309" i="27"/>
  <c r="S312" i="27"/>
  <c r="S320" i="27"/>
  <c r="S328" i="27"/>
  <c r="S336" i="27"/>
  <c r="S344" i="27"/>
  <c r="S352" i="27"/>
  <c r="S360" i="27"/>
  <c r="S368" i="27"/>
  <c r="S376" i="27"/>
  <c r="S384" i="27"/>
  <c r="S392" i="27"/>
  <c r="S400" i="27"/>
  <c r="S408" i="27"/>
  <c r="S190" i="27"/>
  <c r="S268" i="27"/>
  <c r="S315" i="27"/>
  <c r="S323" i="27"/>
  <c r="S331" i="27"/>
  <c r="S339" i="27"/>
  <c r="S347" i="27"/>
  <c r="S355" i="27"/>
  <c r="S363" i="27"/>
  <c r="S371" i="27"/>
  <c r="S379" i="27"/>
  <c r="S387" i="27"/>
  <c r="S395" i="27"/>
  <c r="S403" i="27"/>
  <c r="S411" i="27"/>
  <c r="S292" i="27"/>
  <c r="S318" i="27"/>
  <c r="S326" i="27"/>
  <c r="S334" i="27"/>
  <c r="S342" i="27"/>
  <c r="S350" i="27"/>
  <c r="S358" i="27"/>
  <c r="S366" i="27"/>
  <c r="S374" i="27"/>
  <c r="S382" i="27"/>
  <c r="S390" i="27"/>
  <c r="S398" i="27"/>
  <c r="S406" i="27"/>
  <c r="S414" i="27"/>
  <c r="S422" i="27"/>
  <c r="S308" i="27"/>
  <c r="S313" i="27"/>
  <c r="S321" i="27"/>
  <c r="S329" i="27"/>
  <c r="S337" i="27"/>
  <c r="S345" i="27"/>
  <c r="S353" i="27"/>
  <c r="S361" i="27"/>
  <c r="S369" i="27"/>
  <c r="S377" i="27"/>
  <c r="S385" i="27"/>
  <c r="S393" i="27"/>
  <c r="S401" i="27"/>
  <c r="S409" i="27"/>
  <c r="S276" i="27"/>
  <c r="S316" i="27"/>
  <c r="S324" i="27"/>
  <c r="S332" i="27"/>
  <c r="S340" i="27"/>
  <c r="S348" i="27"/>
  <c r="S356" i="27"/>
  <c r="S364" i="27"/>
  <c r="S372" i="27"/>
  <c r="S380" i="27"/>
  <c r="S388" i="27"/>
  <c r="S396" i="27"/>
  <c r="S404" i="27"/>
  <c r="S412" i="27"/>
  <c r="S260" i="27"/>
  <c r="S314" i="27"/>
  <c r="S322" i="27"/>
  <c r="S330" i="27"/>
  <c r="S338" i="27"/>
  <c r="S346" i="27"/>
  <c r="S354" i="27"/>
  <c r="S362" i="27"/>
  <c r="S370" i="27"/>
  <c r="S378" i="27"/>
  <c r="S386" i="27"/>
  <c r="S394" i="27"/>
  <c r="S402" i="27"/>
  <c r="S284" i="27"/>
  <c r="S317" i="27"/>
  <c r="S325" i="27"/>
  <c r="S333" i="27"/>
  <c r="S341" i="27"/>
  <c r="S349" i="27"/>
  <c r="S357" i="27"/>
  <c r="S365" i="27"/>
  <c r="S373" i="27"/>
  <c r="S381" i="27"/>
  <c r="S389" i="27"/>
  <c r="S397" i="27"/>
  <c r="S405" i="27"/>
  <c r="S413" i="27"/>
  <c r="S421" i="27"/>
  <c r="S359" i="27"/>
  <c r="S427" i="27"/>
  <c r="S435" i="27"/>
  <c r="S443" i="27"/>
  <c r="S451" i="27"/>
  <c r="S459" i="27"/>
  <c r="S467" i="27"/>
  <c r="S475" i="27"/>
  <c r="S483" i="27"/>
  <c r="S491" i="27"/>
  <c r="S300" i="27"/>
  <c r="S319" i="27"/>
  <c r="S383" i="27"/>
  <c r="S430" i="27"/>
  <c r="S438" i="27"/>
  <c r="S446" i="27"/>
  <c r="S454" i="27"/>
  <c r="S462" i="27"/>
  <c r="S470" i="27"/>
  <c r="S478" i="27"/>
  <c r="S486" i="27"/>
  <c r="S494" i="27"/>
  <c r="S502" i="27"/>
  <c r="S343" i="27"/>
  <c r="S407" i="27"/>
  <c r="S410" i="27"/>
  <c r="S425" i="27"/>
  <c r="S433" i="27"/>
  <c r="S441" i="27"/>
  <c r="S449" i="27"/>
  <c r="S457" i="27"/>
  <c r="S465" i="27"/>
  <c r="S473" i="27"/>
  <c r="S481" i="27"/>
  <c r="S489" i="27"/>
  <c r="S497" i="27"/>
  <c r="S505" i="27"/>
  <c r="S367" i="27"/>
  <c r="S428" i="27"/>
  <c r="S436" i="27"/>
  <c r="S444" i="27"/>
  <c r="S452" i="27"/>
  <c r="S460" i="27"/>
  <c r="S468" i="27"/>
  <c r="S476" i="27"/>
  <c r="S484" i="27"/>
  <c r="S492" i="27"/>
  <c r="S500" i="27"/>
  <c r="S327" i="27"/>
  <c r="S391" i="27"/>
  <c r="S431" i="27"/>
  <c r="S439" i="27"/>
  <c r="S447" i="27"/>
  <c r="S455" i="27"/>
  <c r="S463" i="27"/>
  <c r="S471" i="27"/>
  <c r="S479" i="27"/>
  <c r="S487" i="27"/>
  <c r="S495" i="27"/>
  <c r="S351" i="27"/>
  <c r="S415" i="27"/>
  <c r="S416" i="27"/>
  <c r="S417" i="27"/>
  <c r="S426" i="27"/>
  <c r="S434" i="27"/>
  <c r="S442" i="27"/>
  <c r="S450" i="27"/>
  <c r="S458" i="27"/>
  <c r="S466" i="27"/>
  <c r="S474" i="27"/>
  <c r="S482" i="27"/>
  <c r="S490" i="27"/>
  <c r="S311" i="27"/>
  <c r="S375" i="27"/>
  <c r="S418" i="27"/>
  <c r="S419" i="27"/>
  <c r="S420" i="27"/>
  <c r="S429" i="27"/>
  <c r="S437" i="27"/>
  <c r="S445" i="27"/>
  <c r="S453" i="27"/>
  <c r="S461" i="27"/>
  <c r="S469" i="27"/>
  <c r="S477" i="27"/>
  <c r="S485" i="27"/>
  <c r="S493" i="27"/>
  <c r="S501" i="27"/>
  <c r="S509" i="27"/>
  <c r="S507" i="27"/>
  <c r="S424" i="27"/>
  <c r="Y11" i="27"/>
  <c r="Y19" i="27"/>
  <c r="Y27" i="27"/>
  <c r="Y35" i="27"/>
  <c r="Y43" i="27"/>
  <c r="Y51" i="27"/>
  <c r="Y59" i="27"/>
  <c r="Y6" i="27"/>
  <c r="Y14" i="27"/>
  <c r="Y22" i="27"/>
  <c r="Y30" i="27"/>
  <c r="Y38" i="27"/>
  <c r="Y46" i="27"/>
  <c r="Y54" i="27"/>
  <c r="Y62" i="27"/>
  <c r="Y9" i="27"/>
  <c r="Y17" i="27"/>
  <c r="Y25" i="27"/>
  <c r="Y33" i="27"/>
  <c r="Y41" i="27"/>
  <c r="Y49" i="27"/>
  <c r="Y57" i="27"/>
  <c r="Y12" i="27"/>
  <c r="Y20" i="27"/>
  <c r="Y28" i="27"/>
  <c r="Y36" i="27"/>
  <c r="Y44" i="27"/>
  <c r="Y52" i="27"/>
  <c r="Y60" i="27"/>
  <c r="Y7" i="27"/>
  <c r="Y10" i="27"/>
  <c r="Y18" i="27"/>
  <c r="Y26" i="27"/>
  <c r="Y34" i="27"/>
  <c r="Y42" i="27"/>
  <c r="Y50" i="27"/>
  <c r="Y58" i="27"/>
  <c r="Y13" i="27"/>
  <c r="Y21" i="27"/>
  <c r="Y29" i="27"/>
  <c r="Y37" i="27"/>
  <c r="Y45" i="27"/>
  <c r="Y53" i="27"/>
  <c r="Y61" i="27"/>
  <c r="Y24" i="27"/>
  <c r="Y56" i="27"/>
  <c r="Y68" i="27"/>
  <c r="Y76" i="27"/>
  <c r="Y84" i="27"/>
  <c r="Y92" i="27"/>
  <c r="Y39" i="27"/>
  <c r="Y71" i="27"/>
  <c r="Y79" i="27"/>
  <c r="Y87" i="27"/>
  <c r="Y95" i="27"/>
  <c r="Y103" i="27"/>
  <c r="Y16" i="27"/>
  <c r="Y48" i="27"/>
  <c r="Y66" i="27"/>
  <c r="Y74" i="27"/>
  <c r="Y82" i="27"/>
  <c r="Y90" i="27"/>
  <c r="Y98" i="27"/>
  <c r="Y31" i="27"/>
  <c r="Y63" i="27"/>
  <c r="Y69" i="27"/>
  <c r="Y77" i="27"/>
  <c r="Y85" i="27"/>
  <c r="Y93" i="27"/>
  <c r="Y101" i="27"/>
  <c r="Y109" i="27"/>
  <c r="Y23" i="27"/>
  <c r="Y55" i="27"/>
  <c r="Y67" i="27"/>
  <c r="Y75" i="27"/>
  <c r="Y83" i="27"/>
  <c r="Y91" i="27"/>
  <c r="Y99" i="27"/>
  <c r="Y107" i="27"/>
  <c r="Y8" i="27"/>
  <c r="Y32" i="27"/>
  <c r="Y70" i="27"/>
  <c r="Y78" i="27"/>
  <c r="Y86" i="27"/>
  <c r="Y94" i="27"/>
  <c r="Y102" i="27"/>
  <c r="Y110" i="27"/>
  <c r="Y65" i="27"/>
  <c r="Y15" i="27"/>
  <c r="Y80" i="27"/>
  <c r="Y100" i="27"/>
  <c r="Y118" i="27"/>
  <c r="Y126" i="27"/>
  <c r="Y134" i="27"/>
  <c r="Y142" i="27"/>
  <c r="Y150" i="27"/>
  <c r="Y47" i="27"/>
  <c r="Y72" i="27"/>
  <c r="Y116" i="27"/>
  <c r="Y124" i="27"/>
  <c r="Y132" i="27"/>
  <c r="Y140" i="27"/>
  <c r="Y148" i="27"/>
  <c r="Y40" i="27"/>
  <c r="Y96" i="27"/>
  <c r="Y106" i="27"/>
  <c r="Y114" i="27"/>
  <c r="Y122" i="27"/>
  <c r="Y130" i="27"/>
  <c r="Y138" i="27"/>
  <c r="Y88" i="27"/>
  <c r="Y97" i="27"/>
  <c r="Y104" i="27"/>
  <c r="Y113" i="27"/>
  <c r="Y120" i="27"/>
  <c r="Y127" i="27"/>
  <c r="Y161" i="27"/>
  <c r="Y169" i="27"/>
  <c r="Y177" i="27"/>
  <c r="Y119" i="27"/>
  <c r="Y133" i="27"/>
  <c r="Y156" i="27"/>
  <c r="Y89" i="27"/>
  <c r="Y112" i="27"/>
  <c r="Y125" i="27"/>
  <c r="Y159" i="27"/>
  <c r="Y105" i="27"/>
  <c r="Y117" i="27"/>
  <c r="Y139" i="27"/>
  <c r="Y141" i="27"/>
  <c r="Y143" i="27"/>
  <c r="Y162" i="27"/>
  <c r="Y170" i="27"/>
  <c r="Y111" i="27"/>
  <c r="Y131" i="27"/>
  <c r="Y144" i="27"/>
  <c r="Y145" i="27"/>
  <c r="Y146" i="27"/>
  <c r="Y157" i="27"/>
  <c r="Y136" i="27"/>
  <c r="Y147" i="27"/>
  <c r="Y152" i="27"/>
  <c r="Y160" i="27"/>
  <c r="Y183" i="27"/>
  <c r="Y191" i="27"/>
  <c r="Y199" i="27"/>
  <c r="Y207" i="27"/>
  <c r="Y64" i="27"/>
  <c r="Y186" i="27"/>
  <c r="Y194" i="27"/>
  <c r="Y73" i="27"/>
  <c r="Y115" i="27"/>
  <c r="Y121" i="27"/>
  <c r="Y137" i="27"/>
  <c r="Y155" i="27"/>
  <c r="Y178" i="27"/>
  <c r="Y181" i="27"/>
  <c r="Y189" i="27"/>
  <c r="Y197" i="27"/>
  <c r="Y205" i="27"/>
  <c r="Y108" i="27"/>
  <c r="Y153" i="27"/>
  <c r="Y163" i="27"/>
  <c r="Y164" i="27"/>
  <c r="Y165" i="27"/>
  <c r="Y184" i="27"/>
  <c r="Y192" i="27"/>
  <c r="Y200" i="27"/>
  <c r="Y81" i="27"/>
  <c r="Y128" i="27"/>
  <c r="Y151" i="27"/>
  <c r="Y166" i="27"/>
  <c r="Y167" i="27"/>
  <c r="Y168" i="27"/>
  <c r="Y179" i="27"/>
  <c r="Y187" i="27"/>
  <c r="Y195" i="27"/>
  <c r="Y203" i="27"/>
  <c r="Y211" i="27"/>
  <c r="Y123" i="27"/>
  <c r="Y129" i="27"/>
  <c r="Y135" i="27"/>
  <c r="Y149" i="27"/>
  <c r="Y154" i="27"/>
  <c r="Y158" i="27"/>
  <c r="Y174" i="27"/>
  <c r="Y175" i="27"/>
  <c r="Y185" i="27"/>
  <c r="Y193" i="27"/>
  <c r="Y201" i="27"/>
  <c r="Y209" i="27"/>
  <c r="Y172" i="27"/>
  <c r="Y182" i="27"/>
  <c r="Y202" i="27"/>
  <c r="Y213" i="27"/>
  <c r="Y221" i="27"/>
  <c r="Y229" i="27"/>
  <c r="Y237" i="27"/>
  <c r="Y245" i="27"/>
  <c r="Y176" i="27"/>
  <c r="Y188" i="27"/>
  <c r="Y208" i="27"/>
  <c r="Y216" i="27"/>
  <c r="Y224" i="27"/>
  <c r="Y232" i="27"/>
  <c r="Y240" i="27"/>
  <c r="Y248" i="27"/>
  <c r="Y173" i="27"/>
  <c r="Y219" i="27"/>
  <c r="Y227" i="27"/>
  <c r="Y235" i="27"/>
  <c r="Y243" i="27"/>
  <c r="Y180" i="27"/>
  <c r="Y204" i="27"/>
  <c r="Y214" i="27"/>
  <c r="Y222" i="27"/>
  <c r="Y230" i="27"/>
  <c r="Y238" i="27"/>
  <c r="Y246" i="27"/>
  <c r="Y254" i="27"/>
  <c r="Y198" i="27"/>
  <c r="Y210" i="27"/>
  <c r="Y217" i="27"/>
  <c r="Y225" i="27"/>
  <c r="Y233" i="27"/>
  <c r="Y241" i="27"/>
  <c r="Y249" i="27"/>
  <c r="Y171" i="27"/>
  <c r="Y190" i="27"/>
  <c r="Y206" i="27"/>
  <c r="Y215" i="27"/>
  <c r="Y223" i="27"/>
  <c r="Y231" i="27"/>
  <c r="Y239" i="27"/>
  <c r="Y196" i="27"/>
  <c r="Y218" i="27"/>
  <c r="Y226" i="27"/>
  <c r="Y234" i="27"/>
  <c r="Y242" i="27"/>
  <c r="Y250" i="27"/>
  <c r="Y247" i="27"/>
  <c r="Y259" i="27"/>
  <c r="Y267" i="27"/>
  <c r="Y275" i="27"/>
  <c r="Y283" i="27"/>
  <c r="Y291" i="27"/>
  <c r="Y299" i="27"/>
  <c r="Y212" i="27"/>
  <c r="Y262" i="27"/>
  <c r="Y270" i="27"/>
  <c r="Y278" i="27"/>
  <c r="Y286" i="27"/>
  <c r="Y294" i="27"/>
  <c r="Y302" i="27"/>
  <c r="Y236" i="27"/>
  <c r="Y257" i="27"/>
  <c r="Y265" i="27"/>
  <c r="Y273" i="27"/>
  <c r="Y281" i="27"/>
  <c r="Y289" i="27"/>
  <c r="Y297" i="27"/>
  <c r="Y305" i="27"/>
  <c r="Y260" i="27"/>
  <c r="Y268" i="27"/>
  <c r="Y276" i="27"/>
  <c r="Y284" i="27"/>
  <c r="Y292" i="27"/>
  <c r="Y300" i="27"/>
  <c r="Y308" i="27"/>
  <c r="Y220" i="27"/>
  <c r="Y263" i="27"/>
  <c r="Y271" i="27"/>
  <c r="Y279" i="27"/>
  <c r="Y287" i="27"/>
  <c r="Y295" i="27"/>
  <c r="Y303" i="27"/>
  <c r="Y244" i="27"/>
  <c r="Y255" i="27"/>
  <c r="Y261" i="27"/>
  <c r="Y269" i="27"/>
  <c r="Y277" i="27"/>
  <c r="Y285" i="27"/>
  <c r="Y293" i="27"/>
  <c r="Y301" i="27"/>
  <c r="Y309" i="27"/>
  <c r="Y228" i="27"/>
  <c r="Y256" i="27"/>
  <c r="Y264" i="27"/>
  <c r="Y272" i="27"/>
  <c r="Y280" i="27"/>
  <c r="Y288" i="27"/>
  <c r="Y296" i="27"/>
  <c r="Y304" i="27"/>
  <c r="Y290" i="27"/>
  <c r="Y307" i="27"/>
  <c r="Y318" i="27"/>
  <c r="Y326" i="27"/>
  <c r="Y334" i="27"/>
  <c r="Y342" i="27"/>
  <c r="Y350" i="27"/>
  <c r="Y358" i="27"/>
  <c r="Y366" i="27"/>
  <c r="Y374" i="27"/>
  <c r="Y382" i="27"/>
  <c r="Y390" i="27"/>
  <c r="Y398" i="27"/>
  <c r="Y406" i="27"/>
  <c r="Y310" i="27"/>
  <c r="Y313" i="27"/>
  <c r="Y321" i="27"/>
  <c r="Y329" i="27"/>
  <c r="Y337" i="27"/>
  <c r="Y345" i="27"/>
  <c r="Y353" i="27"/>
  <c r="Y361" i="27"/>
  <c r="Y369" i="27"/>
  <c r="Y377" i="27"/>
  <c r="Y385" i="27"/>
  <c r="Y393" i="27"/>
  <c r="Y401" i="27"/>
  <c r="Y409" i="27"/>
  <c r="Y274" i="27"/>
  <c r="Y316" i="27"/>
  <c r="Y324" i="27"/>
  <c r="Y332" i="27"/>
  <c r="Y340" i="27"/>
  <c r="Y348" i="27"/>
  <c r="Y356" i="27"/>
  <c r="Y364" i="27"/>
  <c r="Y372" i="27"/>
  <c r="Y380" i="27"/>
  <c r="Y388" i="27"/>
  <c r="Y396" i="27"/>
  <c r="Y404" i="27"/>
  <c r="Y412" i="27"/>
  <c r="Y420" i="27"/>
  <c r="Y298" i="27"/>
  <c r="Y306" i="27"/>
  <c r="Y311" i="27"/>
  <c r="Y319" i="27"/>
  <c r="Y327" i="27"/>
  <c r="Y335" i="27"/>
  <c r="Y343" i="27"/>
  <c r="Y351" i="27"/>
  <c r="Y359" i="27"/>
  <c r="Y367" i="27"/>
  <c r="Y375" i="27"/>
  <c r="Y383" i="27"/>
  <c r="Y391" i="27"/>
  <c r="Y399" i="27"/>
  <c r="Y407" i="27"/>
  <c r="Y251" i="27"/>
  <c r="Y258" i="27"/>
  <c r="Y314" i="27"/>
  <c r="Y322" i="27"/>
  <c r="Y330" i="27"/>
  <c r="Y338" i="27"/>
  <c r="Y346" i="27"/>
  <c r="Y354" i="27"/>
  <c r="Y362" i="27"/>
  <c r="Y370" i="27"/>
  <c r="Y378" i="27"/>
  <c r="Y386" i="27"/>
  <c r="Y394" i="27"/>
  <c r="Y402" i="27"/>
  <c r="Y410" i="27"/>
  <c r="Y253" i="27"/>
  <c r="Y312" i="27"/>
  <c r="Y320" i="27"/>
  <c r="Y328" i="27"/>
  <c r="Y336" i="27"/>
  <c r="Y344" i="27"/>
  <c r="Y352" i="27"/>
  <c r="Y360" i="27"/>
  <c r="Y368" i="27"/>
  <c r="Y376" i="27"/>
  <c r="Y384" i="27"/>
  <c r="Y392" i="27"/>
  <c r="Y400" i="27"/>
  <c r="Y266" i="27"/>
  <c r="Y315" i="27"/>
  <c r="Y323" i="27"/>
  <c r="Y331" i="27"/>
  <c r="Y339" i="27"/>
  <c r="Y347" i="27"/>
  <c r="Y355" i="27"/>
  <c r="Y363" i="27"/>
  <c r="Y371" i="27"/>
  <c r="Y379" i="27"/>
  <c r="Y387" i="27"/>
  <c r="Y395" i="27"/>
  <c r="Y403" i="27"/>
  <c r="Y411" i="27"/>
  <c r="Y419" i="27"/>
  <c r="Y341" i="27"/>
  <c r="Y405" i="27"/>
  <c r="Y425" i="27"/>
  <c r="Y433" i="27"/>
  <c r="Y441" i="27"/>
  <c r="Y449" i="27"/>
  <c r="Y457" i="27"/>
  <c r="Y465" i="27"/>
  <c r="Y473" i="27"/>
  <c r="Y481" i="27"/>
  <c r="Y489" i="27"/>
  <c r="Y252" i="27"/>
  <c r="Y365" i="27"/>
  <c r="Y413" i="27"/>
  <c r="Y414" i="27"/>
  <c r="Y415" i="27"/>
  <c r="Y428" i="27"/>
  <c r="Y436" i="27"/>
  <c r="Y444" i="27"/>
  <c r="Y452" i="27"/>
  <c r="Y460" i="27"/>
  <c r="Y468" i="27"/>
  <c r="Y476" i="27"/>
  <c r="Y484" i="27"/>
  <c r="Y492" i="27"/>
  <c r="Y500" i="27"/>
  <c r="Y325" i="27"/>
  <c r="Y389" i="27"/>
  <c r="Y416" i="27"/>
  <c r="Y417" i="27"/>
  <c r="Y418" i="27"/>
  <c r="Y431" i="27"/>
  <c r="Y439" i="27"/>
  <c r="Y447" i="27"/>
  <c r="Y455" i="27"/>
  <c r="Y463" i="27"/>
  <c r="Y471" i="27"/>
  <c r="Y479" i="27"/>
  <c r="Y487" i="27"/>
  <c r="Y495" i="27"/>
  <c r="Y503" i="27"/>
  <c r="Y511" i="27"/>
  <c r="Y349" i="27"/>
  <c r="Y421" i="27"/>
  <c r="Y422" i="27"/>
  <c r="Y423" i="27"/>
  <c r="Y426" i="27"/>
  <c r="Y434" i="27"/>
  <c r="Y442" i="27"/>
  <c r="Y450" i="27"/>
  <c r="Y458" i="27"/>
  <c r="Y466" i="27"/>
  <c r="Y474" i="27"/>
  <c r="Y482" i="27"/>
  <c r="Y490" i="27"/>
  <c r="Y498" i="27"/>
  <c r="Y373" i="27"/>
  <c r="Y429" i="27"/>
  <c r="Y437" i="27"/>
  <c r="Y445" i="27"/>
  <c r="Y453" i="27"/>
  <c r="Y461" i="27"/>
  <c r="Y469" i="27"/>
  <c r="Y477" i="27"/>
  <c r="Y485" i="27"/>
  <c r="Y493" i="27"/>
  <c r="Y333" i="27"/>
  <c r="Y397" i="27"/>
  <c r="Y424" i="27"/>
  <c r="Y432" i="27"/>
  <c r="Y440" i="27"/>
  <c r="Y448" i="27"/>
  <c r="Y456" i="27"/>
  <c r="Y464" i="27"/>
  <c r="Y472" i="27"/>
  <c r="Y480" i="27"/>
  <c r="Y488" i="27"/>
  <c r="Y282" i="27"/>
  <c r="Y357" i="27"/>
  <c r="Y408" i="27"/>
  <c r="Y427" i="27"/>
  <c r="Y435" i="27"/>
  <c r="Y443" i="27"/>
  <c r="Y451" i="27"/>
  <c r="Y459" i="27"/>
  <c r="Y467" i="27"/>
  <c r="Y475" i="27"/>
  <c r="Y483" i="27"/>
  <c r="Y491" i="27"/>
  <c r="Y499" i="27"/>
  <c r="Y507" i="27"/>
  <c r="Q11" i="27"/>
  <c r="Q19" i="27"/>
  <c r="Q27" i="27"/>
  <c r="Q35" i="27"/>
  <c r="Q43" i="27"/>
  <c r="Q51" i="27"/>
  <c r="Q59" i="27"/>
  <c r="Q6" i="27"/>
  <c r="Q14" i="27"/>
  <c r="Q22" i="27"/>
  <c r="Q30" i="27"/>
  <c r="Q38" i="27"/>
  <c r="Q46" i="27"/>
  <c r="Q54" i="27"/>
  <c r="Q62" i="27"/>
  <c r="Q9" i="27"/>
  <c r="Q17" i="27"/>
  <c r="Q25" i="27"/>
  <c r="Q33" i="27"/>
  <c r="Q41" i="27"/>
  <c r="Q49" i="27"/>
  <c r="Q57" i="27"/>
  <c r="Q12" i="27"/>
  <c r="Q20" i="27"/>
  <c r="Q28" i="27"/>
  <c r="Q36" i="27"/>
  <c r="Q44" i="27"/>
  <c r="Q52" i="27"/>
  <c r="Q60" i="27"/>
  <c r="Q7" i="27"/>
  <c r="Q10" i="27"/>
  <c r="Q18" i="27"/>
  <c r="Q26" i="27"/>
  <c r="Q34" i="27"/>
  <c r="Q42" i="27"/>
  <c r="Q50" i="27"/>
  <c r="Q58" i="27"/>
  <c r="Q13" i="27"/>
  <c r="Q21" i="27"/>
  <c r="Q29" i="27"/>
  <c r="Q37" i="27"/>
  <c r="Q45" i="27"/>
  <c r="Q53" i="27"/>
  <c r="Q61" i="27"/>
  <c r="Q16" i="27"/>
  <c r="Q48" i="27"/>
  <c r="Q68" i="27"/>
  <c r="Q76" i="27"/>
  <c r="Q84" i="27"/>
  <c r="Q92" i="27"/>
  <c r="Q100" i="27"/>
  <c r="Q31" i="27"/>
  <c r="Q63" i="27"/>
  <c r="Q65" i="27"/>
  <c r="Q71" i="27"/>
  <c r="Q79" i="27"/>
  <c r="Q87" i="27"/>
  <c r="Q95" i="27"/>
  <c r="Q103" i="27"/>
  <c r="Q40" i="27"/>
  <c r="Q66" i="27"/>
  <c r="Q74" i="27"/>
  <c r="Q82" i="27"/>
  <c r="Q90" i="27"/>
  <c r="Q98" i="27"/>
  <c r="Q23" i="27"/>
  <c r="Q55" i="27"/>
  <c r="Q69" i="27"/>
  <c r="Q77" i="27"/>
  <c r="Q85" i="27"/>
  <c r="Q93" i="27"/>
  <c r="Q101" i="27"/>
  <c r="Q109" i="27"/>
  <c r="Q8" i="27"/>
  <c r="Q15" i="27"/>
  <c r="Q47" i="27"/>
  <c r="Q67" i="27"/>
  <c r="Q75" i="27"/>
  <c r="Q83" i="27"/>
  <c r="Q91" i="27"/>
  <c r="Q99" i="27"/>
  <c r="Q107" i="27"/>
  <c r="Q24" i="27"/>
  <c r="Q56" i="27"/>
  <c r="Q70" i="27"/>
  <c r="Q78" i="27"/>
  <c r="Q86" i="27"/>
  <c r="Q94" i="27"/>
  <c r="Q102" i="27"/>
  <c r="Q110" i="27"/>
  <c r="Q32" i="27"/>
  <c r="Q80" i="27"/>
  <c r="Q72" i="27"/>
  <c r="Q106" i="27"/>
  <c r="Q111" i="27"/>
  <c r="Q112" i="27"/>
  <c r="Q118" i="27"/>
  <c r="Q126" i="27"/>
  <c r="Q134" i="27"/>
  <c r="Q142" i="27"/>
  <c r="Q150" i="27"/>
  <c r="Q96" i="27"/>
  <c r="Q105" i="27"/>
  <c r="Q116" i="27"/>
  <c r="Q124" i="27"/>
  <c r="Q132" i="27"/>
  <c r="Q140" i="27"/>
  <c r="Q148" i="27"/>
  <c r="Q64" i="27"/>
  <c r="Q88" i="27"/>
  <c r="Q114" i="27"/>
  <c r="Q122" i="27"/>
  <c r="Q130" i="27"/>
  <c r="Q138" i="27"/>
  <c r="Q123" i="27"/>
  <c r="Q137" i="27"/>
  <c r="Q152" i="27"/>
  <c r="Q153" i="27"/>
  <c r="Q154" i="27"/>
  <c r="Q161" i="27"/>
  <c r="Q169" i="27"/>
  <c r="Q177" i="27"/>
  <c r="Q89" i="27"/>
  <c r="Q115" i="27"/>
  <c r="Q129" i="27"/>
  <c r="Q136" i="27"/>
  <c r="Q155" i="27"/>
  <c r="Q156" i="27"/>
  <c r="Q39" i="27"/>
  <c r="Q121" i="27"/>
  <c r="Q128" i="27"/>
  <c r="Q135" i="27"/>
  <c r="Q159" i="27"/>
  <c r="Q108" i="27"/>
  <c r="Q113" i="27"/>
  <c r="Q120" i="27"/>
  <c r="Q127" i="27"/>
  <c r="Q162" i="27"/>
  <c r="Q170" i="27"/>
  <c r="Q119" i="27"/>
  <c r="Q133" i="27"/>
  <c r="Q157" i="27"/>
  <c r="Q73" i="27"/>
  <c r="Q81" i="27"/>
  <c r="Q104" i="27"/>
  <c r="Q145" i="27"/>
  <c r="Q174" i="27"/>
  <c r="Q175" i="27"/>
  <c r="Q176" i="27"/>
  <c r="Q183" i="27"/>
  <c r="Q191" i="27"/>
  <c r="Q199" i="27"/>
  <c r="Q207" i="27"/>
  <c r="Q125" i="27"/>
  <c r="Q143" i="27"/>
  <c r="Q186" i="27"/>
  <c r="Q194" i="27"/>
  <c r="Q202" i="27"/>
  <c r="Q97" i="27"/>
  <c r="Q131" i="27"/>
  <c r="Q181" i="27"/>
  <c r="Q189" i="27"/>
  <c r="Q197" i="27"/>
  <c r="Q205" i="27"/>
  <c r="Q141" i="27"/>
  <c r="Q146" i="27"/>
  <c r="Q151" i="27"/>
  <c r="Q158" i="27"/>
  <c r="Q178" i="27"/>
  <c r="Q184" i="27"/>
  <c r="Q192" i="27"/>
  <c r="Q200" i="27"/>
  <c r="Q160" i="27"/>
  <c r="Q187" i="27"/>
  <c r="Q195" i="27"/>
  <c r="Q203" i="27"/>
  <c r="Q211" i="27"/>
  <c r="Q139" i="27"/>
  <c r="Q166" i="27"/>
  <c r="Q167" i="27"/>
  <c r="Q168" i="27"/>
  <c r="Q185" i="27"/>
  <c r="Q193" i="27"/>
  <c r="Q201" i="27"/>
  <c r="Q209" i="27"/>
  <c r="Q117" i="27"/>
  <c r="Q165" i="27"/>
  <c r="Q210" i="27"/>
  <c r="Q213" i="27"/>
  <c r="Q221" i="27"/>
  <c r="Q229" i="27"/>
  <c r="Q237" i="27"/>
  <c r="Q245" i="27"/>
  <c r="Q173" i="27"/>
  <c r="Q180" i="27"/>
  <c r="Q216" i="27"/>
  <c r="Q224" i="27"/>
  <c r="Q232" i="27"/>
  <c r="Q240" i="27"/>
  <c r="Q248" i="27"/>
  <c r="Q144" i="27"/>
  <c r="Q198" i="27"/>
  <c r="Q206" i="27"/>
  <c r="Q219" i="27"/>
  <c r="Q227" i="27"/>
  <c r="Q235" i="27"/>
  <c r="Q243" i="27"/>
  <c r="Q214" i="27"/>
  <c r="Q222" i="27"/>
  <c r="Q230" i="27"/>
  <c r="Q238" i="27"/>
  <c r="Q246" i="27"/>
  <c r="Q254" i="27"/>
  <c r="Q163" i="27"/>
  <c r="Q190" i="27"/>
  <c r="Q217" i="27"/>
  <c r="Q225" i="27"/>
  <c r="Q233" i="27"/>
  <c r="Q241" i="27"/>
  <c r="Q249" i="27"/>
  <c r="Q149" i="27"/>
  <c r="Q164" i="27"/>
  <c r="Q179" i="27"/>
  <c r="Q182" i="27"/>
  <c r="Q215" i="27"/>
  <c r="Q223" i="27"/>
  <c r="Q231" i="27"/>
  <c r="Q239" i="27"/>
  <c r="Q172" i="27"/>
  <c r="Q188" i="27"/>
  <c r="Q204" i="27"/>
  <c r="Q218" i="27"/>
  <c r="Q226" i="27"/>
  <c r="Q234" i="27"/>
  <c r="Q242" i="27"/>
  <c r="Q250" i="27"/>
  <c r="Q212" i="27"/>
  <c r="Q255" i="27"/>
  <c r="Q256" i="27"/>
  <c r="Q259" i="27"/>
  <c r="Q267" i="27"/>
  <c r="Q275" i="27"/>
  <c r="Q283" i="27"/>
  <c r="Q291" i="27"/>
  <c r="Q299" i="27"/>
  <c r="Q236" i="27"/>
  <c r="Q262" i="27"/>
  <c r="Q270" i="27"/>
  <c r="Q278" i="27"/>
  <c r="Q286" i="27"/>
  <c r="Q294" i="27"/>
  <c r="Q302" i="27"/>
  <c r="Q257" i="27"/>
  <c r="Q265" i="27"/>
  <c r="Q273" i="27"/>
  <c r="Q281" i="27"/>
  <c r="Q289" i="27"/>
  <c r="Q297" i="27"/>
  <c r="Q305" i="27"/>
  <c r="Q147" i="27"/>
  <c r="Q220" i="27"/>
  <c r="Q260" i="27"/>
  <c r="Q268" i="27"/>
  <c r="Q276" i="27"/>
  <c r="Q284" i="27"/>
  <c r="Q292" i="27"/>
  <c r="Q300" i="27"/>
  <c r="Q308" i="27"/>
  <c r="Q244" i="27"/>
  <c r="Q263" i="27"/>
  <c r="Q271" i="27"/>
  <c r="Q279" i="27"/>
  <c r="Q287" i="27"/>
  <c r="Q295" i="27"/>
  <c r="Q303" i="27"/>
  <c r="Q228" i="27"/>
  <c r="Q261" i="27"/>
  <c r="Q269" i="27"/>
  <c r="Q277" i="27"/>
  <c r="Q285" i="27"/>
  <c r="Q293" i="27"/>
  <c r="Q301" i="27"/>
  <c r="Q309" i="27"/>
  <c r="Q171" i="27"/>
  <c r="Q196" i="27"/>
  <c r="Q251" i="27"/>
  <c r="Q252" i="27"/>
  <c r="Q253" i="27"/>
  <c r="Q264" i="27"/>
  <c r="Q272" i="27"/>
  <c r="Q280" i="27"/>
  <c r="Q288" i="27"/>
  <c r="Q296" i="27"/>
  <c r="Q304" i="27"/>
  <c r="Q318" i="27"/>
  <c r="Q326" i="27"/>
  <c r="Q334" i="27"/>
  <c r="Q342" i="27"/>
  <c r="Q350" i="27"/>
  <c r="Q358" i="27"/>
  <c r="Q366" i="27"/>
  <c r="Q374" i="27"/>
  <c r="Q382" i="27"/>
  <c r="Q390" i="27"/>
  <c r="Q398" i="27"/>
  <c r="Q406" i="27"/>
  <c r="Q247" i="27"/>
  <c r="Q274" i="27"/>
  <c r="Q313" i="27"/>
  <c r="Q321" i="27"/>
  <c r="Q329" i="27"/>
  <c r="Q337" i="27"/>
  <c r="Q345" i="27"/>
  <c r="Q353" i="27"/>
  <c r="Q361" i="27"/>
  <c r="Q369" i="27"/>
  <c r="Q377" i="27"/>
  <c r="Q385" i="27"/>
  <c r="Q393" i="27"/>
  <c r="Q401" i="27"/>
  <c r="Q409" i="27"/>
  <c r="Q208" i="27"/>
  <c r="Q298" i="27"/>
  <c r="Q316" i="27"/>
  <c r="Q324" i="27"/>
  <c r="Q332" i="27"/>
  <c r="Q340" i="27"/>
  <c r="Q348" i="27"/>
  <c r="Q356" i="27"/>
  <c r="Q364" i="27"/>
  <c r="Q372" i="27"/>
  <c r="Q380" i="27"/>
  <c r="Q388" i="27"/>
  <c r="Q396" i="27"/>
  <c r="Q404" i="27"/>
  <c r="Q412" i="27"/>
  <c r="Q420" i="27"/>
  <c r="Q258" i="27"/>
  <c r="Q311" i="27"/>
  <c r="Q319" i="27"/>
  <c r="Q327" i="27"/>
  <c r="Q335" i="27"/>
  <c r="Q343" i="27"/>
  <c r="Q351" i="27"/>
  <c r="Q359" i="27"/>
  <c r="Q367" i="27"/>
  <c r="Q375" i="27"/>
  <c r="Q383" i="27"/>
  <c r="Q391" i="27"/>
  <c r="Q399" i="27"/>
  <c r="Q407" i="27"/>
  <c r="Q282" i="27"/>
  <c r="Q307" i="27"/>
  <c r="Q314" i="27"/>
  <c r="Q322" i="27"/>
  <c r="Q330" i="27"/>
  <c r="Q338" i="27"/>
  <c r="Q346" i="27"/>
  <c r="Q354" i="27"/>
  <c r="Q362" i="27"/>
  <c r="Q370" i="27"/>
  <c r="Q378" i="27"/>
  <c r="Q386" i="27"/>
  <c r="Q394" i="27"/>
  <c r="Q402" i="27"/>
  <c r="Q410" i="27"/>
  <c r="Q266" i="27"/>
  <c r="Q312" i="27"/>
  <c r="Q320" i="27"/>
  <c r="Q328" i="27"/>
  <c r="Q336" i="27"/>
  <c r="Q344" i="27"/>
  <c r="Q352" i="27"/>
  <c r="Q360" i="27"/>
  <c r="Q368" i="27"/>
  <c r="Q376" i="27"/>
  <c r="Q384" i="27"/>
  <c r="Q392" i="27"/>
  <c r="Q400" i="27"/>
  <c r="Q290" i="27"/>
  <c r="Q306" i="27"/>
  <c r="Q315" i="27"/>
  <c r="Q323" i="27"/>
  <c r="Q331" i="27"/>
  <c r="Q339" i="27"/>
  <c r="Q347" i="27"/>
  <c r="Q355" i="27"/>
  <c r="Q363" i="27"/>
  <c r="Q371" i="27"/>
  <c r="Q379" i="27"/>
  <c r="Q387" i="27"/>
  <c r="Q395" i="27"/>
  <c r="Q403" i="27"/>
  <c r="Q411" i="27"/>
  <c r="Q419" i="27"/>
  <c r="Q365" i="27"/>
  <c r="Q425" i="27"/>
  <c r="Q433" i="27"/>
  <c r="Q441" i="27"/>
  <c r="Q449" i="27"/>
  <c r="Q457" i="27"/>
  <c r="Q465" i="27"/>
  <c r="Q473" i="27"/>
  <c r="Q481" i="27"/>
  <c r="Q489" i="27"/>
  <c r="Q325" i="27"/>
  <c r="Q389" i="27"/>
  <c r="Q428" i="27"/>
  <c r="Q436" i="27"/>
  <c r="Q444" i="27"/>
  <c r="Q452" i="27"/>
  <c r="Q460" i="27"/>
  <c r="Q468" i="27"/>
  <c r="Q476" i="27"/>
  <c r="Q484" i="27"/>
  <c r="Q492" i="27"/>
  <c r="Q500" i="27"/>
  <c r="Q349" i="27"/>
  <c r="Q431" i="27"/>
  <c r="Q439" i="27"/>
  <c r="Q447" i="27"/>
  <c r="Q455" i="27"/>
  <c r="Q463" i="27"/>
  <c r="Q471" i="27"/>
  <c r="Q479" i="27"/>
  <c r="Q487" i="27"/>
  <c r="Q495" i="27"/>
  <c r="Q503" i="27"/>
  <c r="Q511" i="27"/>
  <c r="Q373" i="27"/>
  <c r="Q414" i="27"/>
  <c r="Q415" i="27"/>
  <c r="Q426" i="27"/>
  <c r="Q434" i="27"/>
  <c r="Q442" i="27"/>
  <c r="Q450" i="27"/>
  <c r="Q458" i="27"/>
  <c r="Q466" i="27"/>
  <c r="Q474" i="27"/>
  <c r="Q482" i="27"/>
  <c r="Q490" i="27"/>
  <c r="Q498" i="27"/>
  <c r="Q333" i="27"/>
  <c r="Q397" i="27"/>
  <c r="Q408" i="27"/>
  <c r="Q416" i="27"/>
  <c r="Q417" i="27"/>
  <c r="Q418" i="27"/>
  <c r="Q429" i="27"/>
  <c r="Q437" i="27"/>
  <c r="Q445" i="27"/>
  <c r="Q453" i="27"/>
  <c r="Q461" i="27"/>
  <c r="Q469" i="27"/>
  <c r="Q477" i="27"/>
  <c r="Q485" i="27"/>
  <c r="Q493" i="27"/>
  <c r="Q310" i="27"/>
  <c r="Q357" i="27"/>
  <c r="Q413" i="27"/>
  <c r="Q421" i="27"/>
  <c r="Q422" i="27"/>
  <c r="Q423" i="27"/>
  <c r="Q432" i="27"/>
  <c r="Q440" i="27"/>
  <c r="Q448" i="27"/>
  <c r="Q456" i="27"/>
  <c r="Q464" i="27"/>
  <c r="Q472" i="27"/>
  <c r="Q480" i="27"/>
  <c r="Q488" i="27"/>
  <c r="Q317" i="27"/>
  <c r="Q381" i="27"/>
  <c r="Q424" i="27"/>
  <c r="Q427" i="27"/>
  <c r="Q435" i="27"/>
  <c r="Q443" i="27"/>
  <c r="Q451" i="27"/>
  <c r="Q459" i="27"/>
  <c r="Q467" i="27"/>
  <c r="Q475" i="27"/>
  <c r="Q483" i="27"/>
  <c r="Q491" i="27"/>
  <c r="Q499" i="27"/>
  <c r="Q507" i="27"/>
  <c r="O506" i="27"/>
  <c r="O498" i="27"/>
  <c r="O490" i="27"/>
  <c r="O482" i="27"/>
  <c r="O474" i="27"/>
  <c r="O466" i="27"/>
  <c r="O458" i="27"/>
  <c r="O450" i="27"/>
  <c r="O442" i="27"/>
  <c r="O434" i="27"/>
  <c r="O426" i="27"/>
  <c r="O418" i="27"/>
  <c r="O410" i="27"/>
  <c r="O402" i="27"/>
  <c r="O394" i="27"/>
  <c r="O386" i="27"/>
  <c r="O378" i="27"/>
  <c r="O370" i="27"/>
  <c r="O362" i="27"/>
  <c r="O354" i="27"/>
  <c r="O346" i="27"/>
  <c r="O338" i="27"/>
  <c r="O330" i="27"/>
  <c r="O322" i="27"/>
  <c r="O314" i="27"/>
  <c r="O306" i="27"/>
  <c r="O298" i="27"/>
  <c r="O290" i="27"/>
  <c r="O282" i="27"/>
  <c r="O274" i="27"/>
  <c r="O266" i="27"/>
  <c r="O258" i="27"/>
  <c r="O250" i="27"/>
  <c r="O242" i="27"/>
  <c r="O234" i="27"/>
  <c r="O226" i="27"/>
  <c r="O218" i="27"/>
  <c r="O210" i="27"/>
  <c r="O202" i="27"/>
  <c r="O194" i="27"/>
  <c r="O186" i="27"/>
  <c r="O178" i="27"/>
  <c r="O170" i="27"/>
  <c r="O162" i="27"/>
  <c r="O154" i="27"/>
  <c r="O144" i="27"/>
  <c r="O134" i="27"/>
  <c r="O123" i="27"/>
  <c r="O112" i="27"/>
  <c r="O102" i="27"/>
  <c r="O91" i="27"/>
  <c r="O80" i="27"/>
  <c r="O70" i="27"/>
  <c r="O59" i="27"/>
  <c r="O48" i="27"/>
  <c r="O38" i="27"/>
  <c r="O27" i="27"/>
  <c r="O16" i="27"/>
  <c r="Z511" i="27"/>
  <c r="Z510" i="27"/>
  <c r="Z509" i="27"/>
  <c r="P509" i="27"/>
  <c r="P508" i="27"/>
  <c r="P507" i="27"/>
  <c r="Q506" i="27"/>
  <c r="P505" i="27"/>
  <c r="V503" i="27"/>
  <c r="Q502" i="27"/>
  <c r="W500" i="27"/>
  <c r="R499" i="27"/>
  <c r="X497" i="27"/>
  <c r="Q496" i="27"/>
  <c r="W492" i="27"/>
  <c r="Y486" i="27"/>
  <c r="R475" i="27"/>
  <c r="T469" i="27"/>
  <c r="V463" i="27"/>
  <c r="Z451" i="27"/>
  <c r="Q446" i="27"/>
  <c r="S440" i="27"/>
  <c r="U434" i="27"/>
  <c r="W428" i="27"/>
  <c r="T422" i="27"/>
  <c r="V414" i="27"/>
  <c r="Y381" i="27"/>
  <c r="S335" i="27"/>
  <c r="X6" i="27"/>
  <c r="X14" i="27"/>
  <c r="X22" i="27"/>
  <c r="X30" i="27"/>
  <c r="X38" i="27"/>
  <c r="X46" i="27"/>
  <c r="X54" i="27"/>
  <c r="X62" i="27"/>
  <c r="X9" i="27"/>
  <c r="X17" i="27"/>
  <c r="X25" i="27"/>
  <c r="X33" i="27"/>
  <c r="X41" i="27"/>
  <c r="X49" i="27"/>
  <c r="X57" i="27"/>
  <c r="X12" i="27"/>
  <c r="X20" i="27"/>
  <c r="X28" i="27"/>
  <c r="X36" i="27"/>
  <c r="X44" i="27"/>
  <c r="X52" i="27"/>
  <c r="X60" i="27"/>
  <c r="X7" i="27"/>
  <c r="X15" i="27"/>
  <c r="X23" i="27"/>
  <c r="X31" i="27"/>
  <c r="X39" i="27"/>
  <c r="X47" i="27"/>
  <c r="X55" i="27"/>
  <c r="X63" i="27"/>
  <c r="X13" i="27"/>
  <c r="X21" i="27"/>
  <c r="X29" i="27"/>
  <c r="X37" i="27"/>
  <c r="X45" i="27"/>
  <c r="X53" i="27"/>
  <c r="X61" i="27"/>
  <c r="X8" i="27"/>
  <c r="X16" i="27"/>
  <c r="X24" i="27"/>
  <c r="X32" i="27"/>
  <c r="X40" i="27"/>
  <c r="X48" i="27"/>
  <c r="X56" i="27"/>
  <c r="X64" i="27"/>
  <c r="X27" i="27"/>
  <c r="X59" i="27"/>
  <c r="X71" i="27"/>
  <c r="X79" i="27"/>
  <c r="X87" i="27"/>
  <c r="X95" i="27"/>
  <c r="X10" i="27"/>
  <c r="X42" i="27"/>
  <c r="X66" i="27"/>
  <c r="X74" i="27"/>
  <c r="X82" i="27"/>
  <c r="X90" i="27"/>
  <c r="X98" i="27"/>
  <c r="X106" i="27"/>
  <c r="X19" i="27"/>
  <c r="X51" i="27"/>
  <c r="X69" i="27"/>
  <c r="X77" i="27"/>
  <c r="X85" i="27"/>
  <c r="X93" i="27"/>
  <c r="X101" i="27"/>
  <c r="X34" i="27"/>
  <c r="X72" i="27"/>
  <c r="X80" i="27"/>
  <c r="X88" i="27"/>
  <c r="X96" i="27"/>
  <c r="X104" i="27"/>
  <c r="X11" i="27"/>
  <c r="X26" i="27"/>
  <c r="X58" i="27"/>
  <c r="X70" i="27"/>
  <c r="X78" i="27"/>
  <c r="X86" i="27"/>
  <c r="X94" i="27"/>
  <c r="X102" i="27"/>
  <c r="X35" i="27"/>
  <c r="X65" i="27"/>
  <c r="X73" i="27"/>
  <c r="X81" i="27"/>
  <c r="X89" i="27"/>
  <c r="X97" i="27"/>
  <c r="X105" i="27"/>
  <c r="X43" i="27"/>
  <c r="X68" i="27"/>
  <c r="X83" i="27"/>
  <c r="X113" i="27"/>
  <c r="X121" i="27"/>
  <c r="X129" i="27"/>
  <c r="X137" i="27"/>
  <c r="X145" i="27"/>
  <c r="X153" i="27"/>
  <c r="X18" i="27"/>
  <c r="X75" i="27"/>
  <c r="X119" i="27"/>
  <c r="X127" i="27"/>
  <c r="X135" i="27"/>
  <c r="X143" i="27"/>
  <c r="X151" i="27"/>
  <c r="X67" i="27"/>
  <c r="X99" i="27"/>
  <c r="X103" i="27"/>
  <c r="X117" i="27"/>
  <c r="X125" i="27"/>
  <c r="X133" i="27"/>
  <c r="X134" i="27"/>
  <c r="X156" i="27"/>
  <c r="X164" i="27"/>
  <c r="X172" i="27"/>
  <c r="X76" i="27"/>
  <c r="X84" i="27"/>
  <c r="X109" i="27"/>
  <c r="X112" i="27"/>
  <c r="X126" i="27"/>
  <c r="X159" i="27"/>
  <c r="X107" i="27"/>
  <c r="X118" i="27"/>
  <c r="X132" i="27"/>
  <c r="X139" i="27"/>
  <c r="X140" i="27"/>
  <c r="X141" i="27"/>
  <c r="X162" i="27"/>
  <c r="X111" i="27"/>
  <c r="X124" i="27"/>
  <c r="X131" i="27"/>
  <c r="X138" i="27"/>
  <c r="X142" i="27"/>
  <c r="X144" i="27"/>
  <c r="X146" i="27"/>
  <c r="X157" i="27"/>
  <c r="X165" i="27"/>
  <c r="X173" i="27"/>
  <c r="X50" i="27"/>
  <c r="X116" i="27"/>
  <c r="X123" i="27"/>
  <c r="X130" i="27"/>
  <c r="X147" i="27"/>
  <c r="X148" i="27"/>
  <c r="X149" i="27"/>
  <c r="X91" i="27"/>
  <c r="X100" i="27"/>
  <c r="X177" i="27"/>
  <c r="X186" i="27"/>
  <c r="X194" i="27"/>
  <c r="X202" i="27"/>
  <c r="X210" i="27"/>
  <c r="X92" i="27"/>
  <c r="X115" i="27"/>
  <c r="X150" i="27"/>
  <c r="X155" i="27"/>
  <c r="X178" i="27"/>
  <c r="X181" i="27"/>
  <c r="X189" i="27"/>
  <c r="X197" i="27"/>
  <c r="X108" i="27"/>
  <c r="X163" i="27"/>
  <c r="X184" i="27"/>
  <c r="X192" i="27"/>
  <c r="X200" i="27"/>
  <c r="X208" i="27"/>
  <c r="X122" i="27"/>
  <c r="X128" i="27"/>
  <c r="X166" i="27"/>
  <c r="X167" i="27"/>
  <c r="X168" i="27"/>
  <c r="X179" i="27"/>
  <c r="X187" i="27"/>
  <c r="X195" i="27"/>
  <c r="X169" i="27"/>
  <c r="X170" i="27"/>
  <c r="X171" i="27"/>
  <c r="X182" i="27"/>
  <c r="X190" i="27"/>
  <c r="X198" i="27"/>
  <c r="X206" i="27"/>
  <c r="X110" i="27"/>
  <c r="X161" i="27"/>
  <c r="X176" i="27"/>
  <c r="X180" i="27"/>
  <c r="X188" i="27"/>
  <c r="X196" i="27"/>
  <c r="X204" i="27"/>
  <c r="X185" i="27"/>
  <c r="X205" i="27"/>
  <c r="X216" i="27"/>
  <c r="X224" i="27"/>
  <c r="X232" i="27"/>
  <c r="X240" i="27"/>
  <c r="X248" i="27"/>
  <c r="X152" i="27"/>
  <c r="X160" i="27"/>
  <c r="X191" i="27"/>
  <c r="X219" i="27"/>
  <c r="X227" i="27"/>
  <c r="X235" i="27"/>
  <c r="X243" i="27"/>
  <c r="X154" i="27"/>
  <c r="X211" i="27"/>
  <c r="X214" i="27"/>
  <c r="X222" i="27"/>
  <c r="X230" i="27"/>
  <c r="X238" i="27"/>
  <c r="X246" i="27"/>
  <c r="X120" i="27"/>
  <c r="X183" i="27"/>
  <c r="X207" i="27"/>
  <c r="X217" i="27"/>
  <c r="X225" i="27"/>
  <c r="X233" i="27"/>
  <c r="X241" i="27"/>
  <c r="X249" i="27"/>
  <c r="X174" i="27"/>
  <c r="X201" i="27"/>
  <c r="X212" i="27"/>
  <c r="X220" i="27"/>
  <c r="X228" i="27"/>
  <c r="X236" i="27"/>
  <c r="X244" i="27"/>
  <c r="X158" i="27"/>
  <c r="X175" i="27"/>
  <c r="X193" i="27"/>
  <c r="X209" i="27"/>
  <c r="X218" i="27"/>
  <c r="X226" i="27"/>
  <c r="X234" i="27"/>
  <c r="X242" i="27"/>
  <c r="X114" i="27"/>
  <c r="X199" i="27"/>
  <c r="X213" i="27"/>
  <c r="X221" i="27"/>
  <c r="X229" i="27"/>
  <c r="X237" i="27"/>
  <c r="X245" i="27"/>
  <c r="X253" i="27"/>
  <c r="X223" i="27"/>
  <c r="X262" i="27"/>
  <c r="X270" i="27"/>
  <c r="X278" i="27"/>
  <c r="X286" i="27"/>
  <c r="X294" i="27"/>
  <c r="X302" i="27"/>
  <c r="X257" i="27"/>
  <c r="X265" i="27"/>
  <c r="X273" i="27"/>
  <c r="X281" i="27"/>
  <c r="X289" i="27"/>
  <c r="X297" i="27"/>
  <c r="X136" i="27"/>
  <c r="X203" i="27"/>
  <c r="X260" i="27"/>
  <c r="X268" i="27"/>
  <c r="X276" i="27"/>
  <c r="X284" i="27"/>
  <c r="X292" i="27"/>
  <c r="X300" i="27"/>
  <c r="X308" i="27"/>
  <c r="X231" i="27"/>
  <c r="X263" i="27"/>
  <c r="X271" i="27"/>
  <c r="X279" i="27"/>
  <c r="X287" i="27"/>
  <c r="X295" i="27"/>
  <c r="X303" i="27"/>
  <c r="X250" i="27"/>
  <c r="X251" i="27"/>
  <c r="X252" i="27"/>
  <c r="X258" i="27"/>
  <c r="X266" i="27"/>
  <c r="X274" i="27"/>
  <c r="X282" i="27"/>
  <c r="X290" i="27"/>
  <c r="X298" i="27"/>
  <c r="X239" i="27"/>
  <c r="X256" i="27"/>
  <c r="X264" i="27"/>
  <c r="X272" i="27"/>
  <c r="X280" i="27"/>
  <c r="X288" i="27"/>
  <c r="X296" i="27"/>
  <c r="X304" i="27"/>
  <c r="X247" i="27"/>
  <c r="X259" i="27"/>
  <c r="X267" i="27"/>
  <c r="X275" i="27"/>
  <c r="X283" i="27"/>
  <c r="X291" i="27"/>
  <c r="X299" i="27"/>
  <c r="X307" i="27"/>
  <c r="X255" i="27"/>
  <c r="X261" i="27"/>
  <c r="X310" i="27"/>
  <c r="X313" i="27"/>
  <c r="X321" i="27"/>
  <c r="X329" i="27"/>
  <c r="X337" i="27"/>
  <c r="X345" i="27"/>
  <c r="X353" i="27"/>
  <c r="X361" i="27"/>
  <c r="X369" i="27"/>
  <c r="X377" i="27"/>
  <c r="X385" i="27"/>
  <c r="X393" i="27"/>
  <c r="X401" i="27"/>
  <c r="X409" i="27"/>
  <c r="X285" i="27"/>
  <c r="X316" i="27"/>
  <c r="X324" i="27"/>
  <c r="X332" i="27"/>
  <c r="X340" i="27"/>
  <c r="X348" i="27"/>
  <c r="X356" i="27"/>
  <c r="X364" i="27"/>
  <c r="X372" i="27"/>
  <c r="X380" i="27"/>
  <c r="X388" i="27"/>
  <c r="X396" i="27"/>
  <c r="X404" i="27"/>
  <c r="X412" i="27"/>
  <c r="X306" i="27"/>
  <c r="X311" i="27"/>
  <c r="X319" i="27"/>
  <c r="X327" i="27"/>
  <c r="X335" i="27"/>
  <c r="X343" i="27"/>
  <c r="X351" i="27"/>
  <c r="X359" i="27"/>
  <c r="X367" i="27"/>
  <c r="X375" i="27"/>
  <c r="X383" i="27"/>
  <c r="X391" i="27"/>
  <c r="X399" i="27"/>
  <c r="X407" i="27"/>
  <c r="X415" i="27"/>
  <c r="X423" i="27"/>
  <c r="X215" i="27"/>
  <c r="X269" i="27"/>
  <c r="X309" i="27"/>
  <c r="X314" i="27"/>
  <c r="X322" i="27"/>
  <c r="X330" i="27"/>
  <c r="X338" i="27"/>
  <c r="X346" i="27"/>
  <c r="X354" i="27"/>
  <c r="X362" i="27"/>
  <c r="X370" i="27"/>
  <c r="X378" i="27"/>
  <c r="X386" i="27"/>
  <c r="X394" i="27"/>
  <c r="X402" i="27"/>
  <c r="X410" i="27"/>
  <c r="X293" i="27"/>
  <c r="X317" i="27"/>
  <c r="X325" i="27"/>
  <c r="X333" i="27"/>
  <c r="X341" i="27"/>
  <c r="X349" i="27"/>
  <c r="X357" i="27"/>
  <c r="X365" i="27"/>
  <c r="X373" i="27"/>
  <c r="X381" i="27"/>
  <c r="X389" i="27"/>
  <c r="X397" i="27"/>
  <c r="X405" i="27"/>
  <c r="X413" i="27"/>
  <c r="X277" i="27"/>
  <c r="X315" i="27"/>
  <c r="X323" i="27"/>
  <c r="X331" i="27"/>
  <c r="X339" i="27"/>
  <c r="X347" i="27"/>
  <c r="X355" i="27"/>
  <c r="X363" i="27"/>
  <c r="X371" i="27"/>
  <c r="X379" i="27"/>
  <c r="X387" i="27"/>
  <c r="X395" i="27"/>
  <c r="X403" i="27"/>
  <c r="X254" i="27"/>
  <c r="X301" i="27"/>
  <c r="X318" i="27"/>
  <c r="X326" i="27"/>
  <c r="X334" i="27"/>
  <c r="X342" i="27"/>
  <c r="X350" i="27"/>
  <c r="X358" i="27"/>
  <c r="X366" i="27"/>
  <c r="X374" i="27"/>
  <c r="X382" i="27"/>
  <c r="X390" i="27"/>
  <c r="X398" i="27"/>
  <c r="X406" i="27"/>
  <c r="X414" i="27"/>
  <c r="X422" i="27"/>
  <c r="X312" i="27"/>
  <c r="X376" i="27"/>
  <c r="X428" i="27"/>
  <c r="X436" i="27"/>
  <c r="X444" i="27"/>
  <c r="X452" i="27"/>
  <c r="X460" i="27"/>
  <c r="X468" i="27"/>
  <c r="X476" i="27"/>
  <c r="X484" i="27"/>
  <c r="X492" i="27"/>
  <c r="X336" i="27"/>
  <c r="X400" i="27"/>
  <c r="X416" i="27"/>
  <c r="X417" i="27"/>
  <c r="X418" i="27"/>
  <c r="X431" i="27"/>
  <c r="X439" i="27"/>
  <c r="X447" i="27"/>
  <c r="X455" i="27"/>
  <c r="X463" i="27"/>
  <c r="X471" i="27"/>
  <c r="X479" i="27"/>
  <c r="X487" i="27"/>
  <c r="X495" i="27"/>
  <c r="X503" i="27"/>
  <c r="X305" i="27"/>
  <c r="X360" i="27"/>
  <c r="X419" i="27"/>
  <c r="X420" i="27"/>
  <c r="X421" i="27"/>
  <c r="X426" i="27"/>
  <c r="X434" i="27"/>
  <c r="X442" i="27"/>
  <c r="X450" i="27"/>
  <c r="X458" i="27"/>
  <c r="X466" i="27"/>
  <c r="X474" i="27"/>
  <c r="X482" i="27"/>
  <c r="X490" i="27"/>
  <c r="X498" i="27"/>
  <c r="X506" i="27"/>
  <c r="X320" i="27"/>
  <c r="X384" i="27"/>
  <c r="X429" i="27"/>
  <c r="X437" i="27"/>
  <c r="X445" i="27"/>
  <c r="X453" i="27"/>
  <c r="X461" i="27"/>
  <c r="X469" i="27"/>
  <c r="X477" i="27"/>
  <c r="X485" i="27"/>
  <c r="X493" i="27"/>
  <c r="X501" i="27"/>
  <c r="X344" i="27"/>
  <c r="X424" i="27"/>
  <c r="X432" i="27"/>
  <c r="X440" i="27"/>
  <c r="X448" i="27"/>
  <c r="X456" i="27"/>
  <c r="X464" i="27"/>
  <c r="X472" i="27"/>
  <c r="X480" i="27"/>
  <c r="X488" i="27"/>
  <c r="X496" i="27"/>
  <c r="X368" i="27"/>
  <c r="X408" i="27"/>
  <c r="X427" i="27"/>
  <c r="X435" i="27"/>
  <c r="X443" i="27"/>
  <c r="X451" i="27"/>
  <c r="X459" i="27"/>
  <c r="X467" i="27"/>
  <c r="X475" i="27"/>
  <c r="X483" i="27"/>
  <c r="X491" i="27"/>
  <c r="X328" i="27"/>
  <c r="X392" i="27"/>
  <c r="X430" i="27"/>
  <c r="X438" i="27"/>
  <c r="X446" i="27"/>
  <c r="X454" i="27"/>
  <c r="X462" i="27"/>
  <c r="X470" i="27"/>
  <c r="X478" i="27"/>
  <c r="X486" i="27"/>
  <c r="X494" i="27"/>
  <c r="X502" i="27"/>
  <c r="X510" i="27"/>
  <c r="P6" i="27"/>
  <c r="P14" i="27"/>
  <c r="P22" i="27"/>
  <c r="P30" i="27"/>
  <c r="P38" i="27"/>
  <c r="P46" i="27"/>
  <c r="P54" i="27"/>
  <c r="P62" i="27"/>
  <c r="P9" i="27"/>
  <c r="P17" i="27"/>
  <c r="P25" i="27"/>
  <c r="P33" i="27"/>
  <c r="P41" i="27"/>
  <c r="P49" i="27"/>
  <c r="P57" i="27"/>
  <c r="P65" i="27"/>
  <c r="P12" i="27"/>
  <c r="P20" i="27"/>
  <c r="P28" i="27"/>
  <c r="P36" i="27"/>
  <c r="P44" i="27"/>
  <c r="P52" i="27"/>
  <c r="P60" i="27"/>
  <c r="P7" i="27"/>
  <c r="P15" i="27"/>
  <c r="P23" i="27"/>
  <c r="P31" i="27"/>
  <c r="P39" i="27"/>
  <c r="P47" i="27"/>
  <c r="P55" i="27"/>
  <c r="P63" i="27"/>
  <c r="P10" i="27"/>
  <c r="P13" i="27"/>
  <c r="P21" i="27"/>
  <c r="P29" i="27"/>
  <c r="P37" i="27"/>
  <c r="P45" i="27"/>
  <c r="P53" i="27"/>
  <c r="P61" i="27"/>
  <c r="P8" i="27"/>
  <c r="P16" i="27"/>
  <c r="P24" i="27"/>
  <c r="P32" i="27"/>
  <c r="P40" i="27"/>
  <c r="P48" i="27"/>
  <c r="P56" i="27"/>
  <c r="P64" i="27"/>
  <c r="P19" i="27"/>
  <c r="P51" i="27"/>
  <c r="P71" i="27"/>
  <c r="P79" i="27"/>
  <c r="P87" i="27"/>
  <c r="P95" i="27"/>
  <c r="P34" i="27"/>
  <c r="P66" i="27"/>
  <c r="P74" i="27"/>
  <c r="P82" i="27"/>
  <c r="P90" i="27"/>
  <c r="P98" i="27"/>
  <c r="P106" i="27"/>
  <c r="P11" i="27"/>
  <c r="P43" i="27"/>
  <c r="P69" i="27"/>
  <c r="P77" i="27"/>
  <c r="P85" i="27"/>
  <c r="P93" i="27"/>
  <c r="P101" i="27"/>
  <c r="P26" i="27"/>
  <c r="P58" i="27"/>
  <c r="P72" i="27"/>
  <c r="P80" i="27"/>
  <c r="P88" i="27"/>
  <c r="P96" i="27"/>
  <c r="P104" i="27"/>
  <c r="P112" i="27"/>
  <c r="P18" i="27"/>
  <c r="P50" i="27"/>
  <c r="P70" i="27"/>
  <c r="P78" i="27"/>
  <c r="P86" i="27"/>
  <c r="P94" i="27"/>
  <c r="P102" i="27"/>
  <c r="P27" i="27"/>
  <c r="P59" i="27"/>
  <c r="P73" i="27"/>
  <c r="P81" i="27"/>
  <c r="P89" i="27"/>
  <c r="P97" i="27"/>
  <c r="P105" i="27"/>
  <c r="P113" i="27"/>
  <c r="P83" i="27"/>
  <c r="P35" i="27"/>
  <c r="P75" i="27"/>
  <c r="P109" i="27"/>
  <c r="P121" i="27"/>
  <c r="P129" i="27"/>
  <c r="P137" i="27"/>
  <c r="P145" i="27"/>
  <c r="P153" i="27"/>
  <c r="P67" i="27"/>
  <c r="P99" i="27"/>
  <c r="P108" i="27"/>
  <c r="P119" i="27"/>
  <c r="P127" i="27"/>
  <c r="P135" i="27"/>
  <c r="P143" i="27"/>
  <c r="P151" i="27"/>
  <c r="P91" i="27"/>
  <c r="P117" i="27"/>
  <c r="P125" i="27"/>
  <c r="P133" i="27"/>
  <c r="P76" i="27"/>
  <c r="P84" i="27"/>
  <c r="P111" i="27"/>
  <c r="P115" i="27"/>
  <c r="P122" i="27"/>
  <c r="P136" i="27"/>
  <c r="P155" i="27"/>
  <c r="P156" i="27"/>
  <c r="P164" i="27"/>
  <c r="P172" i="27"/>
  <c r="P68" i="27"/>
  <c r="P114" i="27"/>
  <c r="P128" i="27"/>
  <c r="P159" i="27"/>
  <c r="P120" i="27"/>
  <c r="P162" i="27"/>
  <c r="P42" i="27"/>
  <c r="P100" i="27"/>
  <c r="P103" i="27"/>
  <c r="P110" i="27"/>
  <c r="P134" i="27"/>
  <c r="P157" i="27"/>
  <c r="P165" i="27"/>
  <c r="P173" i="27"/>
  <c r="P126" i="27"/>
  <c r="P140" i="27"/>
  <c r="P141" i="27"/>
  <c r="P92" i="27"/>
  <c r="P150" i="27"/>
  <c r="P186" i="27"/>
  <c r="P194" i="27"/>
  <c r="P202" i="27"/>
  <c r="P210" i="27"/>
  <c r="P107" i="27"/>
  <c r="P131" i="27"/>
  <c r="P148" i="27"/>
  <c r="P177" i="27"/>
  <c r="P181" i="27"/>
  <c r="P189" i="27"/>
  <c r="P197" i="27"/>
  <c r="P146" i="27"/>
  <c r="P158" i="27"/>
  <c r="P161" i="27"/>
  <c r="P178" i="27"/>
  <c r="P184" i="27"/>
  <c r="P192" i="27"/>
  <c r="P200" i="27"/>
  <c r="P208" i="27"/>
  <c r="P116" i="27"/>
  <c r="P132" i="27"/>
  <c r="P138" i="27"/>
  <c r="P160" i="27"/>
  <c r="P187" i="27"/>
  <c r="P195" i="27"/>
  <c r="P144" i="27"/>
  <c r="P149" i="27"/>
  <c r="P154" i="27"/>
  <c r="P163" i="27"/>
  <c r="P179" i="27"/>
  <c r="P182" i="27"/>
  <c r="P190" i="27"/>
  <c r="P198" i="27"/>
  <c r="P206" i="27"/>
  <c r="P142" i="27"/>
  <c r="P147" i="27"/>
  <c r="P152" i="27"/>
  <c r="P169" i="27"/>
  <c r="P170" i="27"/>
  <c r="P171" i="27"/>
  <c r="P180" i="27"/>
  <c r="P188" i="27"/>
  <c r="P196" i="27"/>
  <c r="P204" i="27"/>
  <c r="P216" i="27"/>
  <c r="P224" i="27"/>
  <c r="P232" i="27"/>
  <c r="P240" i="27"/>
  <c r="P248" i="27"/>
  <c r="P118" i="27"/>
  <c r="P130" i="27"/>
  <c r="P183" i="27"/>
  <c r="P203" i="27"/>
  <c r="P219" i="27"/>
  <c r="P227" i="27"/>
  <c r="P235" i="27"/>
  <c r="P243" i="27"/>
  <c r="P166" i="27"/>
  <c r="P201" i="27"/>
  <c r="P209" i="27"/>
  <c r="P214" i="27"/>
  <c r="P222" i="27"/>
  <c r="P230" i="27"/>
  <c r="P238" i="27"/>
  <c r="P246" i="27"/>
  <c r="P174" i="27"/>
  <c r="P217" i="27"/>
  <c r="P225" i="27"/>
  <c r="P233" i="27"/>
  <c r="P241" i="27"/>
  <c r="P249" i="27"/>
  <c r="P123" i="27"/>
  <c r="P167" i="27"/>
  <c r="P193" i="27"/>
  <c r="P205" i="27"/>
  <c r="P212" i="27"/>
  <c r="P220" i="27"/>
  <c r="P228" i="27"/>
  <c r="P236" i="27"/>
  <c r="P244" i="27"/>
  <c r="P139" i="27"/>
  <c r="P168" i="27"/>
  <c r="P185" i="27"/>
  <c r="P218" i="27"/>
  <c r="P226" i="27"/>
  <c r="P234" i="27"/>
  <c r="P242" i="27"/>
  <c r="P176" i="27"/>
  <c r="P191" i="27"/>
  <c r="P207" i="27"/>
  <c r="P213" i="27"/>
  <c r="P221" i="27"/>
  <c r="P229" i="27"/>
  <c r="P237" i="27"/>
  <c r="P245" i="27"/>
  <c r="P253" i="27"/>
  <c r="P175" i="27"/>
  <c r="P199" i="27"/>
  <c r="P262" i="27"/>
  <c r="P270" i="27"/>
  <c r="P278" i="27"/>
  <c r="P286" i="27"/>
  <c r="P294" i="27"/>
  <c r="P302" i="27"/>
  <c r="P124" i="27"/>
  <c r="P250" i="27"/>
  <c r="P257" i="27"/>
  <c r="P265" i="27"/>
  <c r="P273" i="27"/>
  <c r="P281" i="27"/>
  <c r="P289" i="27"/>
  <c r="P297" i="27"/>
  <c r="P305" i="27"/>
  <c r="P231" i="27"/>
  <c r="P260" i="27"/>
  <c r="P268" i="27"/>
  <c r="P276" i="27"/>
  <c r="P284" i="27"/>
  <c r="P292" i="27"/>
  <c r="P300" i="27"/>
  <c r="P308" i="27"/>
  <c r="P263" i="27"/>
  <c r="P271" i="27"/>
  <c r="P279" i="27"/>
  <c r="P287" i="27"/>
  <c r="P295" i="27"/>
  <c r="P303" i="27"/>
  <c r="P215" i="27"/>
  <c r="P247" i="27"/>
  <c r="P258" i="27"/>
  <c r="P266" i="27"/>
  <c r="P274" i="27"/>
  <c r="P282" i="27"/>
  <c r="P290" i="27"/>
  <c r="P298" i="27"/>
  <c r="P251" i="27"/>
  <c r="P252" i="27"/>
  <c r="P264" i="27"/>
  <c r="P272" i="27"/>
  <c r="P280" i="27"/>
  <c r="P288" i="27"/>
  <c r="P296" i="27"/>
  <c r="P304" i="27"/>
  <c r="P211" i="27"/>
  <c r="P223" i="27"/>
  <c r="P254" i="27"/>
  <c r="P255" i="27"/>
  <c r="P256" i="27"/>
  <c r="P259" i="27"/>
  <c r="P267" i="27"/>
  <c r="P275" i="27"/>
  <c r="P283" i="27"/>
  <c r="P291" i="27"/>
  <c r="P299" i="27"/>
  <c r="P307" i="27"/>
  <c r="P285" i="27"/>
  <c r="P313" i="27"/>
  <c r="P321" i="27"/>
  <c r="P329" i="27"/>
  <c r="P337" i="27"/>
  <c r="P345" i="27"/>
  <c r="P353" i="27"/>
  <c r="P361" i="27"/>
  <c r="P369" i="27"/>
  <c r="P377" i="27"/>
  <c r="P385" i="27"/>
  <c r="P393" i="27"/>
  <c r="P401" i="27"/>
  <c r="P409" i="27"/>
  <c r="P316" i="27"/>
  <c r="P324" i="27"/>
  <c r="P332" i="27"/>
  <c r="P340" i="27"/>
  <c r="P348" i="27"/>
  <c r="P356" i="27"/>
  <c r="P364" i="27"/>
  <c r="P372" i="27"/>
  <c r="P380" i="27"/>
  <c r="P388" i="27"/>
  <c r="P396" i="27"/>
  <c r="P404" i="27"/>
  <c r="P412" i="27"/>
  <c r="P269" i="27"/>
  <c r="P311" i="27"/>
  <c r="P319" i="27"/>
  <c r="P327" i="27"/>
  <c r="P335" i="27"/>
  <c r="P343" i="27"/>
  <c r="P351" i="27"/>
  <c r="P359" i="27"/>
  <c r="P367" i="27"/>
  <c r="P375" i="27"/>
  <c r="P383" i="27"/>
  <c r="P391" i="27"/>
  <c r="P399" i="27"/>
  <c r="P407" i="27"/>
  <c r="P415" i="27"/>
  <c r="P423" i="27"/>
  <c r="P293" i="27"/>
  <c r="P314" i="27"/>
  <c r="P322" i="27"/>
  <c r="P330" i="27"/>
  <c r="P338" i="27"/>
  <c r="P346" i="27"/>
  <c r="P354" i="27"/>
  <c r="P362" i="27"/>
  <c r="P370" i="27"/>
  <c r="P378" i="27"/>
  <c r="P386" i="27"/>
  <c r="P394" i="27"/>
  <c r="P402" i="27"/>
  <c r="P410" i="27"/>
  <c r="P310" i="27"/>
  <c r="P317" i="27"/>
  <c r="P325" i="27"/>
  <c r="P333" i="27"/>
  <c r="P341" i="27"/>
  <c r="P349" i="27"/>
  <c r="P357" i="27"/>
  <c r="P365" i="27"/>
  <c r="P373" i="27"/>
  <c r="P381" i="27"/>
  <c r="P389" i="27"/>
  <c r="P397" i="27"/>
  <c r="P405" i="27"/>
  <c r="P413" i="27"/>
  <c r="P301" i="27"/>
  <c r="P306" i="27"/>
  <c r="P315" i="27"/>
  <c r="P323" i="27"/>
  <c r="P331" i="27"/>
  <c r="P339" i="27"/>
  <c r="P347" i="27"/>
  <c r="P355" i="27"/>
  <c r="P363" i="27"/>
  <c r="P371" i="27"/>
  <c r="P379" i="27"/>
  <c r="P387" i="27"/>
  <c r="P395" i="27"/>
  <c r="P403" i="27"/>
  <c r="P239" i="27"/>
  <c r="P261" i="27"/>
  <c r="P309" i="27"/>
  <c r="P318" i="27"/>
  <c r="P326" i="27"/>
  <c r="P334" i="27"/>
  <c r="P342" i="27"/>
  <c r="P350" i="27"/>
  <c r="P358" i="27"/>
  <c r="P366" i="27"/>
  <c r="P374" i="27"/>
  <c r="P382" i="27"/>
  <c r="P390" i="27"/>
  <c r="P398" i="27"/>
  <c r="P406" i="27"/>
  <c r="P414" i="27"/>
  <c r="P422" i="27"/>
  <c r="P336" i="27"/>
  <c r="P400" i="27"/>
  <c r="P428" i="27"/>
  <c r="P436" i="27"/>
  <c r="P444" i="27"/>
  <c r="P452" i="27"/>
  <c r="P460" i="27"/>
  <c r="P468" i="27"/>
  <c r="P476" i="27"/>
  <c r="P484" i="27"/>
  <c r="P492" i="27"/>
  <c r="P360" i="27"/>
  <c r="P431" i="27"/>
  <c r="P439" i="27"/>
  <c r="P447" i="27"/>
  <c r="P455" i="27"/>
  <c r="P463" i="27"/>
  <c r="P471" i="27"/>
  <c r="P479" i="27"/>
  <c r="P487" i="27"/>
  <c r="P495" i="27"/>
  <c r="P503" i="27"/>
  <c r="P320" i="27"/>
  <c r="P384" i="27"/>
  <c r="P426" i="27"/>
  <c r="P434" i="27"/>
  <c r="P442" i="27"/>
  <c r="P450" i="27"/>
  <c r="P458" i="27"/>
  <c r="P466" i="27"/>
  <c r="P474" i="27"/>
  <c r="P482" i="27"/>
  <c r="P490" i="27"/>
  <c r="P498" i="27"/>
  <c r="P506" i="27"/>
  <c r="P344" i="27"/>
  <c r="P408" i="27"/>
  <c r="P416" i="27"/>
  <c r="P417" i="27"/>
  <c r="P418" i="27"/>
  <c r="P429" i="27"/>
  <c r="P437" i="27"/>
  <c r="P445" i="27"/>
  <c r="P453" i="27"/>
  <c r="P461" i="27"/>
  <c r="P469" i="27"/>
  <c r="P477" i="27"/>
  <c r="P485" i="27"/>
  <c r="P493" i="27"/>
  <c r="P501" i="27"/>
  <c r="P368" i="27"/>
  <c r="P411" i="27"/>
  <c r="P419" i="27"/>
  <c r="P420" i="27"/>
  <c r="P421" i="27"/>
  <c r="P432" i="27"/>
  <c r="P440" i="27"/>
  <c r="P448" i="27"/>
  <c r="P456" i="27"/>
  <c r="P464" i="27"/>
  <c r="P472" i="27"/>
  <c r="P480" i="27"/>
  <c r="P488" i="27"/>
  <c r="P496" i="27"/>
  <c r="P277" i="27"/>
  <c r="P328" i="27"/>
  <c r="P392" i="27"/>
  <c r="P424" i="27"/>
  <c r="P427" i="27"/>
  <c r="P435" i="27"/>
  <c r="P443" i="27"/>
  <c r="P451" i="27"/>
  <c r="P459" i="27"/>
  <c r="P467" i="27"/>
  <c r="P475" i="27"/>
  <c r="P483" i="27"/>
  <c r="P491" i="27"/>
  <c r="P352" i="27"/>
  <c r="P430" i="27"/>
  <c r="P438" i="27"/>
  <c r="P446" i="27"/>
  <c r="P454" i="27"/>
  <c r="P462" i="27"/>
  <c r="P470" i="27"/>
  <c r="P478" i="27"/>
  <c r="P486" i="27"/>
  <c r="P494" i="27"/>
  <c r="P502" i="27"/>
  <c r="P510" i="27"/>
  <c r="O505" i="27"/>
  <c r="O497" i="27"/>
  <c r="O489" i="27"/>
  <c r="O481" i="27"/>
  <c r="O473" i="27"/>
  <c r="O465" i="27"/>
  <c r="O457" i="27"/>
  <c r="O449" i="27"/>
  <c r="O441" i="27"/>
  <c r="O433" i="27"/>
  <c r="O425" i="27"/>
  <c r="O417" i="27"/>
  <c r="O409" i="27"/>
  <c r="O401" i="27"/>
  <c r="O393" i="27"/>
  <c r="O385" i="27"/>
  <c r="O377" i="27"/>
  <c r="O369" i="27"/>
  <c r="O361" i="27"/>
  <c r="O353" i="27"/>
  <c r="O345" i="27"/>
  <c r="O337" i="27"/>
  <c r="O329" i="27"/>
  <c r="O321" i="27"/>
  <c r="O313" i="27"/>
  <c r="O305" i="27"/>
  <c r="O297" i="27"/>
  <c r="O289" i="27"/>
  <c r="O281" i="27"/>
  <c r="O273" i="27"/>
  <c r="O265" i="27"/>
  <c r="O257" i="27"/>
  <c r="O249" i="27"/>
  <c r="O241" i="27"/>
  <c r="O233" i="27"/>
  <c r="O225" i="27"/>
  <c r="O217" i="27"/>
  <c r="O209" i="27"/>
  <c r="O201" i="27"/>
  <c r="O193" i="27"/>
  <c r="O185" i="27"/>
  <c r="O177" i="27"/>
  <c r="O169" i="27"/>
  <c r="O161" i="27"/>
  <c r="O153" i="27"/>
  <c r="O143" i="27"/>
  <c r="O132" i="27"/>
  <c r="O122" i="27"/>
  <c r="O111" i="27"/>
  <c r="O100" i="27"/>
  <c r="O90" i="27"/>
  <c r="O79" i="27"/>
  <c r="O68" i="27"/>
  <c r="O58" i="27"/>
  <c r="O47" i="27"/>
  <c r="O36" i="27"/>
  <c r="O26" i="27"/>
  <c r="X511" i="27"/>
  <c r="Y510" i="27"/>
  <c r="Y509" i="27"/>
  <c r="Y508" i="27"/>
  <c r="Z507" i="27"/>
  <c r="Z506" i="27"/>
  <c r="Z505" i="27"/>
  <c r="Y504" i="27"/>
  <c r="T503" i="27"/>
  <c r="Z501" i="27"/>
  <c r="U500" i="27"/>
  <c r="P499" i="27"/>
  <c r="V497" i="27"/>
  <c r="W495" i="27"/>
  <c r="Z491" i="27"/>
  <c r="Q486" i="27"/>
  <c r="S480" i="27"/>
  <c r="U474" i="27"/>
  <c r="Y462" i="27"/>
  <c r="P457" i="27"/>
  <c r="R451" i="27"/>
  <c r="T445" i="27"/>
  <c r="V439" i="27"/>
  <c r="X433" i="27"/>
  <c r="Z427" i="27"/>
  <c r="T421" i="27"/>
  <c r="T413" i="27"/>
  <c r="P376" i="27"/>
  <c r="U329" i="27"/>
  <c r="O13" i="27"/>
  <c r="O21" i="27"/>
  <c r="O29" i="27"/>
  <c r="O37" i="27"/>
  <c r="O45" i="27"/>
  <c r="O53" i="27"/>
  <c r="O61" i="27"/>
  <c r="O69" i="27"/>
  <c r="O77" i="27"/>
  <c r="O85" i="27"/>
  <c r="O93" i="27"/>
  <c r="O101" i="27"/>
  <c r="O109" i="27"/>
  <c r="O117" i="27"/>
  <c r="O125" i="27"/>
  <c r="O133" i="27"/>
  <c r="O141" i="27"/>
  <c r="O149" i="27"/>
  <c r="O9" i="27"/>
  <c r="O17" i="27"/>
  <c r="O25" i="27"/>
  <c r="O33" i="27"/>
  <c r="O41" i="27"/>
  <c r="O49" i="27"/>
  <c r="O57" i="27"/>
  <c r="O65" i="27"/>
  <c r="O73" i="27"/>
  <c r="O81" i="27"/>
  <c r="O89" i="27"/>
  <c r="O97" i="27"/>
  <c r="O105" i="27"/>
  <c r="O113" i="27"/>
  <c r="O121" i="27"/>
  <c r="O129" i="27"/>
  <c r="O137" i="27"/>
  <c r="O145" i="27"/>
  <c r="W9" i="27"/>
  <c r="W17" i="27"/>
  <c r="W25" i="27"/>
  <c r="W33" i="27"/>
  <c r="W41" i="27"/>
  <c r="W49" i="27"/>
  <c r="W57" i="27"/>
  <c r="W12" i="27"/>
  <c r="W20" i="27"/>
  <c r="W28" i="27"/>
  <c r="W36" i="27"/>
  <c r="W44" i="27"/>
  <c r="W52" i="27"/>
  <c r="W60" i="27"/>
  <c r="W7" i="27"/>
  <c r="W15" i="27"/>
  <c r="W23" i="27"/>
  <c r="W31" i="27"/>
  <c r="W39" i="27"/>
  <c r="W47" i="27"/>
  <c r="W55" i="27"/>
  <c r="W63" i="27"/>
  <c r="W10" i="27"/>
  <c r="W18" i="27"/>
  <c r="W26" i="27"/>
  <c r="W34" i="27"/>
  <c r="W42" i="27"/>
  <c r="W50" i="27"/>
  <c r="W58" i="27"/>
  <c r="W8" i="27"/>
  <c r="W16" i="27"/>
  <c r="W24" i="27"/>
  <c r="W32" i="27"/>
  <c r="W40" i="27"/>
  <c r="W48" i="27"/>
  <c r="W56" i="27"/>
  <c r="W64" i="27"/>
  <c r="W11" i="27"/>
  <c r="W19" i="27"/>
  <c r="W27" i="27"/>
  <c r="W35" i="27"/>
  <c r="W43" i="27"/>
  <c r="W51" i="27"/>
  <c r="W59" i="27"/>
  <c r="W30" i="27"/>
  <c r="W62" i="27"/>
  <c r="W66" i="27"/>
  <c r="W74" i="27"/>
  <c r="W82" i="27"/>
  <c r="W90" i="27"/>
  <c r="W98" i="27"/>
  <c r="W13" i="27"/>
  <c r="W45" i="27"/>
  <c r="W69" i="27"/>
  <c r="W77" i="27"/>
  <c r="W85" i="27"/>
  <c r="W93" i="27"/>
  <c r="W101" i="27"/>
  <c r="W22" i="27"/>
  <c r="W54" i="27"/>
  <c r="W72" i="27"/>
  <c r="W80" i="27"/>
  <c r="W88" i="27"/>
  <c r="W96" i="27"/>
  <c r="W6" i="27"/>
  <c r="W37" i="27"/>
  <c r="W67" i="27"/>
  <c r="W75" i="27"/>
  <c r="W83" i="27"/>
  <c r="W91" i="27"/>
  <c r="W99" i="27"/>
  <c r="W107" i="27"/>
  <c r="W14" i="27"/>
  <c r="W29" i="27"/>
  <c r="W61" i="27"/>
  <c r="W65" i="27"/>
  <c r="W73" i="27"/>
  <c r="W81" i="27"/>
  <c r="W89" i="27"/>
  <c r="W97" i="27"/>
  <c r="W105" i="27"/>
  <c r="W38" i="27"/>
  <c r="W68" i="27"/>
  <c r="W76" i="27"/>
  <c r="W84" i="27"/>
  <c r="W92" i="27"/>
  <c r="W100" i="27"/>
  <c r="W108" i="27"/>
  <c r="W71" i="27"/>
  <c r="W46" i="27"/>
  <c r="W86" i="27"/>
  <c r="W104" i="27"/>
  <c r="W116" i="27"/>
  <c r="W124" i="27"/>
  <c r="W132" i="27"/>
  <c r="W140" i="27"/>
  <c r="W148" i="27"/>
  <c r="W21" i="27"/>
  <c r="W78" i="27"/>
  <c r="W114" i="27"/>
  <c r="W122" i="27"/>
  <c r="W130" i="27"/>
  <c r="W138" i="27"/>
  <c r="W146" i="27"/>
  <c r="W154" i="27"/>
  <c r="W70" i="27"/>
  <c r="W109" i="27"/>
  <c r="W110" i="27"/>
  <c r="W111" i="27"/>
  <c r="W120" i="27"/>
  <c r="W128" i="27"/>
  <c r="W136" i="27"/>
  <c r="W112" i="27"/>
  <c r="W119" i="27"/>
  <c r="W126" i="27"/>
  <c r="W133" i="27"/>
  <c r="W159" i="27"/>
  <c r="W167" i="27"/>
  <c r="W175" i="27"/>
  <c r="W118" i="27"/>
  <c r="W125" i="27"/>
  <c r="W139" i="27"/>
  <c r="W141" i="27"/>
  <c r="W162" i="27"/>
  <c r="W94" i="27"/>
  <c r="W102" i="27"/>
  <c r="W117" i="27"/>
  <c r="W131" i="27"/>
  <c r="W142" i="27"/>
  <c r="W143" i="27"/>
  <c r="W144" i="27"/>
  <c r="W157" i="27"/>
  <c r="W123" i="27"/>
  <c r="W145" i="27"/>
  <c r="W147" i="27"/>
  <c r="W149" i="27"/>
  <c r="W160" i="27"/>
  <c r="W168" i="27"/>
  <c r="W79" i="27"/>
  <c r="W95" i="27"/>
  <c r="W103" i="27"/>
  <c r="W115" i="27"/>
  <c r="W137" i="27"/>
  <c r="W150" i="27"/>
  <c r="W151" i="27"/>
  <c r="W152" i="27"/>
  <c r="W53" i="27"/>
  <c r="W106" i="27"/>
  <c r="W155" i="27"/>
  <c r="W178" i="27"/>
  <c r="W181" i="27"/>
  <c r="W189" i="27"/>
  <c r="W197" i="27"/>
  <c r="W205" i="27"/>
  <c r="W121" i="27"/>
  <c r="W127" i="27"/>
  <c r="W163" i="27"/>
  <c r="W184" i="27"/>
  <c r="W192" i="27"/>
  <c r="W200" i="27"/>
  <c r="W153" i="27"/>
  <c r="W164" i="27"/>
  <c r="W165" i="27"/>
  <c r="W166" i="27"/>
  <c r="W179" i="27"/>
  <c r="W187" i="27"/>
  <c r="W195" i="27"/>
  <c r="W203" i="27"/>
  <c r="W134" i="27"/>
  <c r="W169" i="27"/>
  <c r="W170" i="27"/>
  <c r="W171" i="27"/>
  <c r="W182" i="27"/>
  <c r="W190" i="27"/>
  <c r="W198" i="27"/>
  <c r="W158" i="27"/>
  <c r="W172" i="27"/>
  <c r="W173" i="27"/>
  <c r="W174" i="27"/>
  <c r="W185" i="27"/>
  <c r="W193" i="27"/>
  <c r="W201" i="27"/>
  <c r="W209" i="27"/>
  <c r="W87" i="27"/>
  <c r="W183" i="27"/>
  <c r="W191" i="27"/>
  <c r="W199" i="27"/>
  <c r="W207" i="27"/>
  <c r="W129" i="27"/>
  <c r="W176" i="27"/>
  <c r="W188" i="27"/>
  <c r="W208" i="27"/>
  <c r="W219" i="27"/>
  <c r="W227" i="27"/>
  <c r="W235" i="27"/>
  <c r="W243" i="27"/>
  <c r="W194" i="27"/>
  <c r="W211" i="27"/>
  <c r="W214" i="27"/>
  <c r="W222" i="27"/>
  <c r="W230" i="27"/>
  <c r="W238" i="27"/>
  <c r="W246" i="27"/>
  <c r="W161" i="27"/>
  <c r="W180" i="27"/>
  <c r="W204" i="27"/>
  <c r="W217" i="27"/>
  <c r="W225" i="27"/>
  <c r="W233" i="27"/>
  <c r="W241" i="27"/>
  <c r="W177" i="27"/>
  <c r="W186" i="27"/>
  <c r="W210" i="27"/>
  <c r="W212" i="27"/>
  <c r="W220" i="27"/>
  <c r="W228" i="27"/>
  <c r="W236" i="27"/>
  <c r="W244" i="27"/>
  <c r="W252" i="27"/>
  <c r="W135" i="27"/>
  <c r="W156" i="27"/>
  <c r="W215" i="27"/>
  <c r="W223" i="27"/>
  <c r="W231" i="27"/>
  <c r="W239" i="27"/>
  <c r="W247" i="27"/>
  <c r="W113" i="27"/>
  <c r="W196" i="27"/>
  <c r="W213" i="27"/>
  <c r="W221" i="27"/>
  <c r="W229" i="27"/>
  <c r="W237" i="27"/>
  <c r="W202" i="27"/>
  <c r="W216" i="27"/>
  <c r="W224" i="27"/>
  <c r="W232" i="27"/>
  <c r="W240" i="27"/>
  <c r="W248" i="27"/>
  <c r="W257" i="27"/>
  <c r="W265" i="27"/>
  <c r="W273" i="27"/>
  <c r="W281" i="27"/>
  <c r="W289" i="27"/>
  <c r="W297" i="27"/>
  <c r="W305" i="27"/>
  <c r="W218" i="27"/>
  <c r="W245" i="27"/>
  <c r="W260" i="27"/>
  <c r="W268" i="27"/>
  <c r="W276" i="27"/>
  <c r="W284" i="27"/>
  <c r="W292" i="27"/>
  <c r="W300" i="27"/>
  <c r="W242" i="27"/>
  <c r="W263" i="27"/>
  <c r="W271" i="27"/>
  <c r="W279" i="27"/>
  <c r="W287" i="27"/>
  <c r="W295" i="27"/>
  <c r="W303" i="27"/>
  <c r="W250" i="27"/>
  <c r="W251" i="27"/>
  <c r="W258" i="27"/>
  <c r="W266" i="27"/>
  <c r="W274" i="27"/>
  <c r="W282" i="27"/>
  <c r="W290" i="27"/>
  <c r="W298" i="27"/>
  <c r="W306" i="27"/>
  <c r="W206" i="27"/>
  <c r="W226" i="27"/>
  <c r="W253" i="27"/>
  <c r="W254" i="27"/>
  <c r="W255" i="27"/>
  <c r="W261" i="27"/>
  <c r="W269" i="27"/>
  <c r="W277" i="27"/>
  <c r="W285" i="27"/>
  <c r="W293" i="27"/>
  <c r="W301" i="27"/>
  <c r="W259" i="27"/>
  <c r="W267" i="27"/>
  <c r="W275" i="27"/>
  <c r="W283" i="27"/>
  <c r="W291" i="27"/>
  <c r="W299" i="27"/>
  <c r="W307" i="27"/>
  <c r="W234" i="27"/>
  <c r="W249" i="27"/>
  <c r="W262" i="27"/>
  <c r="W270" i="27"/>
  <c r="W278" i="27"/>
  <c r="W286" i="27"/>
  <c r="W294" i="27"/>
  <c r="W302" i="27"/>
  <c r="W310" i="27"/>
  <c r="W296" i="27"/>
  <c r="W316" i="27"/>
  <c r="W324" i="27"/>
  <c r="W332" i="27"/>
  <c r="W340" i="27"/>
  <c r="W348" i="27"/>
  <c r="W356" i="27"/>
  <c r="W364" i="27"/>
  <c r="W372" i="27"/>
  <c r="W380" i="27"/>
  <c r="W388" i="27"/>
  <c r="W396" i="27"/>
  <c r="W404" i="27"/>
  <c r="W256" i="27"/>
  <c r="W311" i="27"/>
  <c r="W319" i="27"/>
  <c r="W327" i="27"/>
  <c r="W335" i="27"/>
  <c r="W343" i="27"/>
  <c r="W351" i="27"/>
  <c r="W359" i="27"/>
  <c r="W367" i="27"/>
  <c r="W375" i="27"/>
  <c r="W383" i="27"/>
  <c r="W391" i="27"/>
  <c r="W399" i="27"/>
  <c r="W407" i="27"/>
  <c r="W280" i="27"/>
  <c r="W309" i="27"/>
  <c r="W314" i="27"/>
  <c r="W322" i="27"/>
  <c r="W330" i="27"/>
  <c r="W338" i="27"/>
  <c r="W346" i="27"/>
  <c r="W354" i="27"/>
  <c r="W362" i="27"/>
  <c r="W370" i="27"/>
  <c r="W378" i="27"/>
  <c r="W386" i="27"/>
  <c r="W394" i="27"/>
  <c r="W402" i="27"/>
  <c r="W410" i="27"/>
  <c r="W418" i="27"/>
  <c r="W304" i="27"/>
  <c r="W317" i="27"/>
  <c r="W325" i="27"/>
  <c r="W333" i="27"/>
  <c r="W341" i="27"/>
  <c r="W349" i="27"/>
  <c r="W357" i="27"/>
  <c r="W365" i="27"/>
  <c r="W373" i="27"/>
  <c r="W381" i="27"/>
  <c r="W389" i="27"/>
  <c r="W397" i="27"/>
  <c r="W405" i="27"/>
  <c r="W264" i="27"/>
  <c r="W312" i="27"/>
  <c r="W320" i="27"/>
  <c r="W328" i="27"/>
  <c r="W336" i="27"/>
  <c r="W344" i="27"/>
  <c r="W352" i="27"/>
  <c r="W360" i="27"/>
  <c r="W368" i="27"/>
  <c r="W376" i="27"/>
  <c r="W384" i="27"/>
  <c r="W392" i="27"/>
  <c r="W400" i="27"/>
  <c r="W408" i="27"/>
  <c r="W318" i="27"/>
  <c r="W326" i="27"/>
  <c r="W334" i="27"/>
  <c r="W342" i="27"/>
  <c r="W350" i="27"/>
  <c r="W358" i="27"/>
  <c r="W366" i="27"/>
  <c r="W374" i="27"/>
  <c r="W382" i="27"/>
  <c r="W390" i="27"/>
  <c r="W398" i="27"/>
  <c r="W406" i="27"/>
  <c r="W272" i="27"/>
  <c r="W313" i="27"/>
  <c r="W321" i="27"/>
  <c r="W329" i="27"/>
  <c r="W337" i="27"/>
  <c r="W345" i="27"/>
  <c r="W353" i="27"/>
  <c r="W361" i="27"/>
  <c r="W369" i="27"/>
  <c r="W377" i="27"/>
  <c r="W385" i="27"/>
  <c r="W393" i="27"/>
  <c r="W401" i="27"/>
  <c r="W409" i="27"/>
  <c r="W417" i="27"/>
  <c r="W347" i="27"/>
  <c r="W413" i="27"/>
  <c r="W414" i="27"/>
  <c r="W415" i="27"/>
  <c r="W416" i="27"/>
  <c r="W431" i="27"/>
  <c r="W439" i="27"/>
  <c r="W447" i="27"/>
  <c r="W455" i="27"/>
  <c r="W463" i="27"/>
  <c r="W471" i="27"/>
  <c r="W479" i="27"/>
  <c r="W487" i="27"/>
  <c r="W371" i="27"/>
  <c r="W419" i="27"/>
  <c r="W420" i="27"/>
  <c r="W421" i="27"/>
  <c r="W426" i="27"/>
  <c r="W434" i="27"/>
  <c r="W442" i="27"/>
  <c r="W450" i="27"/>
  <c r="W458" i="27"/>
  <c r="W466" i="27"/>
  <c r="W474" i="27"/>
  <c r="W482" i="27"/>
  <c r="W490" i="27"/>
  <c r="W498" i="27"/>
  <c r="W331" i="27"/>
  <c r="W395" i="27"/>
  <c r="W422" i="27"/>
  <c r="W423" i="27"/>
  <c r="W429" i="27"/>
  <c r="W437" i="27"/>
  <c r="W445" i="27"/>
  <c r="W453" i="27"/>
  <c r="W461" i="27"/>
  <c r="W469" i="27"/>
  <c r="W477" i="27"/>
  <c r="W485" i="27"/>
  <c r="W493" i="27"/>
  <c r="W501" i="27"/>
  <c r="W509" i="27"/>
  <c r="W355" i="27"/>
  <c r="W412" i="27"/>
  <c r="W424" i="27"/>
  <c r="W432" i="27"/>
  <c r="W440" i="27"/>
  <c r="W448" i="27"/>
  <c r="W456" i="27"/>
  <c r="W464" i="27"/>
  <c r="W472" i="27"/>
  <c r="W480" i="27"/>
  <c r="W488" i="27"/>
  <c r="W496" i="27"/>
  <c r="W504" i="27"/>
  <c r="W308" i="27"/>
  <c r="W315" i="27"/>
  <c r="W379" i="27"/>
  <c r="W427" i="27"/>
  <c r="W435" i="27"/>
  <c r="W443" i="27"/>
  <c r="W451" i="27"/>
  <c r="W459" i="27"/>
  <c r="W467" i="27"/>
  <c r="W475" i="27"/>
  <c r="W483" i="27"/>
  <c r="W491" i="27"/>
  <c r="W339" i="27"/>
  <c r="W403" i="27"/>
  <c r="W430" i="27"/>
  <c r="W438" i="27"/>
  <c r="W446" i="27"/>
  <c r="W454" i="27"/>
  <c r="W462" i="27"/>
  <c r="W470" i="27"/>
  <c r="W478" i="27"/>
  <c r="W486" i="27"/>
  <c r="W494" i="27"/>
  <c r="W363" i="27"/>
  <c r="W411" i="27"/>
  <c r="W425" i="27"/>
  <c r="W433" i="27"/>
  <c r="W441" i="27"/>
  <c r="W449" i="27"/>
  <c r="W457" i="27"/>
  <c r="W465" i="27"/>
  <c r="W473" i="27"/>
  <c r="W481" i="27"/>
  <c r="W489" i="27"/>
  <c r="W497" i="27"/>
  <c r="W505" i="27"/>
  <c r="O6" i="27"/>
  <c r="O504" i="27"/>
  <c r="O496" i="27"/>
  <c r="O488" i="27"/>
  <c r="O480" i="27"/>
  <c r="O472" i="27"/>
  <c r="O464" i="27"/>
  <c r="O456" i="27"/>
  <c r="O448" i="27"/>
  <c r="O440" i="27"/>
  <c r="O432" i="27"/>
  <c r="O424" i="27"/>
  <c r="O416" i="27"/>
  <c r="O408" i="27"/>
  <c r="O400" i="27"/>
  <c r="O392" i="27"/>
  <c r="O384" i="27"/>
  <c r="O376" i="27"/>
  <c r="O368" i="27"/>
  <c r="O360" i="27"/>
  <c r="O352" i="27"/>
  <c r="O344" i="27"/>
  <c r="O336" i="27"/>
  <c r="O328" i="27"/>
  <c r="O320" i="27"/>
  <c r="O312" i="27"/>
  <c r="O304" i="27"/>
  <c r="O296" i="27"/>
  <c r="O288" i="27"/>
  <c r="O280" i="27"/>
  <c r="O272" i="27"/>
  <c r="O264" i="27"/>
  <c r="O256" i="27"/>
  <c r="O248" i="27"/>
  <c r="O240" i="27"/>
  <c r="O232" i="27"/>
  <c r="O224" i="27"/>
  <c r="O216" i="27"/>
  <c r="O208" i="27"/>
  <c r="O200" i="27"/>
  <c r="O192" i="27"/>
  <c r="O184" i="27"/>
  <c r="O176" i="27"/>
  <c r="O168" i="27"/>
  <c r="O160" i="27"/>
  <c r="O152" i="27"/>
  <c r="O142" i="27"/>
  <c r="O131" i="27"/>
  <c r="O120" i="27"/>
  <c r="O110" i="27"/>
  <c r="O99" i="27"/>
  <c r="O88" i="27"/>
  <c r="O78" i="27"/>
  <c r="O67" i="27"/>
  <c r="O56" i="27"/>
  <c r="O46" i="27"/>
  <c r="O35" i="27"/>
  <c r="O24" i="27"/>
  <c r="O14" i="27"/>
  <c r="W511" i="27"/>
  <c r="W510" i="27"/>
  <c r="X509" i="27"/>
  <c r="X508" i="27"/>
  <c r="X507" i="27"/>
  <c r="Y506" i="27"/>
  <c r="Y505" i="27"/>
  <c r="X504" i="27"/>
  <c r="S503" i="27"/>
  <c r="Y501" i="27"/>
  <c r="T500" i="27"/>
  <c r="Z498" i="27"/>
  <c r="U497" i="27"/>
  <c r="V495" i="27"/>
  <c r="R491" i="27"/>
  <c r="T485" i="27"/>
  <c r="X473" i="27"/>
  <c r="Z467" i="27"/>
  <c r="Q462" i="27"/>
  <c r="S456" i="27"/>
  <c r="U450" i="27"/>
  <c r="W444" i="27"/>
  <c r="Y438" i="27"/>
  <c r="P433" i="27"/>
  <c r="R427" i="27"/>
  <c r="T420" i="27"/>
  <c r="X411" i="27"/>
  <c r="R370" i="27"/>
  <c r="W323" i="27"/>
  <c r="V12" i="27"/>
  <c r="V20" i="27"/>
  <c r="V28" i="27"/>
  <c r="V36" i="27"/>
  <c r="V44" i="27"/>
  <c r="V52" i="27"/>
  <c r="V60" i="27"/>
  <c r="V7" i="27"/>
  <c r="V15" i="27"/>
  <c r="V23" i="27"/>
  <c r="V31" i="27"/>
  <c r="V39" i="27"/>
  <c r="V47" i="27"/>
  <c r="V55" i="27"/>
  <c r="V63" i="27"/>
  <c r="V10" i="27"/>
  <c r="V18" i="27"/>
  <c r="V26" i="27"/>
  <c r="V34" i="27"/>
  <c r="V42" i="27"/>
  <c r="V50" i="27"/>
  <c r="V58" i="27"/>
  <c r="V13" i="27"/>
  <c r="V21" i="27"/>
  <c r="V29" i="27"/>
  <c r="V37" i="27"/>
  <c r="V45" i="27"/>
  <c r="V53" i="27"/>
  <c r="V61" i="27"/>
  <c r="V8" i="27"/>
  <c r="V11" i="27"/>
  <c r="V19" i="27"/>
  <c r="V27" i="27"/>
  <c r="V35" i="27"/>
  <c r="V43" i="27"/>
  <c r="V51" i="27"/>
  <c r="V59" i="27"/>
  <c r="V6" i="27"/>
  <c r="V14" i="27"/>
  <c r="V22" i="27"/>
  <c r="V30" i="27"/>
  <c r="V38" i="27"/>
  <c r="V46" i="27"/>
  <c r="V54" i="27"/>
  <c r="V62" i="27"/>
  <c r="V33" i="27"/>
  <c r="V69" i="27"/>
  <c r="V77" i="27"/>
  <c r="V85" i="27"/>
  <c r="V93" i="27"/>
  <c r="V16" i="27"/>
  <c r="V48" i="27"/>
  <c r="V72" i="27"/>
  <c r="V80" i="27"/>
  <c r="V88" i="27"/>
  <c r="V96" i="27"/>
  <c r="V104" i="27"/>
  <c r="V25" i="27"/>
  <c r="V57" i="27"/>
  <c r="V67" i="27"/>
  <c r="V75" i="27"/>
  <c r="V83" i="27"/>
  <c r="V91" i="27"/>
  <c r="V99" i="27"/>
  <c r="V40" i="27"/>
  <c r="V70" i="27"/>
  <c r="V78" i="27"/>
  <c r="V86" i="27"/>
  <c r="V94" i="27"/>
  <c r="V102" i="27"/>
  <c r="V110" i="27"/>
  <c r="V17" i="27"/>
  <c r="V32" i="27"/>
  <c r="V68" i="27"/>
  <c r="V76" i="27"/>
  <c r="V84" i="27"/>
  <c r="V92" i="27"/>
  <c r="V100" i="27"/>
  <c r="V108" i="27"/>
  <c r="V41" i="27"/>
  <c r="V64" i="27"/>
  <c r="V71" i="27"/>
  <c r="V79" i="27"/>
  <c r="V87" i="27"/>
  <c r="V95" i="27"/>
  <c r="V103" i="27"/>
  <c r="V111" i="27"/>
  <c r="V9" i="27"/>
  <c r="V65" i="27"/>
  <c r="V56" i="27"/>
  <c r="V74" i="27"/>
  <c r="V89" i="27"/>
  <c r="V107" i="27"/>
  <c r="V119" i="27"/>
  <c r="V127" i="27"/>
  <c r="V135" i="27"/>
  <c r="V143" i="27"/>
  <c r="V151" i="27"/>
  <c r="V66" i="27"/>
  <c r="V49" i="27"/>
  <c r="V81" i="27"/>
  <c r="V106" i="27"/>
  <c r="V117" i="27"/>
  <c r="V125" i="27"/>
  <c r="V133" i="27"/>
  <c r="V141" i="27"/>
  <c r="V149" i="27"/>
  <c r="V73" i="27"/>
  <c r="V112" i="27"/>
  <c r="V115" i="27"/>
  <c r="V123" i="27"/>
  <c r="V131" i="27"/>
  <c r="V139" i="27"/>
  <c r="V24" i="27"/>
  <c r="V109" i="27"/>
  <c r="V118" i="27"/>
  <c r="V162" i="27"/>
  <c r="V170" i="27"/>
  <c r="V178" i="27"/>
  <c r="V98" i="27"/>
  <c r="V132" i="27"/>
  <c r="V140" i="27"/>
  <c r="V142" i="27"/>
  <c r="V144" i="27"/>
  <c r="V157" i="27"/>
  <c r="V105" i="27"/>
  <c r="V124" i="27"/>
  <c r="V138" i="27"/>
  <c r="V145" i="27"/>
  <c r="V146" i="27"/>
  <c r="V147" i="27"/>
  <c r="V160" i="27"/>
  <c r="V90" i="27"/>
  <c r="V116" i="27"/>
  <c r="V130" i="27"/>
  <c r="V137" i="27"/>
  <c r="V148" i="27"/>
  <c r="V150" i="27"/>
  <c r="V152" i="27"/>
  <c r="V163" i="27"/>
  <c r="V171" i="27"/>
  <c r="V122" i="27"/>
  <c r="V129" i="27"/>
  <c r="V136" i="27"/>
  <c r="V153" i="27"/>
  <c r="V154" i="27"/>
  <c r="V155" i="27"/>
  <c r="V158" i="27"/>
  <c r="V121" i="27"/>
  <c r="V184" i="27"/>
  <c r="V192" i="27"/>
  <c r="V200" i="27"/>
  <c r="V208" i="27"/>
  <c r="V164" i="27"/>
  <c r="V165" i="27"/>
  <c r="V166" i="27"/>
  <c r="V179" i="27"/>
  <c r="V187" i="27"/>
  <c r="V195" i="27"/>
  <c r="V128" i="27"/>
  <c r="V134" i="27"/>
  <c r="V159" i="27"/>
  <c r="V167" i="27"/>
  <c r="V168" i="27"/>
  <c r="V169" i="27"/>
  <c r="V182" i="27"/>
  <c r="V190" i="27"/>
  <c r="V198" i="27"/>
  <c r="V206" i="27"/>
  <c r="V97" i="27"/>
  <c r="V172" i="27"/>
  <c r="V173" i="27"/>
  <c r="V174" i="27"/>
  <c r="V185" i="27"/>
  <c r="V193" i="27"/>
  <c r="V201" i="27"/>
  <c r="V113" i="27"/>
  <c r="V156" i="27"/>
  <c r="V161" i="27"/>
  <c r="V175" i="27"/>
  <c r="V176" i="27"/>
  <c r="V180" i="27"/>
  <c r="V188" i="27"/>
  <c r="V196" i="27"/>
  <c r="V204" i="27"/>
  <c r="V114" i="27"/>
  <c r="V120" i="27"/>
  <c r="V126" i="27"/>
  <c r="V177" i="27"/>
  <c r="V186" i="27"/>
  <c r="V194" i="27"/>
  <c r="V202" i="27"/>
  <c r="V210" i="27"/>
  <c r="V82" i="27"/>
  <c r="V191" i="27"/>
  <c r="V211" i="27"/>
  <c r="V214" i="27"/>
  <c r="V222" i="27"/>
  <c r="V230" i="27"/>
  <c r="V238" i="27"/>
  <c r="V246" i="27"/>
  <c r="V197" i="27"/>
  <c r="V217" i="27"/>
  <c r="V225" i="27"/>
  <c r="V233" i="27"/>
  <c r="V241" i="27"/>
  <c r="V249" i="27"/>
  <c r="V101" i="27"/>
  <c r="V183" i="27"/>
  <c r="V207" i="27"/>
  <c r="V212" i="27"/>
  <c r="V220" i="27"/>
  <c r="V228" i="27"/>
  <c r="V236" i="27"/>
  <c r="V244" i="27"/>
  <c r="V189" i="27"/>
  <c r="V215" i="27"/>
  <c r="V223" i="27"/>
  <c r="V231" i="27"/>
  <c r="V239" i="27"/>
  <c r="V247" i="27"/>
  <c r="V255" i="27"/>
  <c r="V203" i="27"/>
  <c r="V218" i="27"/>
  <c r="V226" i="27"/>
  <c r="V234" i="27"/>
  <c r="V242" i="27"/>
  <c r="V250" i="27"/>
  <c r="V199" i="27"/>
  <c r="V216" i="27"/>
  <c r="V224" i="27"/>
  <c r="V232" i="27"/>
  <c r="V240" i="27"/>
  <c r="V205" i="27"/>
  <c r="V219" i="27"/>
  <c r="V227" i="27"/>
  <c r="V235" i="27"/>
  <c r="V243" i="27"/>
  <c r="V251" i="27"/>
  <c r="V229" i="27"/>
  <c r="V245" i="27"/>
  <c r="V260" i="27"/>
  <c r="V268" i="27"/>
  <c r="V276" i="27"/>
  <c r="V284" i="27"/>
  <c r="V292" i="27"/>
  <c r="V300" i="27"/>
  <c r="V263" i="27"/>
  <c r="V271" i="27"/>
  <c r="V279" i="27"/>
  <c r="V287" i="27"/>
  <c r="V295" i="27"/>
  <c r="V303" i="27"/>
  <c r="V181" i="27"/>
  <c r="V213" i="27"/>
  <c r="V258" i="27"/>
  <c r="V266" i="27"/>
  <c r="V274" i="27"/>
  <c r="V282" i="27"/>
  <c r="V290" i="27"/>
  <c r="V298" i="27"/>
  <c r="V306" i="27"/>
  <c r="V237" i="27"/>
  <c r="V248" i="27"/>
  <c r="V252" i="27"/>
  <c r="V253" i="27"/>
  <c r="V254" i="27"/>
  <c r="V261" i="27"/>
  <c r="V269" i="27"/>
  <c r="V277" i="27"/>
  <c r="V285" i="27"/>
  <c r="V293" i="27"/>
  <c r="V301" i="27"/>
  <c r="V309" i="27"/>
  <c r="V256" i="27"/>
  <c r="V264" i="27"/>
  <c r="V272" i="27"/>
  <c r="V280" i="27"/>
  <c r="V288" i="27"/>
  <c r="V296" i="27"/>
  <c r="V304" i="27"/>
  <c r="V209" i="27"/>
  <c r="V262" i="27"/>
  <c r="V270" i="27"/>
  <c r="V278" i="27"/>
  <c r="V286" i="27"/>
  <c r="V294" i="27"/>
  <c r="V302" i="27"/>
  <c r="V310" i="27"/>
  <c r="V257" i="27"/>
  <c r="V265" i="27"/>
  <c r="V273" i="27"/>
  <c r="V281" i="27"/>
  <c r="V289" i="27"/>
  <c r="V297" i="27"/>
  <c r="V305" i="27"/>
  <c r="V267" i="27"/>
  <c r="V311" i="27"/>
  <c r="V319" i="27"/>
  <c r="V327" i="27"/>
  <c r="V335" i="27"/>
  <c r="V343" i="27"/>
  <c r="V351" i="27"/>
  <c r="V359" i="27"/>
  <c r="V367" i="27"/>
  <c r="V375" i="27"/>
  <c r="V383" i="27"/>
  <c r="V391" i="27"/>
  <c r="V399" i="27"/>
  <c r="V407" i="27"/>
  <c r="V291" i="27"/>
  <c r="V314" i="27"/>
  <c r="V322" i="27"/>
  <c r="V330" i="27"/>
  <c r="V338" i="27"/>
  <c r="V346" i="27"/>
  <c r="V354" i="27"/>
  <c r="V362" i="27"/>
  <c r="V370" i="27"/>
  <c r="V378" i="27"/>
  <c r="V386" i="27"/>
  <c r="V394" i="27"/>
  <c r="V402" i="27"/>
  <c r="V410" i="27"/>
  <c r="V317" i="27"/>
  <c r="V325" i="27"/>
  <c r="V333" i="27"/>
  <c r="V341" i="27"/>
  <c r="V349" i="27"/>
  <c r="V357" i="27"/>
  <c r="V365" i="27"/>
  <c r="V373" i="27"/>
  <c r="V381" i="27"/>
  <c r="V389" i="27"/>
  <c r="V397" i="27"/>
  <c r="V405" i="27"/>
  <c r="V413" i="27"/>
  <c r="V421" i="27"/>
  <c r="V275" i="27"/>
  <c r="V312" i="27"/>
  <c r="V320" i="27"/>
  <c r="V328" i="27"/>
  <c r="V336" i="27"/>
  <c r="V344" i="27"/>
  <c r="V352" i="27"/>
  <c r="V360" i="27"/>
  <c r="V368" i="27"/>
  <c r="V376" i="27"/>
  <c r="V384" i="27"/>
  <c r="V392" i="27"/>
  <c r="V400" i="27"/>
  <c r="V408" i="27"/>
  <c r="V221" i="27"/>
  <c r="V299" i="27"/>
  <c r="V308" i="27"/>
  <c r="V315" i="27"/>
  <c r="V323" i="27"/>
  <c r="V331" i="27"/>
  <c r="V339" i="27"/>
  <c r="V347" i="27"/>
  <c r="V355" i="27"/>
  <c r="V363" i="27"/>
  <c r="V371" i="27"/>
  <c r="V379" i="27"/>
  <c r="V387" i="27"/>
  <c r="V395" i="27"/>
  <c r="V403" i="27"/>
  <c r="V411" i="27"/>
  <c r="V283" i="27"/>
  <c r="V313" i="27"/>
  <c r="V321" i="27"/>
  <c r="V329" i="27"/>
  <c r="V337" i="27"/>
  <c r="V345" i="27"/>
  <c r="V353" i="27"/>
  <c r="V361" i="27"/>
  <c r="V369" i="27"/>
  <c r="V377" i="27"/>
  <c r="V385" i="27"/>
  <c r="V393" i="27"/>
  <c r="V401" i="27"/>
  <c r="V307" i="27"/>
  <c r="V316" i="27"/>
  <c r="V324" i="27"/>
  <c r="V332" i="27"/>
  <c r="V340" i="27"/>
  <c r="V348" i="27"/>
  <c r="V356" i="27"/>
  <c r="V364" i="27"/>
  <c r="V372" i="27"/>
  <c r="V380" i="27"/>
  <c r="V388" i="27"/>
  <c r="V396" i="27"/>
  <c r="V404" i="27"/>
  <c r="V412" i="27"/>
  <c r="V420" i="27"/>
  <c r="V318" i="27"/>
  <c r="V382" i="27"/>
  <c r="V409" i="27"/>
  <c r="V417" i="27"/>
  <c r="V418" i="27"/>
  <c r="V419" i="27"/>
  <c r="V426" i="27"/>
  <c r="V434" i="27"/>
  <c r="V442" i="27"/>
  <c r="V450" i="27"/>
  <c r="V458" i="27"/>
  <c r="V466" i="27"/>
  <c r="V474" i="27"/>
  <c r="V482" i="27"/>
  <c r="V490" i="27"/>
  <c r="V342" i="27"/>
  <c r="V406" i="27"/>
  <c r="V422" i="27"/>
  <c r="V423" i="27"/>
  <c r="V429" i="27"/>
  <c r="V437" i="27"/>
  <c r="V445" i="27"/>
  <c r="V453" i="27"/>
  <c r="V461" i="27"/>
  <c r="V469" i="27"/>
  <c r="V477" i="27"/>
  <c r="V485" i="27"/>
  <c r="V493" i="27"/>
  <c r="V501" i="27"/>
  <c r="V259" i="27"/>
  <c r="V366" i="27"/>
  <c r="V424" i="27"/>
  <c r="V432" i="27"/>
  <c r="V440" i="27"/>
  <c r="V448" i="27"/>
  <c r="V456" i="27"/>
  <c r="V464" i="27"/>
  <c r="V472" i="27"/>
  <c r="V480" i="27"/>
  <c r="V488" i="27"/>
  <c r="V496" i="27"/>
  <c r="V504" i="27"/>
  <c r="V326" i="27"/>
  <c r="V390" i="27"/>
  <c r="V427" i="27"/>
  <c r="V435" i="27"/>
  <c r="V443" i="27"/>
  <c r="V451" i="27"/>
  <c r="V459" i="27"/>
  <c r="V467" i="27"/>
  <c r="V475" i="27"/>
  <c r="V483" i="27"/>
  <c r="V491" i="27"/>
  <c r="V499" i="27"/>
  <c r="V350" i="27"/>
  <c r="V430" i="27"/>
  <c r="V438" i="27"/>
  <c r="V446" i="27"/>
  <c r="V454" i="27"/>
  <c r="V462" i="27"/>
  <c r="V470" i="27"/>
  <c r="V478" i="27"/>
  <c r="V486" i="27"/>
  <c r="V494" i="27"/>
  <c r="V374" i="27"/>
  <c r="V425" i="27"/>
  <c r="V433" i="27"/>
  <c r="V441" i="27"/>
  <c r="V449" i="27"/>
  <c r="V457" i="27"/>
  <c r="V465" i="27"/>
  <c r="V473" i="27"/>
  <c r="V481" i="27"/>
  <c r="V489" i="27"/>
  <c r="V334" i="27"/>
  <c r="V398" i="27"/>
  <c r="V428" i="27"/>
  <c r="V436" i="27"/>
  <c r="V444" i="27"/>
  <c r="V452" i="27"/>
  <c r="V460" i="27"/>
  <c r="V468" i="27"/>
  <c r="V476" i="27"/>
  <c r="V484" i="27"/>
  <c r="V492" i="27"/>
  <c r="V500" i="27"/>
  <c r="V508" i="27"/>
  <c r="O511" i="27"/>
  <c r="O503" i="27"/>
  <c r="O495" i="27"/>
  <c r="O487" i="27"/>
  <c r="O479" i="27"/>
  <c r="O471" i="27"/>
  <c r="O463" i="27"/>
  <c r="O455" i="27"/>
  <c r="O447" i="27"/>
  <c r="O439" i="27"/>
  <c r="O431" i="27"/>
  <c r="O423" i="27"/>
  <c r="O415" i="27"/>
  <c r="O407" i="27"/>
  <c r="O399" i="27"/>
  <c r="O391" i="27"/>
  <c r="O383" i="27"/>
  <c r="O375" i="27"/>
  <c r="O367" i="27"/>
  <c r="O359" i="27"/>
  <c r="O351" i="27"/>
  <c r="O343" i="27"/>
  <c r="O335" i="27"/>
  <c r="O327" i="27"/>
  <c r="O319" i="27"/>
  <c r="O311" i="27"/>
  <c r="O303" i="27"/>
  <c r="O295" i="27"/>
  <c r="O287" i="27"/>
  <c r="O279" i="27"/>
  <c r="O271" i="27"/>
  <c r="O263" i="27"/>
  <c r="O255" i="27"/>
  <c r="O247" i="27"/>
  <c r="O239" i="27"/>
  <c r="O231" i="27"/>
  <c r="O223" i="27"/>
  <c r="O215" i="27"/>
  <c r="O207" i="27"/>
  <c r="O199" i="27"/>
  <c r="O191" i="27"/>
  <c r="O183" i="27"/>
  <c r="O175" i="27"/>
  <c r="O167" i="27"/>
  <c r="O159" i="27"/>
  <c r="O151" i="27"/>
  <c r="O140" i="27"/>
  <c r="O130" i="27"/>
  <c r="O119" i="27"/>
  <c r="O108" i="27"/>
  <c r="O98" i="27"/>
  <c r="O87" i="27"/>
  <c r="O76" i="27"/>
  <c r="O66" i="27"/>
  <c r="O55" i="27"/>
  <c r="O44" i="27"/>
  <c r="O34" i="27"/>
  <c r="O23" i="27"/>
  <c r="O12" i="27"/>
  <c r="V511" i="27"/>
  <c r="V510" i="27"/>
  <c r="V509" i="27"/>
  <c r="W508" i="27"/>
  <c r="W507" i="27"/>
  <c r="W506" i="27"/>
  <c r="X505" i="27"/>
  <c r="T504" i="27"/>
  <c r="Z502" i="27"/>
  <c r="U501" i="27"/>
  <c r="P500" i="27"/>
  <c r="V498" i="27"/>
  <c r="Q497" i="27"/>
  <c r="T495" i="27"/>
  <c r="U490" i="27"/>
  <c r="W484" i="27"/>
  <c r="Y478" i="27"/>
  <c r="P473" i="27"/>
  <c r="R467" i="27"/>
  <c r="T461" i="27"/>
  <c r="V455" i="27"/>
  <c r="X449" i="27"/>
  <c r="Z443" i="27"/>
  <c r="Q438" i="27"/>
  <c r="S432" i="27"/>
  <c r="U426" i="27"/>
  <c r="U419" i="27"/>
  <c r="T364" i="27"/>
  <c r="Y317" i="27"/>
  <c r="U7" i="27"/>
  <c r="U15" i="27"/>
  <c r="U23" i="27"/>
  <c r="U31" i="27"/>
  <c r="U39" i="27"/>
  <c r="U47" i="27"/>
  <c r="U55" i="27"/>
  <c r="U63" i="27"/>
  <c r="U10" i="27"/>
  <c r="U18" i="27"/>
  <c r="U26" i="27"/>
  <c r="U34" i="27"/>
  <c r="U42" i="27"/>
  <c r="U50" i="27"/>
  <c r="U58" i="27"/>
  <c r="U13" i="27"/>
  <c r="U21" i="27"/>
  <c r="U29" i="27"/>
  <c r="U37" i="27"/>
  <c r="U45" i="27"/>
  <c r="U53" i="27"/>
  <c r="U61" i="27"/>
  <c r="U8" i="27"/>
  <c r="U16" i="27"/>
  <c r="U24" i="27"/>
  <c r="U32" i="27"/>
  <c r="U40" i="27"/>
  <c r="U48" i="27"/>
  <c r="U56" i="27"/>
  <c r="U64" i="27"/>
  <c r="U6" i="27"/>
  <c r="U14" i="27"/>
  <c r="U22" i="27"/>
  <c r="U30" i="27"/>
  <c r="U38" i="27"/>
  <c r="U46" i="27"/>
  <c r="U54" i="27"/>
  <c r="U62" i="27"/>
  <c r="U9" i="27"/>
  <c r="U17" i="27"/>
  <c r="U25" i="27"/>
  <c r="U33" i="27"/>
  <c r="U41" i="27"/>
  <c r="U49" i="27"/>
  <c r="U57" i="27"/>
  <c r="U65" i="27"/>
  <c r="U36" i="27"/>
  <c r="U72" i="27"/>
  <c r="U80" i="27"/>
  <c r="U88" i="27"/>
  <c r="U96" i="27"/>
  <c r="U19" i="27"/>
  <c r="U51" i="27"/>
  <c r="U67" i="27"/>
  <c r="U75" i="27"/>
  <c r="U83" i="27"/>
  <c r="U91" i="27"/>
  <c r="U99" i="27"/>
  <c r="U107" i="27"/>
  <c r="U28" i="27"/>
  <c r="U60" i="27"/>
  <c r="U70" i="27"/>
  <c r="U78" i="27"/>
  <c r="U86" i="27"/>
  <c r="U94" i="27"/>
  <c r="U102" i="27"/>
  <c r="U11" i="27"/>
  <c r="U43" i="27"/>
  <c r="U73" i="27"/>
  <c r="U81" i="27"/>
  <c r="U89" i="27"/>
  <c r="U97" i="27"/>
  <c r="U105" i="27"/>
  <c r="U20" i="27"/>
  <c r="U35" i="27"/>
  <c r="U71" i="27"/>
  <c r="U79" i="27"/>
  <c r="U87" i="27"/>
  <c r="U95" i="27"/>
  <c r="U103" i="27"/>
  <c r="U12" i="27"/>
  <c r="U44" i="27"/>
  <c r="U66" i="27"/>
  <c r="U74" i="27"/>
  <c r="U82" i="27"/>
  <c r="U90" i="27"/>
  <c r="U98" i="27"/>
  <c r="U106" i="27"/>
  <c r="U68" i="27"/>
  <c r="U77" i="27"/>
  <c r="U92" i="27"/>
  <c r="U114" i="27"/>
  <c r="U122" i="27"/>
  <c r="U130" i="27"/>
  <c r="U138" i="27"/>
  <c r="U146" i="27"/>
  <c r="U154" i="27"/>
  <c r="U59" i="27"/>
  <c r="U69" i="27"/>
  <c r="U84" i="27"/>
  <c r="U101" i="27"/>
  <c r="U109" i="27"/>
  <c r="U120" i="27"/>
  <c r="U128" i="27"/>
  <c r="U136" i="27"/>
  <c r="U144" i="27"/>
  <c r="U152" i="27"/>
  <c r="U27" i="27"/>
  <c r="U52" i="27"/>
  <c r="U76" i="27"/>
  <c r="U118" i="27"/>
  <c r="U126" i="27"/>
  <c r="U134" i="27"/>
  <c r="U93" i="27"/>
  <c r="U125" i="27"/>
  <c r="U132" i="27"/>
  <c r="U139" i="27"/>
  <c r="U140" i="27"/>
  <c r="U141" i="27"/>
  <c r="U142" i="27"/>
  <c r="U157" i="27"/>
  <c r="U165" i="27"/>
  <c r="U173" i="27"/>
  <c r="U117" i="27"/>
  <c r="U124" i="27"/>
  <c r="U131" i="27"/>
  <c r="U143" i="27"/>
  <c r="U145" i="27"/>
  <c r="U147" i="27"/>
  <c r="U160" i="27"/>
  <c r="U85" i="27"/>
  <c r="U111" i="27"/>
  <c r="U116" i="27"/>
  <c r="U123" i="27"/>
  <c r="U137" i="27"/>
  <c r="U148" i="27"/>
  <c r="U149" i="27"/>
  <c r="U150" i="27"/>
  <c r="U115" i="27"/>
  <c r="U129" i="27"/>
  <c r="U151" i="27"/>
  <c r="U153" i="27"/>
  <c r="U155" i="27"/>
  <c r="U158" i="27"/>
  <c r="U166" i="27"/>
  <c r="U174" i="27"/>
  <c r="U100" i="27"/>
  <c r="U108" i="27"/>
  <c r="U121" i="27"/>
  <c r="U127" i="27"/>
  <c r="U133" i="27"/>
  <c r="U163" i="27"/>
  <c r="U164" i="27"/>
  <c r="U179" i="27"/>
  <c r="U187" i="27"/>
  <c r="U195" i="27"/>
  <c r="U203" i="27"/>
  <c r="U211" i="27"/>
  <c r="U159" i="27"/>
  <c r="U167" i="27"/>
  <c r="U168" i="27"/>
  <c r="U169" i="27"/>
  <c r="U182" i="27"/>
  <c r="U190" i="27"/>
  <c r="U198" i="27"/>
  <c r="U112" i="27"/>
  <c r="U162" i="27"/>
  <c r="U170" i="27"/>
  <c r="U171" i="27"/>
  <c r="U172" i="27"/>
  <c r="U185" i="27"/>
  <c r="U193" i="27"/>
  <c r="U201" i="27"/>
  <c r="U209" i="27"/>
  <c r="U113" i="27"/>
  <c r="U156" i="27"/>
  <c r="U161" i="27"/>
  <c r="U175" i="27"/>
  <c r="U176" i="27"/>
  <c r="U180" i="27"/>
  <c r="U188" i="27"/>
  <c r="U196" i="27"/>
  <c r="U119" i="27"/>
  <c r="U135" i="27"/>
  <c r="U183" i="27"/>
  <c r="U191" i="27"/>
  <c r="U199" i="27"/>
  <c r="U207" i="27"/>
  <c r="U181" i="27"/>
  <c r="U189" i="27"/>
  <c r="U197" i="27"/>
  <c r="U205" i="27"/>
  <c r="U194" i="27"/>
  <c r="U217" i="27"/>
  <c r="U225" i="27"/>
  <c r="U233" i="27"/>
  <c r="U241" i="27"/>
  <c r="U249" i="27"/>
  <c r="U200" i="27"/>
  <c r="U204" i="27"/>
  <c r="U212" i="27"/>
  <c r="U220" i="27"/>
  <c r="U228" i="27"/>
  <c r="U236" i="27"/>
  <c r="U244" i="27"/>
  <c r="U177" i="27"/>
  <c r="U186" i="27"/>
  <c r="U210" i="27"/>
  <c r="U215" i="27"/>
  <c r="U223" i="27"/>
  <c r="U231" i="27"/>
  <c r="U239" i="27"/>
  <c r="U104" i="27"/>
  <c r="U192" i="27"/>
  <c r="U218" i="27"/>
  <c r="U226" i="27"/>
  <c r="U234" i="27"/>
  <c r="U242" i="27"/>
  <c r="U250" i="27"/>
  <c r="U110" i="27"/>
  <c r="U206" i="27"/>
  <c r="U213" i="27"/>
  <c r="U221" i="27"/>
  <c r="U229" i="27"/>
  <c r="U237" i="27"/>
  <c r="U245" i="27"/>
  <c r="U202" i="27"/>
  <c r="U219" i="27"/>
  <c r="U227" i="27"/>
  <c r="U235" i="27"/>
  <c r="U243" i="27"/>
  <c r="U208" i="27"/>
  <c r="U214" i="27"/>
  <c r="U222" i="27"/>
  <c r="U230" i="27"/>
  <c r="U238" i="27"/>
  <c r="U246" i="27"/>
  <c r="U254" i="27"/>
  <c r="U263" i="27"/>
  <c r="U271" i="27"/>
  <c r="U279" i="27"/>
  <c r="U287" i="27"/>
  <c r="U295" i="27"/>
  <c r="U303" i="27"/>
  <c r="U178" i="27"/>
  <c r="U224" i="27"/>
  <c r="U258" i="27"/>
  <c r="U266" i="27"/>
  <c r="U274" i="27"/>
  <c r="U282" i="27"/>
  <c r="U290" i="27"/>
  <c r="U298" i="27"/>
  <c r="U248" i="27"/>
  <c r="U251" i="27"/>
  <c r="U252" i="27"/>
  <c r="U253" i="27"/>
  <c r="U261" i="27"/>
  <c r="U269" i="27"/>
  <c r="U277" i="27"/>
  <c r="U285" i="27"/>
  <c r="U293" i="27"/>
  <c r="U301" i="27"/>
  <c r="U309" i="27"/>
  <c r="U184" i="27"/>
  <c r="U255" i="27"/>
  <c r="U256" i="27"/>
  <c r="U264" i="27"/>
  <c r="U272" i="27"/>
  <c r="U280" i="27"/>
  <c r="U288" i="27"/>
  <c r="U296" i="27"/>
  <c r="U304" i="27"/>
  <c r="U232" i="27"/>
  <c r="U259" i="27"/>
  <c r="U267" i="27"/>
  <c r="U275" i="27"/>
  <c r="U283" i="27"/>
  <c r="U291" i="27"/>
  <c r="U299" i="27"/>
  <c r="U216" i="27"/>
  <c r="U247" i="27"/>
  <c r="U257" i="27"/>
  <c r="U265" i="27"/>
  <c r="U273" i="27"/>
  <c r="U281" i="27"/>
  <c r="U289" i="27"/>
  <c r="U297" i="27"/>
  <c r="U305" i="27"/>
  <c r="U240" i="27"/>
  <c r="U260" i="27"/>
  <c r="U268" i="27"/>
  <c r="U276" i="27"/>
  <c r="U284" i="27"/>
  <c r="U292" i="27"/>
  <c r="U300" i="27"/>
  <c r="U308" i="27"/>
  <c r="U302" i="27"/>
  <c r="U314" i="27"/>
  <c r="U322" i="27"/>
  <c r="U330" i="27"/>
  <c r="U338" i="27"/>
  <c r="U346" i="27"/>
  <c r="U354" i="27"/>
  <c r="U362" i="27"/>
  <c r="U370" i="27"/>
  <c r="U378" i="27"/>
  <c r="U386" i="27"/>
  <c r="U394" i="27"/>
  <c r="U402" i="27"/>
  <c r="U410" i="27"/>
  <c r="U262" i="27"/>
  <c r="U306" i="27"/>
  <c r="U317" i="27"/>
  <c r="U325" i="27"/>
  <c r="U333" i="27"/>
  <c r="U341" i="27"/>
  <c r="U349" i="27"/>
  <c r="U357" i="27"/>
  <c r="U365" i="27"/>
  <c r="U373" i="27"/>
  <c r="U381" i="27"/>
  <c r="U389" i="27"/>
  <c r="U397" i="27"/>
  <c r="U405" i="27"/>
  <c r="U413" i="27"/>
  <c r="U286" i="27"/>
  <c r="U312" i="27"/>
  <c r="U320" i="27"/>
  <c r="U328" i="27"/>
  <c r="U336" i="27"/>
  <c r="U344" i="27"/>
  <c r="U352" i="27"/>
  <c r="U360" i="27"/>
  <c r="U368" i="27"/>
  <c r="U376" i="27"/>
  <c r="U384" i="27"/>
  <c r="U392" i="27"/>
  <c r="U400" i="27"/>
  <c r="U408" i="27"/>
  <c r="U416" i="27"/>
  <c r="U315" i="27"/>
  <c r="U323" i="27"/>
  <c r="U331" i="27"/>
  <c r="U339" i="27"/>
  <c r="U347" i="27"/>
  <c r="U355" i="27"/>
  <c r="U363" i="27"/>
  <c r="U371" i="27"/>
  <c r="U379" i="27"/>
  <c r="U387" i="27"/>
  <c r="U395" i="27"/>
  <c r="U403" i="27"/>
  <c r="U411" i="27"/>
  <c r="U270" i="27"/>
  <c r="U318" i="27"/>
  <c r="U326" i="27"/>
  <c r="U334" i="27"/>
  <c r="U342" i="27"/>
  <c r="U350" i="27"/>
  <c r="U358" i="27"/>
  <c r="U366" i="27"/>
  <c r="U374" i="27"/>
  <c r="U382" i="27"/>
  <c r="U390" i="27"/>
  <c r="U398" i="27"/>
  <c r="U406" i="27"/>
  <c r="U307" i="27"/>
  <c r="U316" i="27"/>
  <c r="U324" i="27"/>
  <c r="U332" i="27"/>
  <c r="U340" i="27"/>
  <c r="U348" i="27"/>
  <c r="U356" i="27"/>
  <c r="U364" i="27"/>
  <c r="U372" i="27"/>
  <c r="U380" i="27"/>
  <c r="U388" i="27"/>
  <c r="U396" i="27"/>
  <c r="U404" i="27"/>
  <c r="U278" i="27"/>
  <c r="U310" i="27"/>
  <c r="U311" i="27"/>
  <c r="U319" i="27"/>
  <c r="U327" i="27"/>
  <c r="U335" i="27"/>
  <c r="U343" i="27"/>
  <c r="U351" i="27"/>
  <c r="U359" i="27"/>
  <c r="U367" i="27"/>
  <c r="U375" i="27"/>
  <c r="U383" i="27"/>
  <c r="U391" i="27"/>
  <c r="U399" i="27"/>
  <c r="U407" i="27"/>
  <c r="U415" i="27"/>
  <c r="U423" i="27"/>
  <c r="U294" i="27"/>
  <c r="U353" i="27"/>
  <c r="U420" i="27"/>
  <c r="U421" i="27"/>
  <c r="U422" i="27"/>
  <c r="U429" i="27"/>
  <c r="U437" i="27"/>
  <c r="U445" i="27"/>
  <c r="U453" i="27"/>
  <c r="U461" i="27"/>
  <c r="U469" i="27"/>
  <c r="U477" i="27"/>
  <c r="U485" i="27"/>
  <c r="U493" i="27"/>
  <c r="U313" i="27"/>
  <c r="U377" i="27"/>
  <c r="U424" i="27"/>
  <c r="U432" i="27"/>
  <c r="U440" i="27"/>
  <c r="U448" i="27"/>
  <c r="U456" i="27"/>
  <c r="U464" i="27"/>
  <c r="U472" i="27"/>
  <c r="U480" i="27"/>
  <c r="U488" i="27"/>
  <c r="U496" i="27"/>
  <c r="U504" i="27"/>
  <c r="U337" i="27"/>
  <c r="U401" i="27"/>
  <c r="U412" i="27"/>
  <c r="U427" i="27"/>
  <c r="U435" i="27"/>
  <c r="U443" i="27"/>
  <c r="U451" i="27"/>
  <c r="U459" i="27"/>
  <c r="U467" i="27"/>
  <c r="U475" i="27"/>
  <c r="U483" i="27"/>
  <c r="U491" i="27"/>
  <c r="U499" i="27"/>
  <c r="U507" i="27"/>
  <c r="U361" i="27"/>
  <c r="U430" i="27"/>
  <c r="U438" i="27"/>
  <c r="U446" i="27"/>
  <c r="U454" i="27"/>
  <c r="U462" i="27"/>
  <c r="U470" i="27"/>
  <c r="U478" i="27"/>
  <c r="U486" i="27"/>
  <c r="U494" i="27"/>
  <c r="U502" i="27"/>
  <c r="U321" i="27"/>
  <c r="U385" i="27"/>
  <c r="U425" i="27"/>
  <c r="U433" i="27"/>
  <c r="U441" i="27"/>
  <c r="U449" i="27"/>
  <c r="U457" i="27"/>
  <c r="U465" i="27"/>
  <c r="U473" i="27"/>
  <c r="U481" i="27"/>
  <c r="U489" i="27"/>
  <c r="U345" i="27"/>
  <c r="U428" i="27"/>
  <c r="U436" i="27"/>
  <c r="U444" i="27"/>
  <c r="U452" i="27"/>
  <c r="U460" i="27"/>
  <c r="U468" i="27"/>
  <c r="U476" i="27"/>
  <c r="U484" i="27"/>
  <c r="U492" i="27"/>
  <c r="U369" i="27"/>
  <c r="U414" i="27"/>
  <c r="U431" i="27"/>
  <c r="U439" i="27"/>
  <c r="U447" i="27"/>
  <c r="U455" i="27"/>
  <c r="U463" i="27"/>
  <c r="U471" i="27"/>
  <c r="U479" i="27"/>
  <c r="U487" i="27"/>
  <c r="U495" i="27"/>
  <c r="U503" i="27"/>
  <c r="U511" i="27"/>
  <c r="O510" i="27"/>
  <c r="O502" i="27"/>
  <c r="O494" i="27"/>
  <c r="O486" i="27"/>
  <c r="O478" i="27"/>
  <c r="O470" i="27"/>
  <c r="O462" i="27"/>
  <c r="O454" i="27"/>
  <c r="O446" i="27"/>
  <c r="O438" i="27"/>
  <c r="O430" i="27"/>
  <c r="O422" i="27"/>
  <c r="O414" i="27"/>
  <c r="O406" i="27"/>
  <c r="O398" i="27"/>
  <c r="O390" i="27"/>
  <c r="O382" i="27"/>
  <c r="O374" i="27"/>
  <c r="O366" i="27"/>
  <c r="O358" i="27"/>
  <c r="O350" i="27"/>
  <c r="O342" i="27"/>
  <c r="O334" i="27"/>
  <c r="O326" i="27"/>
  <c r="O318" i="27"/>
  <c r="O310" i="27"/>
  <c r="O302" i="27"/>
  <c r="O294" i="27"/>
  <c r="O286" i="27"/>
  <c r="O278" i="27"/>
  <c r="O270" i="27"/>
  <c r="O262" i="27"/>
  <c r="O254" i="27"/>
  <c r="O246" i="27"/>
  <c r="O238" i="27"/>
  <c r="O230" i="27"/>
  <c r="O222" i="27"/>
  <c r="O214" i="27"/>
  <c r="O206" i="27"/>
  <c r="O198" i="27"/>
  <c r="O190" i="27"/>
  <c r="O182" i="27"/>
  <c r="O174" i="27"/>
  <c r="O166" i="27"/>
  <c r="O158" i="27"/>
  <c r="O150" i="27"/>
  <c r="O139" i="27"/>
  <c r="O128" i="27"/>
  <c r="O118" i="27"/>
  <c r="O107" i="27"/>
  <c r="O96" i="27"/>
  <c r="O86" i="27"/>
  <c r="O75" i="27"/>
  <c r="O64" i="27"/>
  <c r="O54" i="27"/>
  <c r="O43" i="27"/>
  <c r="O32" i="27"/>
  <c r="O22" i="27"/>
  <c r="O11" i="27"/>
  <c r="T511" i="27"/>
  <c r="U510" i="27"/>
  <c r="U509" i="27"/>
  <c r="U508" i="27"/>
  <c r="V507" i="27"/>
  <c r="V506" i="27"/>
  <c r="V505" i="27"/>
  <c r="S504" i="27"/>
  <c r="Y502" i="27"/>
  <c r="T501" i="27"/>
  <c r="Z499" i="27"/>
  <c r="U498" i="27"/>
  <c r="P497" i="27"/>
  <c r="Z494" i="27"/>
  <c r="X489" i="27"/>
  <c r="Z483" i="27"/>
  <c r="Q478" i="27"/>
  <c r="S472" i="27"/>
  <c r="U466" i="27"/>
  <c r="W460" i="27"/>
  <c r="Y454" i="27"/>
  <c r="P449" i="27"/>
  <c r="R443" i="27"/>
  <c r="V431" i="27"/>
  <c r="X425" i="27"/>
  <c r="U418" i="27"/>
  <c r="Q405" i="27"/>
  <c r="V358" i="27"/>
  <c r="P312" i="27"/>
  <c r="T10" i="27"/>
  <c r="T18" i="27"/>
  <c r="T26" i="27"/>
  <c r="T34" i="27"/>
  <c r="T42" i="27"/>
  <c r="T50" i="27"/>
  <c r="T58" i="27"/>
  <c r="T13" i="27"/>
  <c r="T21" i="27"/>
  <c r="T29" i="27"/>
  <c r="T37" i="27"/>
  <c r="T45" i="27"/>
  <c r="T53" i="27"/>
  <c r="T61" i="27"/>
  <c r="T8" i="27"/>
  <c r="T16" i="27"/>
  <c r="T24" i="27"/>
  <c r="T32" i="27"/>
  <c r="T40" i="27"/>
  <c r="T48" i="27"/>
  <c r="T56" i="27"/>
  <c r="T64" i="27"/>
  <c r="T11" i="27"/>
  <c r="T19" i="27"/>
  <c r="T27" i="27"/>
  <c r="T35" i="27"/>
  <c r="T43" i="27"/>
  <c r="T51" i="27"/>
  <c r="T59" i="27"/>
  <c r="T6" i="27"/>
  <c r="T9" i="27"/>
  <c r="T17" i="27"/>
  <c r="T25" i="27"/>
  <c r="T33" i="27"/>
  <c r="T41" i="27"/>
  <c r="T49" i="27"/>
  <c r="T57" i="27"/>
  <c r="T65" i="27"/>
  <c r="T12" i="27"/>
  <c r="T20" i="27"/>
  <c r="T28" i="27"/>
  <c r="T36" i="27"/>
  <c r="T44" i="27"/>
  <c r="T52" i="27"/>
  <c r="T60" i="27"/>
  <c r="T39" i="27"/>
  <c r="T67" i="27"/>
  <c r="T75" i="27"/>
  <c r="T83" i="27"/>
  <c r="T91" i="27"/>
  <c r="T99" i="27"/>
  <c r="T22" i="27"/>
  <c r="T54" i="27"/>
  <c r="T70" i="27"/>
  <c r="T78" i="27"/>
  <c r="T86" i="27"/>
  <c r="T94" i="27"/>
  <c r="T102" i="27"/>
  <c r="T31" i="27"/>
  <c r="T63" i="27"/>
  <c r="T73" i="27"/>
  <c r="T81" i="27"/>
  <c r="T89" i="27"/>
  <c r="T97" i="27"/>
  <c r="T14" i="27"/>
  <c r="T46" i="27"/>
  <c r="T68" i="27"/>
  <c r="T76" i="27"/>
  <c r="T84" i="27"/>
  <c r="T92" i="27"/>
  <c r="T100" i="27"/>
  <c r="T108" i="27"/>
  <c r="T7" i="27"/>
  <c r="T23" i="27"/>
  <c r="T38" i="27"/>
  <c r="T66" i="27"/>
  <c r="T74" i="27"/>
  <c r="T82" i="27"/>
  <c r="T90" i="27"/>
  <c r="T98" i="27"/>
  <c r="T106" i="27"/>
  <c r="T15" i="27"/>
  <c r="T47" i="27"/>
  <c r="T69" i="27"/>
  <c r="T77" i="27"/>
  <c r="T85" i="27"/>
  <c r="T93" i="27"/>
  <c r="T101" i="27"/>
  <c r="T109" i="27"/>
  <c r="T55" i="27"/>
  <c r="T71" i="27"/>
  <c r="T80" i="27"/>
  <c r="T95" i="27"/>
  <c r="T117" i="27"/>
  <c r="T125" i="27"/>
  <c r="T133" i="27"/>
  <c r="T141" i="27"/>
  <c r="T149" i="27"/>
  <c r="T87" i="27"/>
  <c r="T103" i="27"/>
  <c r="T110" i="27"/>
  <c r="T111" i="27"/>
  <c r="T112" i="27"/>
  <c r="T115" i="27"/>
  <c r="T123" i="27"/>
  <c r="T131" i="27"/>
  <c r="T139" i="27"/>
  <c r="T147" i="27"/>
  <c r="T155" i="27"/>
  <c r="T79" i="27"/>
  <c r="T105" i="27"/>
  <c r="T113" i="27"/>
  <c r="T121" i="27"/>
  <c r="T129" i="27"/>
  <c r="T137" i="27"/>
  <c r="T124" i="27"/>
  <c r="T143" i="27"/>
  <c r="T144" i="27"/>
  <c r="T145" i="27"/>
  <c r="T160" i="27"/>
  <c r="T168" i="27"/>
  <c r="T176" i="27"/>
  <c r="T30" i="27"/>
  <c r="T107" i="27"/>
  <c r="T116" i="27"/>
  <c r="T138" i="27"/>
  <c r="T146" i="27"/>
  <c r="T148" i="27"/>
  <c r="T150" i="27"/>
  <c r="T130" i="27"/>
  <c r="T151" i="27"/>
  <c r="T152" i="27"/>
  <c r="T153" i="27"/>
  <c r="T158" i="27"/>
  <c r="T122" i="27"/>
  <c r="T136" i="27"/>
  <c r="T154" i="27"/>
  <c r="T161" i="27"/>
  <c r="T169" i="27"/>
  <c r="T72" i="27"/>
  <c r="T114" i="27"/>
  <c r="T128" i="27"/>
  <c r="T135" i="27"/>
  <c r="T156" i="27"/>
  <c r="T96" i="27"/>
  <c r="T62" i="27"/>
  <c r="T142" i="27"/>
  <c r="T157" i="27"/>
  <c r="T159" i="27"/>
  <c r="T165" i="27"/>
  <c r="T166" i="27"/>
  <c r="T167" i="27"/>
  <c r="T182" i="27"/>
  <c r="T190" i="27"/>
  <c r="T198" i="27"/>
  <c r="T206" i="27"/>
  <c r="T118" i="27"/>
  <c r="T134" i="27"/>
  <c r="T162" i="27"/>
  <c r="T170" i="27"/>
  <c r="T171" i="27"/>
  <c r="T172" i="27"/>
  <c r="T185" i="27"/>
  <c r="T193" i="27"/>
  <c r="T201" i="27"/>
  <c r="T140" i="27"/>
  <c r="T173" i="27"/>
  <c r="T174" i="27"/>
  <c r="T175" i="27"/>
  <c r="T180" i="27"/>
  <c r="T188" i="27"/>
  <c r="T196" i="27"/>
  <c r="T204" i="27"/>
  <c r="T119" i="27"/>
  <c r="T183" i="27"/>
  <c r="T191" i="27"/>
  <c r="T199" i="27"/>
  <c r="T177" i="27"/>
  <c r="T186" i="27"/>
  <c r="T194" i="27"/>
  <c r="T202" i="27"/>
  <c r="T210" i="27"/>
  <c r="T104" i="27"/>
  <c r="T178" i="27"/>
  <c r="T184" i="27"/>
  <c r="T192" i="27"/>
  <c r="T200" i="27"/>
  <c r="T208" i="27"/>
  <c r="T197" i="27"/>
  <c r="T212" i="27"/>
  <c r="T220" i="27"/>
  <c r="T228" i="27"/>
  <c r="T236" i="27"/>
  <c r="T244" i="27"/>
  <c r="T88" i="27"/>
  <c r="T207" i="27"/>
  <c r="T215" i="27"/>
  <c r="T223" i="27"/>
  <c r="T231" i="27"/>
  <c r="T239" i="27"/>
  <c r="T247" i="27"/>
  <c r="T120" i="27"/>
  <c r="T132" i="27"/>
  <c r="T189" i="27"/>
  <c r="T218" i="27"/>
  <c r="T226" i="27"/>
  <c r="T234" i="27"/>
  <c r="T242" i="27"/>
  <c r="T195" i="27"/>
  <c r="T203" i="27"/>
  <c r="T213" i="27"/>
  <c r="T221" i="27"/>
  <c r="T229" i="27"/>
  <c r="T237" i="27"/>
  <c r="T245" i="27"/>
  <c r="T253" i="27"/>
  <c r="T181" i="27"/>
  <c r="T209" i="27"/>
  <c r="T216" i="27"/>
  <c r="T224" i="27"/>
  <c r="T232" i="27"/>
  <c r="T240" i="27"/>
  <c r="T248" i="27"/>
  <c r="T126" i="27"/>
  <c r="T205" i="27"/>
  <c r="T214" i="27"/>
  <c r="T222" i="27"/>
  <c r="T230" i="27"/>
  <c r="T238" i="27"/>
  <c r="T127" i="27"/>
  <c r="T164" i="27"/>
  <c r="T179" i="27"/>
  <c r="T211" i="27"/>
  <c r="T217" i="27"/>
  <c r="T225" i="27"/>
  <c r="T233" i="27"/>
  <c r="T241" i="27"/>
  <c r="T249" i="27"/>
  <c r="T235" i="27"/>
  <c r="T258" i="27"/>
  <c r="T266" i="27"/>
  <c r="T274" i="27"/>
  <c r="T282" i="27"/>
  <c r="T290" i="27"/>
  <c r="T298" i="27"/>
  <c r="T251" i="27"/>
  <c r="T252" i="27"/>
  <c r="T261" i="27"/>
  <c r="T269" i="27"/>
  <c r="T277" i="27"/>
  <c r="T285" i="27"/>
  <c r="T293" i="27"/>
  <c r="T301" i="27"/>
  <c r="T219" i="27"/>
  <c r="T250" i="27"/>
  <c r="T254" i="27"/>
  <c r="T255" i="27"/>
  <c r="T256" i="27"/>
  <c r="T264" i="27"/>
  <c r="T272" i="27"/>
  <c r="T280" i="27"/>
  <c r="T288" i="27"/>
  <c r="T296" i="27"/>
  <c r="T304" i="27"/>
  <c r="T243" i="27"/>
  <c r="T246" i="27"/>
  <c r="T259" i="27"/>
  <c r="T267" i="27"/>
  <c r="T275" i="27"/>
  <c r="T283" i="27"/>
  <c r="T291" i="27"/>
  <c r="T299" i="27"/>
  <c r="T307" i="27"/>
  <c r="T187" i="27"/>
  <c r="T262" i="27"/>
  <c r="T270" i="27"/>
  <c r="T278" i="27"/>
  <c r="T286" i="27"/>
  <c r="T294" i="27"/>
  <c r="T302" i="27"/>
  <c r="T260" i="27"/>
  <c r="T268" i="27"/>
  <c r="T276" i="27"/>
  <c r="T284" i="27"/>
  <c r="T292" i="27"/>
  <c r="T300" i="27"/>
  <c r="T308" i="27"/>
  <c r="T263" i="27"/>
  <c r="T271" i="27"/>
  <c r="T279" i="27"/>
  <c r="T287" i="27"/>
  <c r="T295" i="27"/>
  <c r="T303" i="27"/>
  <c r="T163" i="27"/>
  <c r="T273" i="27"/>
  <c r="T306" i="27"/>
  <c r="T317" i="27"/>
  <c r="T325" i="27"/>
  <c r="T333" i="27"/>
  <c r="T341" i="27"/>
  <c r="T349" i="27"/>
  <c r="T357" i="27"/>
  <c r="T365" i="27"/>
  <c r="T373" i="27"/>
  <c r="T381" i="27"/>
  <c r="T389" i="27"/>
  <c r="T397" i="27"/>
  <c r="T405" i="27"/>
  <c r="T297" i="27"/>
  <c r="T309" i="27"/>
  <c r="T312" i="27"/>
  <c r="T320" i="27"/>
  <c r="T328" i="27"/>
  <c r="T336" i="27"/>
  <c r="T344" i="27"/>
  <c r="T352" i="27"/>
  <c r="T360" i="27"/>
  <c r="T368" i="27"/>
  <c r="T376" i="27"/>
  <c r="T384" i="27"/>
  <c r="T392" i="27"/>
  <c r="T400" i="27"/>
  <c r="T408" i="27"/>
  <c r="T257" i="27"/>
  <c r="T315" i="27"/>
  <c r="T323" i="27"/>
  <c r="T331" i="27"/>
  <c r="T339" i="27"/>
  <c r="T347" i="27"/>
  <c r="T355" i="27"/>
  <c r="T363" i="27"/>
  <c r="T371" i="27"/>
  <c r="T379" i="27"/>
  <c r="T387" i="27"/>
  <c r="T395" i="27"/>
  <c r="T403" i="27"/>
  <c r="T411" i="27"/>
  <c r="T419" i="27"/>
  <c r="T281" i="27"/>
  <c r="T318" i="27"/>
  <c r="T326" i="27"/>
  <c r="T334" i="27"/>
  <c r="T342" i="27"/>
  <c r="T350" i="27"/>
  <c r="T358" i="27"/>
  <c r="T366" i="27"/>
  <c r="T374" i="27"/>
  <c r="T382" i="27"/>
  <c r="T390" i="27"/>
  <c r="T398" i="27"/>
  <c r="T406" i="27"/>
  <c r="T305" i="27"/>
  <c r="T313" i="27"/>
  <c r="T321" i="27"/>
  <c r="T329" i="27"/>
  <c r="T337" i="27"/>
  <c r="T345" i="27"/>
  <c r="T353" i="27"/>
  <c r="T361" i="27"/>
  <c r="T369" i="27"/>
  <c r="T377" i="27"/>
  <c r="T385" i="27"/>
  <c r="T393" i="27"/>
  <c r="T401" i="27"/>
  <c r="T409" i="27"/>
  <c r="T289" i="27"/>
  <c r="T310" i="27"/>
  <c r="T311" i="27"/>
  <c r="T319" i="27"/>
  <c r="T327" i="27"/>
  <c r="T335" i="27"/>
  <c r="T343" i="27"/>
  <c r="T351" i="27"/>
  <c r="T359" i="27"/>
  <c r="T367" i="27"/>
  <c r="T375" i="27"/>
  <c r="T383" i="27"/>
  <c r="T391" i="27"/>
  <c r="T399" i="27"/>
  <c r="T407" i="27"/>
  <c r="T314" i="27"/>
  <c r="T322" i="27"/>
  <c r="T330" i="27"/>
  <c r="T338" i="27"/>
  <c r="T346" i="27"/>
  <c r="T354" i="27"/>
  <c r="T362" i="27"/>
  <c r="T370" i="27"/>
  <c r="T378" i="27"/>
  <c r="T386" i="27"/>
  <c r="T394" i="27"/>
  <c r="T402" i="27"/>
  <c r="T410" i="27"/>
  <c r="T418" i="27"/>
  <c r="T227" i="27"/>
  <c r="T324" i="27"/>
  <c r="T388" i="27"/>
  <c r="T423" i="27"/>
  <c r="T424" i="27"/>
  <c r="T432" i="27"/>
  <c r="T440" i="27"/>
  <c r="T448" i="27"/>
  <c r="T456" i="27"/>
  <c r="T464" i="27"/>
  <c r="T472" i="27"/>
  <c r="T480" i="27"/>
  <c r="T488" i="27"/>
  <c r="T348" i="27"/>
  <c r="T412" i="27"/>
  <c r="T427" i="27"/>
  <c r="T435" i="27"/>
  <c r="T443" i="27"/>
  <c r="T451" i="27"/>
  <c r="T459" i="27"/>
  <c r="T467" i="27"/>
  <c r="T475" i="27"/>
  <c r="T483" i="27"/>
  <c r="T491" i="27"/>
  <c r="T499" i="27"/>
  <c r="T372" i="27"/>
  <c r="T430" i="27"/>
  <c r="T438" i="27"/>
  <c r="T446" i="27"/>
  <c r="T454" i="27"/>
  <c r="T462" i="27"/>
  <c r="T470" i="27"/>
  <c r="T478" i="27"/>
  <c r="T486" i="27"/>
  <c r="T494" i="27"/>
  <c r="T502" i="27"/>
  <c r="T510" i="27"/>
  <c r="T265" i="27"/>
  <c r="T332" i="27"/>
  <c r="T396" i="27"/>
  <c r="T425" i="27"/>
  <c r="T433" i="27"/>
  <c r="T441" i="27"/>
  <c r="T449" i="27"/>
  <c r="T457" i="27"/>
  <c r="T465" i="27"/>
  <c r="T473" i="27"/>
  <c r="T481" i="27"/>
  <c r="T489" i="27"/>
  <c r="T497" i="27"/>
  <c r="T356" i="27"/>
  <c r="T428" i="27"/>
  <c r="T436" i="27"/>
  <c r="T444" i="27"/>
  <c r="T452" i="27"/>
  <c r="T460" i="27"/>
  <c r="T468" i="27"/>
  <c r="T476" i="27"/>
  <c r="T484" i="27"/>
  <c r="T492" i="27"/>
  <c r="T316" i="27"/>
  <c r="T380" i="27"/>
  <c r="T414" i="27"/>
  <c r="T431" i="27"/>
  <c r="T439" i="27"/>
  <c r="T447" i="27"/>
  <c r="T455" i="27"/>
  <c r="T463" i="27"/>
  <c r="T471" i="27"/>
  <c r="T479" i="27"/>
  <c r="T487" i="27"/>
  <c r="T340" i="27"/>
  <c r="T404" i="27"/>
  <c r="T415" i="27"/>
  <c r="T416" i="27"/>
  <c r="T417" i="27"/>
  <c r="T426" i="27"/>
  <c r="T434" i="27"/>
  <c r="T442" i="27"/>
  <c r="T450" i="27"/>
  <c r="T458" i="27"/>
  <c r="T466" i="27"/>
  <c r="T474" i="27"/>
  <c r="T482" i="27"/>
  <c r="T490" i="27"/>
  <c r="T498" i="27"/>
  <c r="T506" i="27"/>
  <c r="O509" i="27"/>
  <c r="O501" i="27"/>
  <c r="O493" i="27"/>
  <c r="O485" i="27"/>
  <c r="O477" i="27"/>
  <c r="O469" i="27"/>
  <c r="O461" i="27"/>
  <c r="O453" i="27"/>
  <c r="O445" i="27"/>
  <c r="O437" i="27"/>
  <c r="O429" i="27"/>
  <c r="O421" i="27"/>
  <c r="O413" i="27"/>
  <c r="O405" i="27"/>
  <c r="O397" i="27"/>
  <c r="O389" i="27"/>
  <c r="O381" i="27"/>
  <c r="O373" i="27"/>
  <c r="O365" i="27"/>
  <c r="O357" i="27"/>
  <c r="O349" i="27"/>
  <c r="O341" i="27"/>
  <c r="O333" i="27"/>
  <c r="O325" i="27"/>
  <c r="O317" i="27"/>
  <c r="O309" i="27"/>
  <c r="O301" i="27"/>
  <c r="O293" i="27"/>
  <c r="O285" i="27"/>
  <c r="O277" i="27"/>
  <c r="O269" i="27"/>
  <c r="O261" i="27"/>
  <c r="O253" i="27"/>
  <c r="O245" i="27"/>
  <c r="O237" i="27"/>
  <c r="O229" i="27"/>
  <c r="O221" i="27"/>
  <c r="O213" i="27"/>
  <c r="O205" i="27"/>
  <c r="O197" i="27"/>
  <c r="O189" i="27"/>
  <c r="O181" i="27"/>
  <c r="O173" i="27"/>
  <c r="O165" i="27"/>
  <c r="O157" i="27"/>
  <c r="O148" i="27"/>
  <c r="O138" i="27"/>
  <c r="O127" i="27"/>
  <c r="O116" i="27"/>
  <c r="O106" i="27"/>
  <c r="O95" i="27"/>
  <c r="O84" i="27"/>
  <c r="O74" i="27"/>
  <c r="O63" i="27"/>
  <c r="O52" i="27"/>
  <c r="O42" i="27"/>
  <c r="O31" i="27"/>
  <c r="O20" i="27"/>
  <c r="O10" i="27"/>
  <c r="S511" i="27"/>
  <c r="S510" i="27"/>
  <c r="T509" i="27"/>
  <c r="T508" i="27"/>
  <c r="T507" i="27"/>
  <c r="U506" i="27"/>
  <c r="U505" i="27"/>
  <c r="Q504" i="27"/>
  <c r="W502" i="27"/>
  <c r="R501" i="27"/>
  <c r="X499" i="27"/>
  <c r="S498" i="27"/>
  <c r="Y496" i="27"/>
  <c r="Y494" i="27"/>
  <c r="P489" i="27"/>
  <c r="R483" i="27"/>
  <c r="T477" i="27"/>
  <c r="V471" i="27"/>
  <c r="X465" i="27"/>
  <c r="Z459" i="27"/>
  <c r="Q454" i="27"/>
  <c r="S448" i="27"/>
  <c r="U442" i="27"/>
  <c r="W436" i="27"/>
  <c r="Y430" i="27"/>
  <c r="P425" i="27"/>
  <c r="U417" i="27"/>
  <c r="S399" i="27"/>
  <c r="X352" i="27"/>
  <c r="W288" i="27"/>
  <c r="AD23" i="27"/>
  <c r="AE23" i="27" s="1"/>
  <c r="AF23" i="27" s="1"/>
  <c r="AG23" i="27" s="1"/>
  <c r="AH23" i="27" s="1"/>
  <c r="AI23" i="27" s="1"/>
  <c r="AJ23" i="27" s="1"/>
  <c r="AK23" i="27" s="1"/>
  <c r="AL23" i="27" s="1"/>
  <c r="AM23" i="27" s="1"/>
  <c r="AN23" i="27" s="1"/>
  <c r="B19" i="12"/>
  <c r="B2" i="12"/>
  <c r="C2" i="12"/>
  <c r="D2" i="12"/>
  <c r="E2" i="12"/>
  <c r="H19" i="12"/>
  <c r="G5" i="12" a="1"/>
  <c r="G5" i="12" s="1"/>
  <c r="AQ6" i="27" l="1" a="1"/>
  <c r="H23" i="28" a="1"/>
  <c r="H47" i="28" a="1"/>
  <c r="H11" i="28" a="1"/>
  <c r="P19" i="26" a="1"/>
  <c r="P47" i="26" a="1"/>
  <c r="T1" i="27"/>
  <c r="T2" i="27"/>
  <c r="Q2" i="27"/>
  <c r="Q1" i="27"/>
  <c r="R2" i="27"/>
  <c r="R1" i="27"/>
  <c r="U1" i="27"/>
  <c r="U2" i="27"/>
  <c r="O2" i="27"/>
  <c r="O1" i="27"/>
  <c r="X2" i="27"/>
  <c r="X1" i="27"/>
  <c r="S1" i="27"/>
  <c r="S2" i="27"/>
  <c r="V1" i="27"/>
  <c r="V2" i="27"/>
  <c r="Y2" i="27"/>
  <c r="Y1" i="27"/>
  <c r="Z2" i="27"/>
  <c r="Z1" i="27"/>
  <c r="W2" i="27"/>
  <c r="W1" i="27"/>
  <c r="P2" i="27"/>
  <c r="P1" i="27"/>
  <c r="G11" i="12"/>
  <c r="G10" i="12"/>
  <c r="G9" i="12"/>
  <c r="G16" i="12"/>
  <c r="G8" i="12"/>
  <c r="G12" i="12"/>
  <c r="G15" i="12"/>
  <c r="G7" i="12"/>
  <c r="G14" i="12"/>
  <c r="G6" i="12"/>
  <c r="G13" i="12"/>
  <c r="G17" i="23"/>
  <c r="AQ6" i="27" l="1"/>
  <c r="AQ7" i="27"/>
  <c r="AU10" i="27"/>
  <c r="AT13" i="27"/>
  <c r="AX16" i="27"/>
  <c r="AZ19" i="27"/>
  <c r="AZ22" i="27"/>
  <c r="AQ26" i="27"/>
  <c r="AT29" i="27"/>
  <c r="AT32" i="27"/>
  <c r="AT35" i="27"/>
  <c r="AZ36" i="27"/>
  <c r="AV38" i="27"/>
  <c r="BB39" i="27"/>
  <c r="AX41" i="27"/>
  <c r="AT43" i="27"/>
  <c r="AY44" i="27"/>
  <c r="AU46" i="27"/>
  <c r="BB47" i="27"/>
  <c r="AV49" i="27"/>
  <c r="AQ51" i="27"/>
  <c r="AY52" i="27"/>
  <c r="AR54" i="27"/>
  <c r="AZ55" i="27"/>
  <c r="AV57" i="27"/>
  <c r="BB58" i="27"/>
  <c r="AX60" i="27"/>
  <c r="AR62" i="27"/>
  <c r="AU63" i="27"/>
  <c r="AW64" i="27"/>
  <c r="AZ65" i="27"/>
  <c r="BA66" i="27"/>
  <c r="AR68" i="27"/>
  <c r="AU69" i="27"/>
  <c r="AV70" i="27"/>
  <c r="AY71" i="27"/>
  <c r="BA72" i="27"/>
  <c r="AQ74" i="27"/>
  <c r="AS75" i="27"/>
  <c r="AV76" i="27"/>
  <c r="AV77" i="27"/>
  <c r="AW78" i="27"/>
  <c r="AW79" i="27"/>
  <c r="AW80" i="27"/>
  <c r="AW81" i="27"/>
  <c r="AW82" i="27"/>
  <c r="AU83" i="27"/>
  <c r="AT84" i="27"/>
  <c r="AS85" i="27"/>
  <c r="AQ86" i="27"/>
  <c r="BB86" i="27"/>
  <c r="BA87" i="27"/>
  <c r="AY88" i="27"/>
  <c r="AX89" i="27"/>
  <c r="AW90" i="27"/>
  <c r="AU91" i="27"/>
  <c r="AT92" i="27"/>
  <c r="AS93" i="27"/>
  <c r="AQ94" i="27"/>
  <c r="BB94" i="27"/>
  <c r="BA95" i="27"/>
  <c r="AY96" i="27"/>
  <c r="AX97" i="27"/>
  <c r="AW98" i="27"/>
  <c r="AU99" i="27"/>
  <c r="AT100" i="27"/>
  <c r="AS101" i="27"/>
  <c r="AQ102" i="27"/>
  <c r="BB102" i="27"/>
  <c r="BA103" i="27"/>
  <c r="AY104" i="27"/>
  <c r="AX105" i="27"/>
  <c r="AW106" i="27"/>
  <c r="AU107" i="27"/>
  <c r="AT108" i="27"/>
  <c r="AS109" i="27"/>
  <c r="AQ110" i="27"/>
  <c r="BB110" i="27"/>
  <c r="BA111" i="27"/>
  <c r="AY112" i="27"/>
  <c r="AX113" i="27"/>
  <c r="AW114" i="27"/>
  <c r="AU115" i="27"/>
  <c r="AT116" i="27"/>
  <c r="AS117" i="27"/>
  <c r="AQ118" i="27"/>
  <c r="AT8" i="27"/>
  <c r="AV11" i="27"/>
  <c r="AV14" i="27"/>
  <c r="AY17" i="27"/>
  <c r="AQ21" i="27"/>
  <c r="BB23" i="27"/>
  <c r="AT27" i="27"/>
  <c r="AV30" i="27"/>
  <c r="AV33" i="27"/>
  <c r="AZ35" i="27"/>
  <c r="AV37" i="27"/>
  <c r="AQ39" i="27"/>
  <c r="AX40" i="27"/>
  <c r="AR42" i="27"/>
  <c r="AZ43" i="27"/>
  <c r="AT45" i="27"/>
  <c r="BB46" i="27"/>
  <c r="AX48" i="27"/>
  <c r="AQ50" i="27"/>
  <c r="AY51" i="27"/>
  <c r="AT53" i="27"/>
  <c r="AZ54" i="27"/>
  <c r="AU56" i="27"/>
  <c r="AQ58" i="27"/>
  <c r="AV59" i="27"/>
  <c r="AR61" i="27"/>
  <c r="AY62" i="27"/>
  <c r="AZ63" i="27"/>
  <c r="AQ65" i="27"/>
  <c r="AS66" i="27"/>
  <c r="AU67" i="27"/>
  <c r="AW68" i="27"/>
  <c r="AZ69" i="27"/>
  <c r="BA70" i="27"/>
  <c r="AR72" i="27"/>
  <c r="AU73" i="27"/>
  <c r="AV74" i="27"/>
  <c r="AY75" i="27"/>
  <c r="BA76" i="27"/>
  <c r="BA77" i="27"/>
  <c r="BA78" i="27"/>
  <c r="BB79" i="27"/>
  <c r="BA80" i="27"/>
  <c r="BB81" i="27"/>
  <c r="BA82" i="27"/>
  <c r="AY83" i="27"/>
  <c r="AX84" i="27"/>
  <c r="AW85" i="27"/>
  <c r="AU86" i="27"/>
  <c r="AT87" i="27"/>
  <c r="AS88" i="27"/>
  <c r="AQ89" i="27"/>
  <c r="BB89" i="27"/>
  <c r="BA90" i="27"/>
  <c r="AY91" i="27"/>
  <c r="AX92" i="27"/>
  <c r="AW93" i="27"/>
  <c r="AU94" i="27"/>
  <c r="AT95" i="27"/>
  <c r="AS96" i="27"/>
  <c r="AQ97" i="27"/>
  <c r="BB97" i="27"/>
  <c r="BA98" i="27"/>
  <c r="AY99" i="27"/>
  <c r="AX100" i="27"/>
  <c r="AW101" i="27"/>
  <c r="AU102" i="27"/>
  <c r="AT103" i="27"/>
  <c r="AS104" i="27"/>
  <c r="AQ105" i="27"/>
  <c r="BB105" i="27"/>
  <c r="BA106" i="27"/>
  <c r="AY107" i="27"/>
  <c r="AX108" i="27"/>
  <c r="AW109" i="27"/>
  <c r="AU110" i="27"/>
  <c r="AT111" i="27"/>
  <c r="AS112" i="27"/>
  <c r="AQ113" i="27"/>
  <c r="BB113" i="27"/>
  <c r="BA114" i="27"/>
  <c r="AY115" i="27"/>
  <c r="AX116" i="27"/>
  <c r="AW117" i="27"/>
  <c r="AU118" i="27"/>
  <c r="AR6" i="27"/>
  <c r="AX10" i="27"/>
  <c r="AQ15" i="27"/>
  <c r="BB18" i="27"/>
  <c r="AU23" i="27"/>
  <c r="AV27" i="27"/>
  <c r="AY31" i="27"/>
  <c r="AV35" i="27"/>
  <c r="AX37" i="27"/>
  <c r="AY39" i="27"/>
  <c r="AY41" i="27"/>
  <c r="BB43" i="27"/>
  <c r="BB45" i="27"/>
  <c r="AR48" i="27"/>
  <c r="AU50" i="27"/>
  <c r="AT52" i="27"/>
  <c r="AV54" i="27"/>
  <c r="AX56" i="27"/>
  <c r="AX58" i="27"/>
  <c r="AY60" i="27"/>
  <c r="AZ62" i="27"/>
  <c r="AS64" i="27"/>
  <c r="BA65" i="27"/>
  <c r="AW67" i="27"/>
  <c r="AQ69" i="27"/>
  <c r="AY70" i="27"/>
  <c r="AS72" i="27"/>
  <c r="AZ73" i="27"/>
  <c r="AU75" i="27"/>
  <c r="AQ77" i="27"/>
  <c r="AS78" i="27"/>
  <c r="AY79" i="27"/>
  <c r="AR81" i="27"/>
  <c r="AT82" i="27"/>
  <c r="AW83" i="27"/>
  <c r="AY84" i="27"/>
  <c r="BA85" i="27"/>
  <c r="AQ87" i="27"/>
  <c r="AT88" i="27"/>
  <c r="AU89" i="27"/>
  <c r="AX90" i="27"/>
  <c r="BA91" i="27"/>
  <c r="BB92" i="27"/>
  <c r="AS94" i="27"/>
  <c r="AU95" i="27"/>
  <c r="AW96" i="27"/>
  <c r="AY97" i="27"/>
  <c r="BB98" i="27"/>
  <c r="AQ100" i="27"/>
  <c r="AT101" i="27"/>
  <c r="AW102" i="27"/>
  <c r="AX103" i="27"/>
  <c r="BA104" i="27"/>
  <c r="AQ106" i="27"/>
  <c r="AS107" i="27"/>
  <c r="AU108" i="27"/>
  <c r="AX109" i="27"/>
  <c r="AY110" i="27"/>
  <c r="BB111" i="27"/>
  <c r="AS113" i="27"/>
  <c r="AT114" i="27"/>
  <c r="AW115" i="27"/>
  <c r="AY116" i="27"/>
  <c r="BA117" i="27"/>
  <c r="BB118" i="27"/>
  <c r="BA119" i="27"/>
  <c r="AY120" i="27"/>
  <c r="AX121" i="27"/>
  <c r="AW122" i="27"/>
  <c r="AU123" i="27"/>
  <c r="AT124" i="27"/>
  <c r="AS125" i="27"/>
  <c r="AQ126" i="27"/>
  <c r="BB126" i="27"/>
  <c r="BA127" i="27"/>
  <c r="AY128" i="27"/>
  <c r="AX129" i="27"/>
  <c r="AZ6" i="27"/>
  <c r="BB10" i="27"/>
  <c r="AU15" i="27"/>
  <c r="AT19" i="27"/>
  <c r="AY23" i="27"/>
  <c r="AR28" i="27"/>
  <c r="BB31" i="27"/>
  <c r="AY35" i="27"/>
  <c r="BB37" i="27"/>
  <c r="AZ39" i="27"/>
  <c r="AQ42" i="27"/>
  <c r="AR44" i="27"/>
  <c r="AR46" i="27"/>
  <c r="AT48" i="27"/>
  <c r="AV50" i="27"/>
  <c r="AU52" i="27"/>
  <c r="AX54" i="27"/>
  <c r="AZ56" i="27"/>
  <c r="AZ58" i="27"/>
  <c r="AQ61" i="27"/>
  <c r="BA62" i="27"/>
  <c r="AV64" i="27"/>
  <c r="AQ66" i="27"/>
  <c r="AY67" i="27"/>
  <c r="AR69" i="27"/>
  <c r="AZ70" i="27"/>
  <c r="AV72" i="27"/>
  <c r="BA73" i="27"/>
  <c r="AW75" i="27"/>
  <c r="AR77" i="27"/>
  <c r="AV78" i="27"/>
  <c r="AZ79" i="27"/>
  <c r="AS81" i="27"/>
  <c r="AU82" i="27"/>
  <c r="AX83" i="27"/>
  <c r="BA84" i="27"/>
  <c r="BB85" i="27"/>
  <c r="AS87" i="27"/>
  <c r="AU88" i="27"/>
  <c r="AW89" i="27"/>
  <c r="AY90" i="27"/>
  <c r="BB91" i="27"/>
  <c r="AQ93" i="27"/>
  <c r="AT94" i="27"/>
  <c r="AW95" i="27"/>
  <c r="AX96" i="27"/>
  <c r="BA97" i="27"/>
  <c r="AQ99" i="27"/>
  <c r="AS100" i="27"/>
  <c r="AU101" i="27"/>
  <c r="AX102" i="27"/>
  <c r="AY103" i="27"/>
  <c r="BB104" i="27"/>
  <c r="AS106" i="27"/>
  <c r="AT107" i="27"/>
  <c r="AW108" i="27"/>
  <c r="AY109" i="27"/>
  <c r="BA110" i="27"/>
  <c r="AQ112" i="27"/>
  <c r="AT113" i="27"/>
  <c r="AU114" i="27"/>
  <c r="AX115" i="27"/>
  <c r="BA116" i="27"/>
  <c r="BB117" i="27"/>
  <c r="AQ119" i="27"/>
  <c r="BB119" i="27"/>
  <c r="BA120" i="27"/>
  <c r="AY121" i="27"/>
  <c r="AX122" i="27"/>
  <c r="AW123" i="27"/>
  <c r="AU124" i="27"/>
  <c r="AT125" i="27"/>
  <c r="AS126" i="27"/>
  <c r="AQ127" i="27"/>
  <c r="BB127" i="27"/>
  <c r="BA128" i="27"/>
  <c r="AY129" i="27"/>
  <c r="AX130" i="27"/>
  <c r="AW131" i="27"/>
  <c r="AU132" i="27"/>
  <c r="AT133" i="27"/>
  <c r="AS134" i="27"/>
  <c r="AQ135" i="27"/>
  <c r="BB135" i="27"/>
  <c r="BA136" i="27"/>
  <c r="AU7" i="27"/>
  <c r="AZ11" i="27"/>
  <c r="AY15" i="27"/>
  <c r="AR20" i="27"/>
  <c r="AX24" i="27"/>
  <c r="AU28" i="27"/>
  <c r="AZ32" i="27"/>
  <c r="AR36" i="27"/>
  <c r="AQ38" i="27"/>
  <c r="AT40" i="27"/>
  <c r="AU42" i="27"/>
  <c r="AU44" i="27"/>
  <c r="AV46" i="27"/>
  <c r="AY48" i="27"/>
  <c r="AX50" i="27"/>
  <c r="AZ52" i="27"/>
  <c r="AQ55" i="27"/>
  <c r="AQ57" i="27"/>
  <c r="AT59" i="27"/>
  <c r="AT61" i="27"/>
  <c r="AR63" i="27"/>
  <c r="AY64" i="27"/>
  <c r="AU66" i="27"/>
  <c r="AZ67" i="27"/>
  <c r="AV69" i="27"/>
  <c r="AR71" i="27"/>
  <c r="AW72" i="27"/>
  <c r="AS74" i="27"/>
  <c r="AZ75" i="27"/>
  <c r="AT77" i="27"/>
  <c r="AX78" i="27"/>
  <c r="AQ80" i="27"/>
  <c r="BB7" i="27"/>
  <c r="AR12" i="27"/>
  <c r="AT16" i="27"/>
  <c r="AU20" i="27"/>
  <c r="AZ24" i="27"/>
  <c r="AY28" i="27"/>
  <c r="AR33" i="27"/>
  <c r="AT36" i="27"/>
  <c r="AR38" i="27"/>
  <c r="AU40" i="27"/>
  <c r="AX42" i="27"/>
  <c r="AX44" i="27"/>
  <c r="AZ46" i="27"/>
  <c r="AZ48" i="27"/>
  <c r="BB50" i="27"/>
  <c r="AQ53" i="27"/>
  <c r="AT55" i="27"/>
  <c r="AR57" i="27"/>
  <c r="AU59" i="27"/>
  <c r="AX61" i="27"/>
  <c r="AS63" i="27"/>
  <c r="BA64" i="27"/>
  <c r="AV66" i="27"/>
  <c r="AQ68" i="27"/>
  <c r="AW69" i="27"/>
  <c r="AS71" i="27"/>
  <c r="AY72" i="27"/>
  <c r="AU74" i="27"/>
  <c r="AQ76" i="27"/>
  <c r="AU77" i="27"/>
  <c r="AX8" i="27"/>
  <c r="AY12" i="27"/>
  <c r="AZ16" i="27"/>
  <c r="AT21" i="27"/>
  <c r="AR25" i="27"/>
  <c r="AX29" i="27"/>
  <c r="AQ34" i="27"/>
  <c r="AU36" i="27"/>
  <c r="AX38" i="27"/>
  <c r="AZ40" i="27"/>
  <c r="AZ42" i="27"/>
  <c r="AQ45" i="27"/>
  <c r="AQ47" i="27"/>
  <c r="AR49" i="27"/>
  <c r="AT51" i="27"/>
  <c r="AV53" i="27"/>
  <c r="AU55" i="27"/>
  <c r="AX57" i="27"/>
  <c r="AZ59" i="27"/>
  <c r="AY61" i="27"/>
  <c r="AW63" i="27"/>
  <c r="AR65" i="27"/>
  <c r="AY66" i="27"/>
  <c r="AS68" i="27"/>
  <c r="BA69" i="27"/>
  <c r="AU71" i="27"/>
  <c r="AQ73" i="27"/>
  <c r="AY74" i="27"/>
  <c r="AR76" i="27"/>
  <c r="AY77" i="27"/>
  <c r="AQ79" i="27"/>
  <c r="AU80" i="27"/>
  <c r="AY81" i="27"/>
  <c r="BB82" i="27"/>
  <c r="AQ84" i="27"/>
  <c r="AT85" i="27"/>
  <c r="AW86" i="27"/>
  <c r="AX87" i="27"/>
  <c r="BA88" i="27"/>
  <c r="AQ90" i="27"/>
  <c r="AS91" i="27"/>
  <c r="AU92" i="27"/>
  <c r="AX93" i="27"/>
  <c r="AY94" i="27"/>
  <c r="BB95" i="27"/>
  <c r="AS97" i="27"/>
  <c r="AT98" i="27"/>
  <c r="AW99" i="27"/>
  <c r="AY100" i="27"/>
  <c r="BA101" i="27"/>
  <c r="AQ103" i="27"/>
  <c r="AT104" i="27"/>
  <c r="AU105" i="27"/>
  <c r="AX106" i="27"/>
  <c r="BA107" i="27"/>
  <c r="BB108" i="27"/>
  <c r="AS110" i="27"/>
  <c r="AU111" i="27"/>
  <c r="AW112" i="27"/>
  <c r="AY113" i="27"/>
  <c r="BB114" i="27"/>
  <c r="AQ116" i="27"/>
  <c r="AT117" i="27"/>
  <c r="AW118" i="27"/>
  <c r="AU119" i="27"/>
  <c r="AT120" i="27"/>
  <c r="AS121" i="27"/>
  <c r="AQ122" i="27"/>
  <c r="BB122" i="27"/>
  <c r="BA123" i="27"/>
  <c r="AY124" i="27"/>
  <c r="AX125" i="27"/>
  <c r="AW126" i="27"/>
  <c r="AU127" i="27"/>
  <c r="AT128" i="27"/>
  <c r="AS129" i="27"/>
  <c r="AQ130" i="27"/>
  <c r="BB130" i="27"/>
  <c r="BA131" i="27"/>
  <c r="AY132" i="27"/>
  <c r="AX133" i="27"/>
  <c r="AW134" i="27"/>
  <c r="AU135" i="27"/>
  <c r="AT136" i="27"/>
  <c r="AS137" i="27"/>
  <c r="AY9" i="27"/>
  <c r="AR22" i="27"/>
  <c r="AU34" i="27"/>
  <c r="AU39" i="27"/>
  <c r="AX45" i="27"/>
  <c r="AV51" i="27"/>
  <c r="AT56" i="27"/>
  <c r="AU62" i="27"/>
  <c r="AZ66" i="27"/>
  <c r="AU70" i="27"/>
  <c r="BA74" i="27"/>
  <c r="AZ78" i="27"/>
  <c r="AT81" i="27"/>
  <c r="AS83" i="27"/>
  <c r="AQ85" i="27"/>
  <c r="BA86" i="27"/>
  <c r="BB88" i="27"/>
  <c r="BB90" i="27"/>
  <c r="AY92" i="27"/>
  <c r="AX94" i="27"/>
  <c r="AU96" i="27"/>
  <c r="AU98" i="27"/>
  <c r="AU100" i="27"/>
  <c r="AS102" i="27"/>
  <c r="AQ104" i="27"/>
  <c r="BA105" i="27"/>
  <c r="BB107" i="27"/>
  <c r="BA109" i="27"/>
  <c r="AX111" i="27"/>
  <c r="AW113" i="27"/>
  <c r="AT115" i="27"/>
  <c r="AU117" i="27"/>
  <c r="AS119" i="27"/>
  <c r="AW120" i="27"/>
  <c r="BB121" i="27"/>
  <c r="AT123" i="27"/>
  <c r="BA124" i="27"/>
  <c r="AT126" i="27"/>
  <c r="AX127" i="27"/>
  <c r="AQ129" i="27"/>
  <c r="AU130" i="27"/>
  <c r="AX131" i="27"/>
  <c r="BA132" i="27"/>
  <c r="BB133" i="27"/>
  <c r="AS135" i="27"/>
  <c r="AU136" i="27"/>
  <c r="AW137" i="27"/>
  <c r="AU138" i="27"/>
  <c r="AT139" i="27"/>
  <c r="AS140" i="27"/>
  <c r="AQ141" i="27"/>
  <c r="BB141" i="27"/>
  <c r="BA142" i="27"/>
  <c r="AY143" i="27"/>
  <c r="AX144" i="27"/>
  <c r="AW145" i="27"/>
  <c r="AU146" i="27"/>
  <c r="AT147" i="27"/>
  <c r="AS148" i="27"/>
  <c r="BA148" i="27"/>
  <c r="AW149" i="27"/>
  <c r="AS150" i="27"/>
  <c r="BA150" i="27"/>
  <c r="AW151" i="27"/>
  <c r="AS152" i="27"/>
  <c r="BA152" i="27"/>
  <c r="AQ13" i="27"/>
  <c r="AV22" i="27"/>
  <c r="AX34" i="27"/>
  <c r="AQ41" i="27"/>
  <c r="AY45" i="27"/>
  <c r="AZ51" i="27"/>
  <c r="AY57" i="27"/>
  <c r="AV62" i="27"/>
  <c r="AR67" i="27"/>
  <c r="AW71" i="27"/>
  <c r="AR75" i="27"/>
  <c r="AS79" i="27"/>
  <c r="AV81" i="27"/>
  <c r="AT83" i="27"/>
  <c r="AU85" i="27"/>
  <c r="AU87" i="27"/>
  <c r="AS89" i="27"/>
  <c r="AQ91" i="27"/>
  <c r="BA92" i="27"/>
  <c r="BA94" i="27"/>
  <c r="BA96" i="27"/>
  <c r="AX98" i="27"/>
  <c r="AW100" i="27"/>
  <c r="AT102" i="27"/>
  <c r="AU104" i="27"/>
  <c r="AT106" i="27"/>
  <c r="AQ108" i="27"/>
  <c r="BB109" i="27"/>
  <c r="AY111" i="27"/>
  <c r="BA113" i="27"/>
  <c r="BA115" i="27"/>
  <c r="AX117" i="27"/>
  <c r="AT119" i="27"/>
  <c r="AX120" i="27"/>
  <c r="AS122" i="27"/>
  <c r="AX123" i="27"/>
  <c r="BB124" i="27"/>
  <c r="AU126" i="27"/>
  <c r="AY127" i="27"/>
  <c r="AT129" i="27"/>
  <c r="AW130" i="27"/>
  <c r="AY131" i="27"/>
  <c r="BB132" i="27"/>
  <c r="AQ134" i="27"/>
  <c r="AT135" i="27"/>
  <c r="AW136" i="27"/>
  <c r="AX137" i="27"/>
  <c r="AW138" i="27"/>
  <c r="AU139" i="27"/>
  <c r="AT140" i="27"/>
  <c r="AS141" i="27"/>
  <c r="AQ142" i="27"/>
  <c r="BB142" i="27"/>
  <c r="BA143" i="27"/>
  <c r="AY144" i="27"/>
  <c r="AX145" i="27"/>
  <c r="AW146" i="27"/>
  <c r="AU147" i="27"/>
  <c r="AT148" i="27"/>
  <c r="BB148" i="27"/>
  <c r="AX149" i="27"/>
  <c r="AT150" i="27"/>
  <c r="BB150" i="27"/>
  <c r="AX151" i="27"/>
  <c r="AT152" i="27"/>
  <c r="BB152" i="27"/>
  <c r="AX153" i="27"/>
  <c r="AT154" i="27"/>
  <c r="BB154" i="27"/>
  <c r="AX155" i="27"/>
  <c r="AT156" i="27"/>
  <c r="BB156" i="27"/>
  <c r="AX157" i="27"/>
  <c r="AT158" i="27"/>
  <c r="BB158" i="27"/>
  <c r="AX159" i="27"/>
  <c r="AT160" i="27"/>
  <c r="BB160" i="27"/>
  <c r="AX161" i="27"/>
  <c r="AT162" i="27"/>
  <c r="BB162" i="27"/>
  <c r="AX163" i="27"/>
  <c r="AT164" i="27"/>
  <c r="BB164" i="27"/>
  <c r="AX165" i="27"/>
  <c r="AT166" i="27"/>
  <c r="AV17" i="27"/>
  <c r="BB26" i="27"/>
  <c r="AQ37" i="27"/>
  <c r="BB42" i="27"/>
  <c r="AY47" i="27"/>
  <c r="BB53" i="27"/>
  <c r="BB59" i="27"/>
  <c r="AR64" i="27"/>
  <c r="AY68" i="27"/>
  <c r="AR73" i="27"/>
  <c r="AY76" i="27"/>
  <c r="AR80" i="27"/>
  <c r="AS82" i="27"/>
  <c r="AS84" i="27"/>
  <c r="AS86" i="27"/>
  <c r="BB87" i="27"/>
  <c r="BA89" i="27"/>
  <c r="AX91" i="27"/>
  <c r="AY93" i="27"/>
  <c r="AX95" i="27"/>
  <c r="AU97" i="27"/>
  <c r="AT99" i="27"/>
  <c r="AQ101" i="27"/>
  <c r="AS103" i="27"/>
  <c r="AS105" i="27"/>
  <c r="BB106" i="27"/>
  <c r="BA108" i="27"/>
  <c r="AX110" i="27"/>
  <c r="AX112" i="27"/>
  <c r="AX114" i="27"/>
  <c r="AU116" i="27"/>
  <c r="AT118" i="27"/>
  <c r="AY119" i="27"/>
  <c r="AT121" i="27"/>
  <c r="AY122" i="27"/>
  <c r="AQ124" i="27"/>
  <c r="AW125" i="27"/>
  <c r="BA126" i="27"/>
  <c r="AU128" i="27"/>
  <c r="BA129" i="27"/>
  <c r="AQ131" i="27"/>
  <c r="AS132" i="27"/>
  <c r="AU133" i="27"/>
  <c r="AX134" i="27"/>
  <c r="AY135" i="27"/>
  <c r="BB136" i="27"/>
  <c r="BB137" i="27"/>
  <c r="BA138" i="27"/>
  <c r="AY139" i="27"/>
  <c r="AX140" i="27"/>
  <c r="AW141" i="27"/>
  <c r="AU142" i="27"/>
  <c r="AT143" i="27"/>
  <c r="AS144" i="27"/>
  <c r="AQ145" i="27"/>
  <c r="BB145" i="27"/>
  <c r="BA146" i="27"/>
  <c r="AY147" i="27"/>
  <c r="AW148" i="27"/>
  <c r="AS149" i="27"/>
  <c r="BA149" i="27"/>
  <c r="AW150" i="27"/>
  <c r="AS151" i="27"/>
  <c r="BA151" i="27"/>
  <c r="AW152" i="27"/>
  <c r="AS153" i="27"/>
  <c r="BA153" i="27"/>
  <c r="AW154" i="27"/>
  <c r="AS155" i="27"/>
  <c r="BA155" i="27"/>
  <c r="AW156" i="27"/>
  <c r="AS157" i="27"/>
  <c r="BA157" i="27"/>
  <c r="AW158" i="27"/>
  <c r="AS159" i="27"/>
  <c r="BA159" i="27"/>
  <c r="AW160" i="27"/>
  <c r="AS161" i="27"/>
  <c r="BA161" i="27"/>
  <c r="AW162" i="27"/>
  <c r="AS163" i="27"/>
  <c r="BA163" i="27"/>
  <c r="AW164" i="27"/>
  <c r="AS165" i="27"/>
  <c r="BA165" i="27"/>
  <c r="BB13" i="27"/>
  <c r="AZ30" i="27"/>
  <c r="AV41" i="27"/>
  <c r="BB49" i="27"/>
  <c r="AR60" i="27"/>
  <c r="AS67" i="27"/>
  <c r="AW73" i="27"/>
  <c r="AU79" i="27"/>
  <c r="AQ83" i="27"/>
  <c r="AT86" i="27"/>
  <c r="AT89" i="27"/>
  <c r="AS92" i="27"/>
  <c r="AS95" i="27"/>
  <c r="AS98" i="27"/>
  <c r="AX101" i="27"/>
  <c r="AW104" i="27"/>
  <c r="AW107" i="27"/>
  <c r="AW110" i="27"/>
  <c r="AU113" i="27"/>
  <c r="AW116" i="27"/>
  <c r="AW119" i="27"/>
  <c r="AW121" i="27"/>
  <c r="BB123" i="27"/>
  <c r="BB125" i="27"/>
  <c r="AW128" i="27"/>
  <c r="AY130" i="27"/>
  <c r="AW132" i="27"/>
  <c r="AU134" i="27"/>
  <c r="AS136" i="27"/>
  <c r="AQ138" i="27"/>
  <c r="AW139" i="27"/>
  <c r="BA140" i="27"/>
  <c r="AT142" i="27"/>
  <c r="AX143" i="27"/>
  <c r="AS145" i="27"/>
  <c r="AX146" i="27"/>
  <c r="BB147" i="27"/>
  <c r="AR149" i="27"/>
  <c r="AR150" i="27"/>
  <c r="AT151" i="27"/>
  <c r="AU152" i="27"/>
  <c r="AU153" i="27"/>
  <c r="AS154" i="27"/>
  <c r="AR155" i="27"/>
  <c r="AQ156" i="27"/>
  <c r="BA156" i="27"/>
  <c r="AZ157" i="27"/>
  <c r="AY158" i="27"/>
  <c r="AW159" i="27"/>
  <c r="AV160" i="27"/>
  <c r="AU161" i="27"/>
  <c r="AS162" i="27"/>
  <c r="AR163" i="27"/>
  <c r="AQ164" i="27"/>
  <c r="BA164" i="27"/>
  <c r="AZ165" i="27"/>
  <c r="AX166" i="27"/>
  <c r="AT167" i="27"/>
  <c r="BB167" i="27"/>
  <c r="AX168" i="27"/>
  <c r="AT169" i="27"/>
  <c r="BB169" i="27"/>
  <c r="AX170" i="27"/>
  <c r="AT171" i="27"/>
  <c r="BB171" i="27"/>
  <c r="AX172" i="27"/>
  <c r="AT173" i="27"/>
  <c r="BB173" i="27"/>
  <c r="AX174" i="27"/>
  <c r="AT175" i="27"/>
  <c r="BB175" i="27"/>
  <c r="AX176" i="27"/>
  <c r="AT177" i="27"/>
  <c r="BB177" i="27"/>
  <c r="AX178" i="27"/>
  <c r="AT179" i="27"/>
  <c r="BB179" i="27"/>
  <c r="AX180" i="27"/>
  <c r="AT181" i="27"/>
  <c r="BB181" i="27"/>
  <c r="AX182" i="27"/>
  <c r="AT183" i="27"/>
  <c r="BB183" i="27"/>
  <c r="AX184" i="27"/>
  <c r="AT185" i="27"/>
  <c r="AR14" i="27"/>
  <c r="AQ31" i="27"/>
  <c r="AU43" i="27"/>
  <c r="AR52" i="27"/>
  <c r="AU60" i="27"/>
  <c r="AV68" i="27"/>
  <c r="AZ74" i="27"/>
  <c r="AV80" i="27"/>
  <c r="BA83" i="27"/>
  <c r="AX86" i="27"/>
  <c r="AY89" i="27"/>
  <c r="AW92" i="27"/>
  <c r="AY95" i="27"/>
  <c r="AY98" i="27"/>
  <c r="AY101" i="27"/>
  <c r="AX104" i="27"/>
  <c r="AX107" i="27"/>
  <c r="AQ111" i="27"/>
  <c r="AQ114" i="27"/>
  <c r="BB116" i="27"/>
  <c r="AX119" i="27"/>
  <c r="BA121" i="27"/>
  <c r="AS124" i="27"/>
  <c r="AX126" i="27"/>
  <c r="AX128" i="27"/>
  <c r="BA130" i="27"/>
  <c r="AX132" i="27"/>
  <c r="AY134" i="27"/>
  <c r="AX136" i="27"/>
  <c r="AS138" i="27"/>
  <c r="AX139" i="27"/>
  <c r="BB140" i="27"/>
  <c r="AW142" i="27"/>
  <c r="BB143" i="27"/>
  <c r="AT145" i="27"/>
  <c r="AY146" i="27"/>
  <c r="AQ148" i="27"/>
  <c r="AT149" i="27"/>
  <c r="AU150" i="27"/>
  <c r="AU151" i="27"/>
  <c r="AV152" i="27"/>
  <c r="AV153" i="27"/>
  <c r="AU154" i="27"/>
  <c r="AT155" i="27"/>
  <c r="AR156" i="27"/>
  <c r="AQ157" i="27"/>
  <c r="BB157" i="27"/>
  <c r="AZ158" i="27"/>
  <c r="AY159" i="27"/>
  <c r="AX160" i="27"/>
  <c r="AV161" i="27"/>
  <c r="AU162" i="27"/>
  <c r="AT163" i="27"/>
  <c r="AR164" i="27"/>
  <c r="AQ165" i="27"/>
  <c r="BB165" i="27"/>
  <c r="AY166" i="27"/>
  <c r="AU167" i="27"/>
  <c r="AQ168" i="27"/>
  <c r="AY168" i="27"/>
  <c r="AU169" i="27"/>
  <c r="AQ170" i="27"/>
  <c r="AY170" i="27"/>
  <c r="AU171" i="27"/>
  <c r="AQ172" i="27"/>
  <c r="AY172" i="27"/>
  <c r="AU173" i="27"/>
  <c r="AQ174" i="27"/>
  <c r="AY174" i="27"/>
  <c r="AU175" i="27"/>
  <c r="AQ176" i="27"/>
  <c r="AY176" i="27"/>
  <c r="AU177" i="27"/>
  <c r="AQ178" i="27"/>
  <c r="AY178" i="27"/>
  <c r="AU179" i="27"/>
  <c r="AQ180" i="27"/>
  <c r="AY180" i="27"/>
  <c r="AU181" i="27"/>
  <c r="AQ182" i="27"/>
  <c r="AY182" i="27"/>
  <c r="AU183" i="27"/>
  <c r="AQ184" i="27"/>
  <c r="AY184" i="27"/>
  <c r="AU185" i="27"/>
  <c r="AQ186" i="27"/>
  <c r="AY186" i="27"/>
  <c r="AU187" i="27"/>
  <c r="AQ188" i="27"/>
  <c r="AY188" i="27"/>
  <c r="AU189" i="27"/>
  <c r="AQ190" i="27"/>
  <c r="AY190" i="27"/>
  <c r="AU191" i="27"/>
  <c r="AQ192" i="27"/>
  <c r="AY192" i="27"/>
  <c r="AU193" i="27"/>
  <c r="AQ194" i="27"/>
  <c r="AY194" i="27"/>
  <c r="AU195" i="27"/>
  <c r="AQ196" i="27"/>
  <c r="AY196" i="27"/>
  <c r="AU197" i="27"/>
  <c r="AQ198" i="27"/>
  <c r="AY198" i="27"/>
  <c r="AU199" i="27"/>
  <c r="AQ200" i="27"/>
  <c r="AY200" i="27"/>
  <c r="AU201" i="27"/>
  <c r="AQ202" i="27"/>
  <c r="AY202" i="27"/>
  <c r="AU203" i="27"/>
  <c r="AQ204" i="27"/>
  <c r="AY204" i="27"/>
  <c r="AU205" i="27"/>
  <c r="AQ206" i="27"/>
  <c r="AY206" i="27"/>
  <c r="AU207" i="27"/>
  <c r="AQ208" i="27"/>
  <c r="AY208" i="27"/>
  <c r="AU209" i="27"/>
  <c r="AQ210" i="27"/>
  <c r="AY210" i="27"/>
  <c r="AU211" i="27"/>
  <c r="AX21" i="27"/>
  <c r="AT37" i="27"/>
  <c r="AU47" i="27"/>
  <c r="AY55" i="27"/>
  <c r="AQ64" i="27"/>
  <c r="AS70" i="27"/>
  <c r="AZ77" i="27"/>
  <c r="BA81" i="27"/>
  <c r="AW84" i="27"/>
  <c r="AY87" i="27"/>
  <c r="AU90" i="27"/>
  <c r="BA93" i="27"/>
  <c r="BB96" i="27"/>
  <c r="BA99" i="27"/>
  <c r="BA102" i="27"/>
  <c r="AY105" i="27"/>
  <c r="AQ109" i="27"/>
  <c r="AT112" i="27"/>
  <c r="AQ115" i="27"/>
  <c r="AS118" i="27"/>
  <c r="AU120" i="27"/>
  <c r="BA122" i="27"/>
  <c r="AQ125" i="27"/>
  <c r="AT127" i="27"/>
  <c r="AW129" i="27"/>
  <c r="AU131" i="27"/>
  <c r="AW133" i="27"/>
  <c r="AW135" i="27"/>
  <c r="AT137" i="27"/>
  <c r="AY138" i="27"/>
  <c r="AQ140" i="27"/>
  <c r="AX141" i="27"/>
  <c r="AQ143" i="27"/>
  <c r="AU144" i="27"/>
  <c r="BA145" i="27"/>
  <c r="AS147" i="27"/>
  <c r="AX148" i="27"/>
  <c r="AY149" i="27"/>
  <c r="AY150" i="27"/>
  <c r="AZ151" i="27"/>
  <c r="AZ152" i="27"/>
  <c r="AZ153" i="27"/>
  <c r="AY154" i="27"/>
  <c r="AW155" i="27"/>
  <c r="AV156" i="27"/>
  <c r="AU157" i="27"/>
  <c r="AS158" i="27"/>
  <c r="AR159" i="27"/>
  <c r="AQ160" i="27"/>
  <c r="BA160" i="27"/>
  <c r="AZ161" i="27"/>
  <c r="AY162" i="27"/>
  <c r="AW163" i="27"/>
  <c r="AV164" i="27"/>
  <c r="AU165" i="27"/>
  <c r="AS166" i="27"/>
  <c r="BB166" i="27"/>
  <c r="AX167" i="27"/>
  <c r="AT168" i="27"/>
  <c r="BB168" i="27"/>
  <c r="AX169" i="27"/>
  <c r="AT170" i="27"/>
  <c r="BB170" i="27"/>
  <c r="AX171" i="27"/>
  <c r="AT172" i="27"/>
  <c r="BB172" i="27"/>
  <c r="AX173" i="27"/>
  <c r="AT174" i="27"/>
  <c r="BB174" i="27"/>
  <c r="AX175" i="27"/>
  <c r="AT176" i="27"/>
  <c r="BB176" i="27"/>
  <c r="AX177" i="27"/>
  <c r="AT178" i="27"/>
  <c r="BB178" i="27"/>
  <c r="AX179" i="27"/>
  <c r="AT180" i="27"/>
  <c r="BB180" i="27"/>
  <c r="AX181" i="27"/>
  <c r="AT182" i="27"/>
  <c r="BB182" i="27"/>
  <c r="AX183" i="27"/>
  <c r="AT184" i="27"/>
  <c r="BB184" i="27"/>
  <c r="AX185" i="27"/>
  <c r="AT186" i="27"/>
  <c r="BB186" i="27"/>
  <c r="AX187" i="27"/>
  <c r="AT188" i="27"/>
  <c r="BB188" i="27"/>
  <c r="AX189" i="27"/>
  <c r="AT190" i="27"/>
  <c r="BB190" i="27"/>
  <c r="AX191" i="27"/>
  <c r="AT192" i="27"/>
  <c r="BB192" i="27"/>
  <c r="AX193" i="27"/>
  <c r="AT194" i="27"/>
  <c r="BB194" i="27"/>
  <c r="AX195" i="27"/>
  <c r="AT196" i="27"/>
  <c r="BB196" i="27"/>
  <c r="AX197" i="27"/>
  <c r="AT198" i="27"/>
  <c r="BB198" i="27"/>
  <c r="AX199" i="27"/>
  <c r="AT200" i="27"/>
  <c r="BB200" i="27"/>
  <c r="AX201" i="27"/>
  <c r="AT202" i="27"/>
  <c r="BB202" i="27"/>
  <c r="AX203" i="27"/>
  <c r="AT204" i="27"/>
  <c r="BB204" i="27"/>
  <c r="AX205" i="27"/>
  <c r="AT206" i="27"/>
  <c r="BB206" i="27"/>
  <c r="AX207" i="27"/>
  <c r="AT208" i="27"/>
  <c r="BB208" i="27"/>
  <c r="AX209" i="27"/>
  <c r="AT210" i="27"/>
  <c r="BB210" i="27"/>
  <c r="AX211" i="27"/>
  <c r="AQ18" i="27"/>
  <c r="AT39" i="27"/>
  <c r="AQ54" i="27"/>
  <c r="AW65" i="27"/>
  <c r="AQ78" i="27"/>
  <c r="BB83" i="27"/>
  <c r="AW88" i="27"/>
  <c r="AU93" i="27"/>
  <c r="AQ98" i="27"/>
  <c r="AU103" i="27"/>
  <c r="AS108" i="27"/>
  <c r="BA112" i="27"/>
  <c r="AY117" i="27"/>
  <c r="AU121" i="27"/>
  <c r="AU125" i="27"/>
  <c r="BB128" i="27"/>
  <c r="AQ132" i="27"/>
  <c r="BB134" i="27"/>
  <c r="BA137" i="27"/>
  <c r="AU140" i="27"/>
  <c r="AX142" i="27"/>
  <c r="BA144" i="27"/>
  <c r="AQ147" i="27"/>
  <c r="AQ149" i="27"/>
  <c r="AZ150" i="27"/>
  <c r="AX152" i="27"/>
  <c r="AQ154" i="27"/>
  <c r="AV155" i="27"/>
  <c r="AZ156" i="27"/>
  <c r="AU158" i="27"/>
  <c r="AZ159" i="27"/>
  <c r="AR161" i="27"/>
  <c r="AX162" i="27"/>
  <c r="BB163" i="27"/>
  <c r="AV165" i="27"/>
  <c r="AZ166" i="27"/>
  <c r="AZ167" i="27"/>
  <c r="BA168" i="27"/>
  <c r="BA169" i="27"/>
  <c r="AQ171" i="27"/>
  <c r="AR172" i="27"/>
  <c r="AR173" i="27"/>
  <c r="AS174" i="27"/>
  <c r="AS175" i="27"/>
  <c r="AU176" i="27"/>
  <c r="AV177" i="27"/>
  <c r="AV178" i="27"/>
  <c r="AW179" i="27"/>
  <c r="AW180" i="27"/>
  <c r="AY181" i="27"/>
  <c r="AZ182" i="27"/>
  <c r="AZ183" i="27"/>
  <c r="BA184" i="27"/>
  <c r="BA185" i="27"/>
  <c r="AZ186" i="27"/>
  <c r="AY187" i="27"/>
  <c r="AW188" i="27"/>
  <c r="AV189" i="27"/>
  <c r="AU190" i="27"/>
  <c r="AS191" i="27"/>
  <c r="AR192" i="27"/>
  <c r="AQ193" i="27"/>
  <c r="BA193" i="27"/>
  <c r="AZ194" i="27"/>
  <c r="AY195" i="27"/>
  <c r="AW196" i="27"/>
  <c r="AV197" i="27"/>
  <c r="AU198" i="27"/>
  <c r="AS199" i="27"/>
  <c r="AR200" i="27"/>
  <c r="AQ201" i="27"/>
  <c r="BA201" i="27"/>
  <c r="AZ202" i="27"/>
  <c r="AY203" i="27"/>
  <c r="AW204" i="27"/>
  <c r="AV205" i="27"/>
  <c r="AU206" i="27"/>
  <c r="AS207" i="27"/>
  <c r="AR208" i="27"/>
  <c r="AQ209" i="27"/>
  <c r="BA209" i="27"/>
  <c r="AZ210" i="27"/>
  <c r="AY211" i="27"/>
  <c r="AU212" i="27"/>
  <c r="AQ213" i="27"/>
  <c r="AY213" i="27"/>
  <c r="AU214" i="27"/>
  <c r="AQ215" i="27"/>
  <c r="AY215" i="27"/>
  <c r="AU216" i="27"/>
  <c r="AQ217" i="27"/>
  <c r="AY217" i="27"/>
  <c r="AU218" i="27"/>
  <c r="AQ219" i="27"/>
  <c r="AY219" i="27"/>
  <c r="AU220" i="27"/>
  <c r="AQ221" i="27"/>
  <c r="AY221" i="27"/>
  <c r="AU222" i="27"/>
  <c r="AQ223" i="27"/>
  <c r="AY223" i="27"/>
  <c r="AU224" i="27"/>
  <c r="AQ225" i="27"/>
  <c r="AY225" i="27"/>
  <c r="AU226" i="27"/>
  <c r="AQ227" i="27"/>
  <c r="AY227" i="27"/>
  <c r="AU228" i="27"/>
  <c r="AQ229" i="27"/>
  <c r="AY229" i="27"/>
  <c r="AU230" i="27"/>
  <c r="AQ231" i="27"/>
  <c r="AY231" i="27"/>
  <c r="AU232" i="27"/>
  <c r="AQ233" i="27"/>
  <c r="AY233" i="27"/>
  <c r="AU234" i="27"/>
  <c r="AQ235" i="27"/>
  <c r="AY235" i="27"/>
  <c r="AU236" i="27"/>
  <c r="AQ237" i="27"/>
  <c r="AY237" i="27"/>
  <c r="AU238" i="27"/>
  <c r="AQ239" i="27"/>
  <c r="AY239" i="27"/>
  <c r="AU240" i="27"/>
  <c r="AQ241" i="27"/>
  <c r="AY241" i="27"/>
  <c r="AU242" i="27"/>
  <c r="AQ243" i="27"/>
  <c r="AX18" i="27"/>
  <c r="AR41" i="27"/>
  <c r="BB55" i="27"/>
  <c r="BA68" i="27"/>
  <c r="AR78" i="27"/>
  <c r="AU84" i="27"/>
  <c r="AX88" i="27"/>
  <c r="BB93" i="27"/>
  <c r="AS99" i="27"/>
  <c r="AW103" i="27"/>
  <c r="AY108" i="27"/>
  <c r="BB112" i="27"/>
  <c r="AX118" i="27"/>
  <c r="AT122" i="27"/>
  <c r="AY125" i="27"/>
  <c r="AU129" i="27"/>
  <c r="AT132" i="27"/>
  <c r="AX135" i="27"/>
  <c r="AT138" i="27"/>
  <c r="AW140" i="27"/>
  <c r="AY142" i="27"/>
  <c r="BB144" i="27"/>
  <c r="AW147" i="27"/>
  <c r="AU149" i="27"/>
  <c r="AQ151" i="27"/>
  <c r="AY152" i="27"/>
  <c r="AR154" i="27"/>
  <c r="AY155" i="27"/>
  <c r="AR157" i="27"/>
  <c r="AV158" i="27"/>
  <c r="BB159" i="27"/>
  <c r="AT161" i="27"/>
  <c r="AZ162" i="27"/>
  <c r="AS164" i="27"/>
  <c r="AW165" i="27"/>
  <c r="BA166" i="27"/>
  <c r="BA167" i="27"/>
  <c r="AQ169" i="27"/>
  <c r="AR170" i="27"/>
  <c r="AR171" i="27"/>
  <c r="AS172" i="27"/>
  <c r="AS173" i="27"/>
  <c r="AU174" i="27"/>
  <c r="AV175" i="27"/>
  <c r="AV176" i="27"/>
  <c r="AW177" i="27"/>
  <c r="AW178" i="27"/>
  <c r="AY179" i="27"/>
  <c r="AZ180" i="27"/>
  <c r="AZ181" i="27"/>
  <c r="BA182" i="27"/>
  <c r="BA183" i="27"/>
  <c r="AQ185" i="27"/>
  <c r="BB185" i="27"/>
  <c r="BA186" i="27"/>
  <c r="AZ187" i="27"/>
  <c r="AX188" i="27"/>
  <c r="AW189" i="27"/>
  <c r="AV190" i="27"/>
  <c r="AT191" i="27"/>
  <c r="AS192" i="27"/>
  <c r="AR193" i="27"/>
  <c r="BB193" i="27"/>
  <c r="BA194" i="27"/>
  <c r="AZ195" i="27"/>
  <c r="AX196" i="27"/>
  <c r="AW197" i="27"/>
  <c r="AV198" i="27"/>
  <c r="AT199" i="27"/>
  <c r="AS200" i="27"/>
  <c r="AR201" i="27"/>
  <c r="BB201" i="27"/>
  <c r="BA202" i="27"/>
  <c r="AZ203" i="27"/>
  <c r="AX204" i="27"/>
  <c r="AW205" i="27"/>
  <c r="AV206" i="27"/>
  <c r="AT207" i="27"/>
  <c r="AS208" i="27"/>
  <c r="AR209" i="27"/>
  <c r="BB209" i="27"/>
  <c r="BA210" i="27"/>
  <c r="AZ211" i="27"/>
  <c r="AV212" i="27"/>
  <c r="AR213" i="27"/>
  <c r="AZ213" i="27"/>
  <c r="AV214" i="27"/>
  <c r="AR215" i="27"/>
  <c r="AZ215" i="27"/>
  <c r="AV216" i="27"/>
  <c r="AR217" i="27"/>
  <c r="AZ217" i="27"/>
  <c r="AV218" i="27"/>
  <c r="AR219" i="27"/>
  <c r="AZ219" i="27"/>
  <c r="AV220" i="27"/>
  <c r="AR221" i="27"/>
  <c r="AZ221" i="27"/>
  <c r="AV222" i="27"/>
  <c r="AR223" i="27"/>
  <c r="AZ223" i="27"/>
  <c r="AV224" i="27"/>
  <c r="AR225" i="27"/>
  <c r="AZ225" i="27"/>
  <c r="AV226" i="27"/>
  <c r="AR227" i="27"/>
  <c r="AZ227" i="27"/>
  <c r="AV228" i="27"/>
  <c r="AR229" i="27"/>
  <c r="AZ229" i="27"/>
  <c r="AV230" i="27"/>
  <c r="AR231" i="27"/>
  <c r="AZ231" i="27"/>
  <c r="AV232" i="27"/>
  <c r="AR233" i="27"/>
  <c r="AZ233" i="27"/>
  <c r="AV234" i="27"/>
  <c r="AR235" i="27"/>
  <c r="AZ235" i="27"/>
  <c r="AV236" i="27"/>
  <c r="AR237" i="27"/>
  <c r="AZ237" i="27"/>
  <c r="AV238" i="27"/>
  <c r="AR239" i="27"/>
  <c r="AZ239" i="27"/>
  <c r="AV240" i="27"/>
  <c r="AR241" i="27"/>
  <c r="AZ241" i="27"/>
  <c r="AV242" i="27"/>
  <c r="AR243" i="27"/>
  <c r="AZ243" i="27"/>
  <c r="AV244" i="27"/>
  <c r="AR245" i="27"/>
  <c r="AZ245" i="27"/>
  <c r="AV246" i="27"/>
  <c r="AR247" i="27"/>
  <c r="AZ247" i="27"/>
  <c r="AV248" i="27"/>
  <c r="AR249" i="27"/>
  <c r="AZ249" i="27"/>
  <c r="AV250" i="27"/>
  <c r="AR251" i="27"/>
  <c r="AZ251" i="27"/>
  <c r="AV252" i="27"/>
  <c r="AR253" i="27"/>
  <c r="AZ253" i="27"/>
  <c r="AV254" i="27"/>
  <c r="AR255" i="27"/>
  <c r="AZ255" i="27"/>
  <c r="AV256" i="27"/>
  <c r="AR257" i="27"/>
  <c r="AZ257" i="27"/>
  <c r="AV258" i="27"/>
  <c r="AR259" i="27"/>
  <c r="AZ259" i="27"/>
  <c r="AV260" i="27"/>
  <c r="AR261" i="27"/>
  <c r="AZ261" i="27"/>
  <c r="AV262" i="27"/>
  <c r="AR263" i="27"/>
  <c r="AZ263" i="27"/>
  <c r="AV264" i="27"/>
  <c r="AR265" i="27"/>
  <c r="AZ265" i="27"/>
  <c r="AV266" i="27"/>
  <c r="AR267" i="27"/>
  <c r="AZ267" i="27"/>
  <c r="AV268" i="27"/>
  <c r="AR269" i="27"/>
  <c r="AZ269" i="27"/>
  <c r="BB29" i="27"/>
  <c r="AV47" i="27"/>
  <c r="BB61" i="27"/>
  <c r="AQ72" i="27"/>
  <c r="AZ80" i="27"/>
  <c r="AY85" i="27"/>
  <c r="AT91" i="27"/>
  <c r="AQ96" i="27"/>
  <c r="BA100" i="27"/>
  <c r="AW105" i="27"/>
  <c r="AT110" i="27"/>
  <c r="AS115" i="27"/>
  <c r="AQ120" i="27"/>
  <c r="AS123" i="27"/>
  <c r="AS127" i="27"/>
  <c r="AT130" i="27"/>
  <c r="AY133" i="27"/>
  <c r="AY136" i="27"/>
  <c r="AQ139" i="27"/>
  <c r="AU141" i="27"/>
  <c r="AW143" i="27"/>
  <c r="AQ146" i="27"/>
  <c r="AU148" i="27"/>
  <c r="BB149" i="27"/>
  <c r="AY151" i="27"/>
  <c r="AT153" i="27"/>
  <c r="AZ154" i="27"/>
  <c r="AS156" i="27"/>
  <c r="AW157" i="27"/>
  <c r="AQ159" i="27"/>
  <c r="AU160" i="27"/>
  <c r="BB161" i="27"/>
  <c r="AU163" i="27"/>
  <c r="AY164" i="27"/>
  <c r="AR166" i="27"/>
  <c r="AS167" i="27"/>
  <c r="AU168" i="27"/>
  <c r="AV169" i="27"/>
  <c r="AV170" i="27"/>
  <c r="AW171" i="27"/>
  <c r="AW172" i="27"/>
  <c r="AY173" i="27"/>
  <c r="AZ174" i="27"/>
  <c r="AZ175" i="27"/>
  <c r="BA176" i="27"/>
  <c r="BA177" i="27"/>
  <c r="AQ179" i="27"/>
  <c r="AR180" i="27"/>
  <c r="AR181" i="27"/>
  <c r="AS182" i="27"/>
  <c r="AS183" i="27"/>
  <c r="AU184" i="27"/>
  <c r="AV185" i="27"/>
  <c r="AU186" i="27"/>
  <c r="AS187" i="27"/>
  <c r="AR188" i="27"/>
  <c r="AQ189" i="27"/>
  <c r="BA189" i="27"/>
  <c r="AZ190" i="27"/>
  <c r="AY191" i="27"/>
  <c r="AW192" i="27"/>
  <c r="AV193" i="27"/>
  <c r="AU194" i="27"/>
  <c r="AS195" i="27"/>
  <c r="AR196" i="27"/>
  <c r="AQ197" i="27"/>
  <c r="BA197" i="27"/>
  <c r="AZ198" i="27"/>
  <c r="AY199" i="27"/>
  <c r="AW200" i="27"/>
  <c r="AV201" i="27"/>
  <c r="AU202" i="27"/>
  <c r="AS203" i="27"/>
  <c r="AR204" i="27"/>
  <c r="AQ205" i="27"/>
  <c r="BA205" i="27"/>
  <c r="AZ206" i="27"/>
  <c r="AY207" i="27"/>
  <c r="AW208" i="27"/>
  <c r="AV209" i="27"/>
  <c r="AU210" i="27"/>
  <c r="AS211" i="27"/>
  <c r="AQ212" i="27"/>
  <c r="AY212" i="27"/>
  <c r="AU213" i="27"/>
  <c r="AQ214" i="27"/>
  <c r="AY214" i="27"/>
  <c r="AU215" i="27"/>
  <c r="AQ216" i="27"/>
  <c r="AY216" i="27"/>
  <c r="AU217" i="27"/>
  <c r="AQ218" i="27"/>
  <c r="AY218" i="27"/>
  <c r="AU219" i="27"/>
  <c r="AQ220" i="27"/>
  <c r="AY220" i="27"/>
  <c r="AU221" i="27"/>
  <c r="AQ222" i="27"/>
  <c r="AY222" i="27"/>
  <c r="AU223" i="27"/>
  <c r="AQ224" i="27"/>
  <c r="AY224" i="27"/>
  <c r="AU225" i="27"/>
  <c r="AQ226" i="27"/>
  <c r="AY226" i="27"/>
  <c r="AU227" i="27"/>
  <c r="AQ228" i="27"/>
  <c r="AY228" i="27"/>
  <c r="AU229" i="27"/>
  <c r="AQ230" i="27"/>
  <c r="AY230" i="27"/>
  <c r="AU231" i="27"/>
  <c r="AQ232" i="27"/>
  <c r="AY232" i="27"/>
  <c r="AU233" i="27"/>
  <c r="AQ234" i="27"/>
  <c r="AY234" i="27"/>
  <c r="AU235" i="27"/>
  <c r="AQ236" i="27"/>
  <c r="AY236" i="27"/>
  <c r="AU237" i="27"/>
  <c r="AQ238" i="27"/>
  <c r="AY238" i="27"/>
  <c r="AU239" i="27"/>
  <c r="AQ240" i="27"/>
  <c r="AY240" i="27"/>
  <c r="AU241" i="27"/>
  <c r="AQ242" i="27"/>
  <c r="AY242" i="27"/>
  <c r="AU243" i="27"/>
  <c r="AQ244" i="27"/>
  <c r="AY244" i="27"/>
  <c r="AU245" i="27"/>
  <c r="AQ246" i="27"/>
  <c r="AY246" i="27"/>
  <c r="AU247" i="27"/>
  <c r="AQ248" i="27"/>
  <c r="AY248" i="27"/>
  <c r="AU249" i="27"/>
  <c r="AQ250" i="27"/>
  <c r="AY250" i="27"/>
  <c r="AU251" i="27"/>
  <c r="AQ252" i="27"/>
  <c r="AY252" i="27"/>
  <c r="AU253" i="27"/>
  <c r="AQ254" i="27"/>
  <c r="AY254" i="27"/>
  <c r="AU255" i="27"/>
  <c r="AQ256" i="27"/>
  <c r="AY256" i="27"/>
  <c r="AU257" i="27"/>
  <c r="AQ258" i="27"/>
  <c r="AY258" i="27"/>
  <c r="AU259" i="27"/>
  <c r="AQ260" i="27"/>
  <c r="AY260" i="27"/>
  <c r="AU261" i="27"/>
  <c r="AQ262" i="27"/>
  <c r="AY262" i="27"/>
  <c r="AU263" i="27"/>
  <c r="AQ264" i="27"/>
  <c r="AY264" i="27"/>
  <c r="AU265" i="27"/>
  <c r="AQ266" i="27"/>
  <c r="AY266" i="27"/>
  <c r="AU267" i="27"/>
  <c r="AQ268" i="27"/>
  <c r="AY268" i="27"/>
  <c r="AU269" i="27"/>
  <c r="AQ270" i="27"/>
  <c r="AV9" i="27"/>
  <c r="AT49" i="27"/>
  <c r="AQ70" i="27"/>
  <c r="AX82" i="27"/>
  <c r="AT90" i="27"/>
  <c r="AW97" i="27"/>
  <c r="AU106" i="27"/>
  <c r="AS114" i="27"/>
  <c r="BB120" i="27"/>
  <c r="AY126" i="27"/>
  <c r="BB131" i="27"/>
  <c r="AQ137" i="27"/>
  <c r="AY140" i="27"/>
  <c r="AT144" i="27"/>
  <c r="BA147" i="27"/>
  <c r="AX150" i="27"/>
  <c r="AW153" i="27"/>
  <c r="AZ155" i="27"/>
  <c r="AQ158" i="27"/>
  <c r="AS160" i="27"/>
  <c r="AV162" i="27"/>
  <c r="AZ164" i="27"/>
  <c r="AQ167" i="27"/>
  <c r="AW168" i="27"/>
  <c r="AU170" i="27"/>
  <c r="BA171" i="27"/>
  <c r="AZ173" i="27"/>
  <c r="AW175" i="27"/>
  <c r="AR177" i="27"/>
  <c r="BA178" i="27"/>
  <c r="AV180" i="27"/>
  <c r="AU182" i="27"/>
  <c r="AR184" i="27"/>
  <c r="AY185" i="27"/>
  <c r="AR187" i="27"/>
  <c r="AV188" i="27"/>
  <c r="BB189" i="27"/>
  <c r="AV191" i="27"/>
  <c r="AZ192" i="27"/>
  <c r="AS194" i="27"/>
  <c r="AW195" i="27"/>
  <c r="AR197" i="27"/>
  <c r="AW198" i="27"/>
  <c r="BA199" i="27"/>
  <c r="AT201" i="27"/>
  <c r="AX202" i="27"/>
  <c r="AS204" i="27"/>
  <c r="AY205" i="27"/>
  <c r="AQ207" i="27"/>
  <c r="AV208" i="27"/>
  <c r="AZ209" i="27"/>
  <c r="AT211" i="27"/>
  <c r="AW212" i="27"/>
  <c r="AW213" i="27"/>
  <c r="AX214" i="27"/>
  <c r="AX215" i="27"/>
  <c r="AZ216" i="27"/>
  <c r="BA217" i="27"/>
  <c r="BA218" i="27"/>
  <c r="BB219" i="27"/>
  <c r="BB220" i="27"/>
  <c r="AR222" i="27"/>
  <c r="AS223" i="27"/>
  <c r="AS224" i="27"/>
  <c r="AT225" i="27"/>
  <c r="AT226" i="27"/>
  <c r="AV227" i="27"/>
  <c r="AW228" i="27"/>
  <c r="AW229" i="27"/>
  <c r="AX230" i="27"/>
  <c r="AX231" i="27"/>
  <c r="AZ232" i="27"/>
  <c r="BA233" i="27"/>
  <c r="BA234" i="27"/>
  <c r="BB235" i="27"/>
  <c r="BB236" i="27"/>
  <c r="AR238" i="27"/>
  <c r="AS239" i="27"/>
  <c r="AS240" i="27"/>
  <c r="AT241" i="27"/>
  <c r="AT242" i="27"/>
  <c r="AV243" i="27"/>
  <c r="AT244" i="27"/>
  <c r="AS245" i="27"/>
  <c r="AR246" i="27"/>
  <c r="AY25" i="27"/>
  <c r="AY49" i="27"/>
  <c r="AZ71" i="27"/>
  <c r="AY82" i="27"/>
  <c r="AW91" i="27"/>
  <c r="AX99" i="27"/>
  <c r="AY106" i="27"/>
  <c r="AY114" i="27"/>
  <c r="AQ121" i="27"/>
  <c r="AW127" i="27"/>
  <c r="AQ133" i="27"/>
  <c r="AU137" i="27"/>
  <c r="AT141" i="27"/>
  <c r="AW144" i="27"/>
  <c r="AV148" i="27"/>
  <c r="AR151" i="27"/>
  <c r="AY153" i="27"/>
  <c r="BB155" i="27"/>
  <c r="AR158" i="27"/>
  <c r="AY160" i="27"/>
  <c r="BA162" i="27"/>
  <c r="AR165" i="27"/>
  <c r="AR167" i="27"/>
  <c r="AZ168" i="27"/>
  <c r="AW170" i="27"/>
  <c r="AU172" i="27"/>
  <c r="BA173" i="27"/>
  <c r="AY175" i="27"/>
  <c r="AS177" i="27"/>
  <c r="AR179" i="27"/>
  <c r="BA180" i="27"/>
  <c r="AV182" i="27"/>
  <c r="AS184" i="27"/>
  <c r="AZ185" i="27"/>
  <c r="AT187" i="27"/>
  <c r="AZ188" i="27"/>
  <c r="AR190" i="27"/>
  <c r="AW191" i="27"/>
  <c r="BA192" i="27"/>
  <c r="AV194" i="27"/>
  <c r="BA195" i="27"/>
  <c r="AS197" i="27"/>
  <c r="AX198" i="27"/>
  <c r="BB199" i="27"/>
  <c r="AW201" i="27"/>
  <c r="AQ203" i="27"/>
  <c r="AU204" i="27"/>
  <c r="AZ205" i="27"/>
  <c r="AR207" i="27"/>
  <c r="AX208" i="27"/>
  <c r="AR210" i="27"/>
  <c r="AV211" i="27"/>
  <c r="AX212" i="27"/>
  <c r="AX213" i="27"/>
  <c r="AZ214" i="27"/>
  <c r="BA215" i="27"/>
  <c r="BA216" i="27"/>
  <c r="BB217" i="27"/>
  <c r="BB218" i="27"/>
  <c r="AR220" i="27"/>
  <c r="AS221" i="27"/>
  <c r="AS222" i="27"/>
  <c r="AT223" i="27"/>
  <c r="AT224" i="27"/>
  <c r="AV225" i="27"/>
  <c r="AW226" i="27"/>
  <c r="AW227" i="27"/>
  <c r="AX228" i="27"/>
  <c r="AX229" i="27"/>
  <c r="AZ230" i="27"/>
  <c r="BA231" i="27"/>
  <c r="BA232" i="27"/>
  <c r="BB233" i="27"/>
  <c r="BB234" i="27"/>
  <c r="AR236" i="27"/>
  <c r="AS237" i="27"/>
  <c r="AS238" i="27"/>
  <c r="AT239" i="27"/>
  <c r="AT240" i="27"/>
  <c r="AV241" i="27"/>
  <c r="AW242" i="27"/>
  <c r="AW243" i="27"/>
  <c r="AU244" i="27"/>
  <c r="AT245" i="27"/>
  <c r="AS246" i="27"/>
  <c r="AQ247" i="27"/>
  <c r="BB247" i="27"/>
  <c r="BA248" i="27"/>
  <c r="AY249" i="27"/>
  <c r="AX250" i="27"/>
  <c r="AW251" i="27"/>
  <c r="AU252" i="27"/>
  <c r="AT253" i="27"/>
  <c r="AS254" i="27"/>
  <c r="AQ255" i="27"/>
  <c r="BB255" i="27"/>
  <c r="BA256" i="27"/>
  <c r="AY257" i="27"/>
  <c r="AX258" i="27"/>
  <c r="AW259" i="27"/>
  <c r="AU260" i="27"/>
  <c r="AT261" i="27"/>
  <c r="AS262" i="27"/>
  <c r="AQ263" i="27"/>
  <c r="BB263" i="27"/>
  <c r="BA264" i="27"/>
  <c r="AY265" i="27"/>
  <c r="AX266" i="27"/>
  <c r="AW267" i="27"/>
  <c r="AU268" i="27"/>
  <c r="AT269" i="27"/>
  <c r="AS270" i="27"/>
  <c r="BA270" i="27"/>
  <c r="AW271" i="27"/>
  <c r="AS272" i="27"/>
  <c r="BA272" i="27"/>
  <c r="AW273" i="27"/>
  <c r="AS274" i="27"/>
  <c r="BA274" i="27"/>
  <c r="AW275" i="27"/>
  <c r="AS276" i="27"/>
  <c r="BA276" i="27"/>
  <c r="AW277" i="27"/>
  <c r="AS278" i="27"/>
  <c r="BA278" i="27"/>
  <c r="AW279" i="27"/>
  <c r="AS280" i="27"/>
  <c r="BA280" i="27"/>
  <c r="AW281" i="27"/>
  <c r="AS282" i="27"/>
  <c r="BA282" i="27"/>
  <c r="AW283" i="27"/>
  <c r="AS284" i="27"/>
  <c r="BA284" i="27"/>
  <c r="AZ38" i="27"/>
  <c r="AY63" i="27"/>
  <c r="AT79" i="27"/>
  <c r="AW87" i="27"/>
  <c r="AQ95" i="27"/>
  <c r="AY102" i="27"/>
  <c r="AS111" i="27"/>
  <c r="AY118" i="27"/>
  <c r="AW124" i="27"/>
  <c r="AS130" i="27"/>
  <c r="BA134" i="27"/>
  <c r="AS139" i="27"/>
  <c r="AS143" i="27"/>
  <c r="AT146" i="27"/>
  <c r="AZ149" i="27"/>
  <c r="AR152" i="27"/>
  <c r="BA154" i="27"/>
  <c r="AT157" i="27"/>
  <c r="AU159" i="27"/>
  <c r="AY161" i="27"/>
  <c r="AZ163" i="27"/>
  <c r="AU166" i="27"/>
  <c r="AR168" i="27"/>
  <c r="AY169" i="27"/>
  <c r="AV171" i="27"/>
  <c r="AQ173" i="27"/>
  <c r="BA174" i="27"/>
  <c r="AW176" i="27"/>
  <c r="AS178" i="27"/>
  <c r="BA179" i="27"/>
  <c r="AW181" i="27"/>
  <c r="AV183" i="27"/>
  <c r="AR185" i="27"/>
  <c r="AW186" i="27"/>
  <c r="BB187" i="27"/>
  <c r="AT189" i="27"/>
  <c r="BA190" i="27"/>
  <c r="AU192" i="27"/>
  <c r="AY193" i="27"/>
  <c r="AR195" i="27"/>
  <c r="AV196" i="27"/>
  <c r="BB197" i="27"/>
  <c r="AV199" i="27"/>
  <c r="AZ200" i="27"/>
  <c r="AS202" i="27"/>
  <c r="AW203" i="27"/>
  <c r="AR205" i="27"/>
  <c r="AW206" i="27"/>
  <c r="BA207" i="27"/>
  <c r="AT209" i="27"/>
  <c r="AX210" i="27"/>
  <c r="AR212" i="27"/>
  <c r="AS213" i="27"/>
  <c r="AS214" i="27"/>
  <c r="AT215" i="27"/>
  <c r="AT216" i="27"/>
  <c r="AV217" i="27"/>
  <c r="AW218" i="27"/>
  <c r="AW219" i="27"/>
  <c r="AX220" i="27"/>
  <c r="AX221" i="27"/>
  <c r="AZ222" i="27"/>
  <c r="BA223" i="27"/>
  <c r="BA224" i="27"/>
  <c r="BB225" i="27"/>
  <c r="BB226" i="27"/>
  <c r="AR228" i="27"/>
  <c r="AS229" i="27"/>
  <c r="AS230" i="27"/>
  <c r="AT231" i="27"/>
  <c r="AT232" i="27"/>
  <c r="AV233" i="27"/>
  <c r="AW234" i="27"/>
  <c r="AW235" i="27"/>
  <c r="AX236" i="27"/>
  <c r="AX237" i="27"/>
  <c r="AZ238" i="27"/>
  <c r="BA239" i="27"/>
  <c r="BA240" i="27"/>
  <c r="BB241" i="27"/>
  <c r="BB242" i="27"/>
  <c r="BB243" i="27"/>
  <c r="BA244" i="27"/>
  <c r="AY245" i="27"/>
  <c r="AX246" i="27"/>
  <c r="AW247" i="27"/>
  <c r="AU248" i="27"/>
  <c r="AT249" i="27"/>
  <c r="AS250" i="27"/>
  <c r="AQ251" i="27"/>
  <c r="BB251" i="27"/>
  <c r="BA252" i="27"/>
  <c r="AY253" i="27"/>
  <c r="AX254" i="27"/>
  <c r="AW255" i="27"/>
  <c r="AU256" i="27"/>
  <c r="AT257" i="27"/>
  <c r="AS258" i="27"/>
  <c r="AQ259" i="27"/>
  <c r="BB259" i="27"/>
  <c r="BA260" i="27"/>
  <c r="AY261" i="27"/>
  <c r="AX262" i="27"/>
  <c r="AW263" i="27"/>
  <c r="AU264" i="27"/>
  <c r="AT265" i="27"/>
  <c r="AS266" i="27"/>
  <c r="AQ267" i="27"/>
  <c r="BB267" i="27"/>
  <c r="BA268" i="27"/>
  <c r="AY269" i="27"/>
  <c r="AW270" i="27"/>
  <c r="AS271" i="27"/>
  <c r="BA271" i="27"/>
  <c r="AW272" i="27"/>
  <c r="AS273" i="27"/>
  <c r="BA273" i="27"/>
  <c r="AW274" i="27"/>
  <c r="AS275" i="27"/>
  <c r="AV43" i="27"/>
  <c r="AU65" i="27"/>
  <c r="AY80" i="27"/>
  <c r="AQ88" i="27"/>
  <c r="AT96" i="27"/>
  <c r="BB103" i="27"/>
  <c r="AW111" i="27"/>
  <c r="BA118" i="27"/>
  <c r="AX124" i="27"/>
  <c r="AS131" i="27"/>
  <c r="BA135" i="27"/>
  <c r="BA139" i="27"/>
  <c r="AU143" i="27"/>
  <c r="BB146" i="27"/>
  <c r="AQ150" i="27"/>
  <c r="AQ153" i="27"/>
  <c r="AQ155" i="27"/>
  <c r="AV157" i="27"/>
  <c r="AV159" i="27"/>
  <c r="AQ162" i="27"/>
  <c r="AU164" i="27"/>
  <c r="AV166" i="27"/>
  <c r="AS168" i="27"/>
  <c r="AZ169" i="27"/>
  <c r="AY171" i="27"/>
  <c r="AV173" i="27"/>
  <c r="AQ175" i="27"/>
  <c r="AZ176" i="27"/>
  <c r="AU178" i="27"/>
  <c r="AS180" i="27"/>
  <c r="BA181" i="27"/>
  <c r="AW183" i="27"/>
  <c r="AS185" i="27"/>
  <c r="AX186" i="27"/>
  <c r="AS188" i="27"/>
  <c r="AY189" i="27"/>
  <c r="AQ191" i="27"/>
  <c r="AV192" i="27"/>
  <c r="AZ193" i="27"/>
  <c r="AT195" i="27"/>
  <c r="AZ196" i="27"/>
  <c r="AR198" i="27"/>
  <c r="AW199" i="27"/>
  <c r="BA200" i="27"/>
  <c r="AV202" i="27"/>
  <c r="BA203" i="27"/>
  <c r="AS205" i="27"/>
  <c r="AX206" i="27"/>
  <c r="BB207" i="27"/>
  <c r="AW209" i="27"/>
  <c r="AQ211" i="27"/>
  <c r="AS212" i="27"/>
  <c r="AT213" i="27"/>
  <c r="AT214" i="27"/>
  <c r="AV215" i="27"/>
  <c r="AW216" i="27"/>
  <c r="AW217" i="27"/>
  <c r="AX218" i="27"/>
  <c r="AX219" i="27"/>
  <c r="AZ220" i="27"/>
  <c r="BA221" i="27"/>
  <c r="BA222" i="27"/>
  <c r="BB223" i="27"/>
  <c r="BB224" i="27"/>
  <c r="AR226" i="27"/>
  <c r="AS227" i="27"/>
  <c r="AS228" i="27"/>
  <c r="AT229" i="27"/>
  <c r="AT230" i="27"/>
  <c r="AV231" i="27"/>
  <c r="AW232" i="27"/>
  <c r="AW233" i="27"/>
  <c r="AX234" i="27"/>
  <c r="AX235" i="27"/>
  <c r="AZ236" i="27"/>
  <c r="AR9" i="27"/>
  <c r="AV65" i="27"/>
  <c r="AS90" i="27"/>
  <c r="AT105" i="27"/>
  <c r="AS120" i="27"/>
  <c r="AT131" i="27"/>
  <c r="BB139" i="27"/>
  <c r="AX147" i="27"/>
  <c r="AR153" i="27"/>
  <c r="AY157" i="27"/>
  <c r="AR162" i="27"/>
  <c r="AW166" i="27"/>
  <c r="AS170" i="27"/>
  <c r="AW173" i="27"/>
  <c r="AQ177" i="27"/>
  <c r="AU180" i="27"/>
  <c r="AY183" i="27"/>
  <c r="AQ187" i="27"/>
  <c r="AZ189" i="27"/>
  <c r="AX192" i="27"/>
  <c r="AV195" i="27"/>
  <c r="AS198" i="27"/>
  <c r="AS201" i="27"/>
  <c r="BB203" i="27"/>
  <c r="BA206" i="27"/>
  <c r="AY209" i="27"/>
  <c r="AT212" i="27"/>
  <c r="AW214" i="27"/>
  <c r="AX216" i="27"/>
  <c r="AZ218" i="27"/>
  <c r="BA220" i="27"/>
  <c r="BB222" i="27"/>
  <c r="AS225" i="27"/>
  <c r="AT227" i="27"/>
  <c r="AV229" i="27"/>
  <c r="AW231" i="27"/>
  <c r="AX233" i="27"/>
  <c r="BA235" i="27"/>
  <c r="BA237" i="27"/>
  <c r="AW239" i="27"/>
  <c r="AS241" i="27"/>
  <c r="BA242" i="27"/>
  <c r="AW244" i="27"/>
  <c r="BA245" i="27"/>
  <c r="AS247" i="27"/>
  <c r="AT248" i="27"/>
  <c r="AW249" i="27"/>
  <c r="AZ250" i="27"/>
  <c r="BA251" i="27"/>
  <c r="AQ253" i="27"/>
  <c r="AT254" i="27"/>
  <c r="AV255" i="27"/>
  <c r="AX256" i="27"/>
  <c r="BA257" i="27"/>
  <c r="BB258" i="27"/>
  <c r="AS260" i="27"/>
  <c r="AV261" i="27"/>
  <c r="AW262" i="27"/>
  <c r="AY263" i="27"/>
  <c r="BB264" i="27"/>
  <c r="AR266" i="27"/>
  <c r="AT267" i="27"/>
  <c r="AW268" i="27"/>
  <c r="AX269" i="27"/>
  <c r="AY270" i="27"/>
  <c r="AX271" i="27"/>
  <c r="AV272" i="27"/>
  <c r="AU273" i="27"/>
  <c r="AT274" i="27"/>
  <c r="AR275" i="27"/>
  <c r="BB275" i="27"/>
  <c r="AY276" i="27"/>
  <c r="AV277" i="27"/>
  <c r="AT278" i="27"/>
  <c r="AQ279" i="27"/>
  <c r="AZ279" i="27"/>
  <c r="AW280" i="27"/>
  <c r="AT281" i="27"/>
  <c r="AQ282" i="27"/>
  <c r="AZ282" i="27"/>
  <c r="AX283" i="27"/>
  <c r="AU284" i="27"/>
  <c r="AR285" i="27"/>
  <c r="AZ285" i="27"/>
  <c r="AV286" i="27"/>
  <c r="BB34" i="27"/>
  <c r="AS76" i="27"/>
  <c r="AT93" i="27"/>
  <c r="AT109" i="27"/>
  <c r="AQ123" i="27"/>
  <c r="BA133" i="27"/>
  <c r="BA141" i="27"/>
  <c r="AZ148" i="27"/>
  <c r="AV154" i="27"/>
  <c r="AY36" i="27"/>
  <c r="AW76" i="27"/>
  <c r="AW94" i="27"/>
  <c r="AU109" i="27"/>
  <c r="AY123" i="27"/>
  <c r="AT134" i="27"/>
  <c r="AS142" i="27"/>
  <c r="AV149" i="27"/>
  <c r="AX154" i="27"/>
  <c r="AT159" i="27"/>
  <c r="AY163" i="27"/>
  <c r="AY167" i="27"/>
  <c r="AS171" i="27"/>
  <c r="AW174" i="27"/>
  <c r="AR178" i="27"/>
  <c r="AV181" i="27"/>
  <c r="AZ184" i="27"/>
  <c r="BA187" i="27"/>
  <c r="AX190" i="27"/>
  <c r="AW193" i="27"/>
  <c r="AU196" i="27"/>
  <c r="AR199" i="27"/>
  <c r="AR202" i="27"/>
  <c r="BA204" i="27"/>
  <c r="AZ207" i="27"/>
  <c r="AW210" i="27"/>
  <c r="BB212" i="27"/>
  <c r="AS215" i="27"/>
  <c r="AT217" i="27"/>
  <c r="AV219" i="27"/>
  <c r="AW221" i="27"/>
  <c r="AX223" i="27"/>
  <c r="BA225" i="27"/>
  <c r="BB227" i="27"/>
  <c r="AR230" i="27"/>
  <c r="AS232" i="27"/>
  <c r="AT234" i="27"/>
  <c r="AW236" i="27"/>
  <c r="AW238" i="27"/>
  <c r="AR240" i="27"/>
  <c r="BA241" i="27"/>
  <c r="AX243" i="27"/>
  <c r="BB244" i="27"/>
  <c r="AU246" i="27"/>
  <c r="AX247" i="27"/>
  <c r="AZ248" i="27"/>
  <c r="BB249" i="27"/>
  <c r="AS251" i="27"/>
  <c r="AT252" i="27"/>
  <c r="AW253" i="27"/>
  <c r="AZ254" i="27"/>
  <c r="BA255" i="27"/>
  <c r="AQ257" i="27"/>
  <c r="AT258" i="27"/>
  <c r="AV259" i="27"/>
  <c r="AX260" i="27"/>
  <c r="BA261" i="27"/>
  <c r="BB262" i="27"/>
  <c r="AS264" i="27"/>
  <c r="AV265" i="27"/>
  <c r="AW266" i="27"/>
  <c r="AY267" i="27"/>
  <c r="BB268" i="27"/>
  <c r="AR270" i="27"/>
  <c r="AQ271" i="27"/>
  <c r="BB271" i="27"/>
  <c r="AZ272" i="27"/>
  <c r="AY273" i="27"/>
  <c r="AX274" i="27"/>
  <c r="AV275" i="27"/>
  <c r="AT276" i="27"/>
  <c r="AQ277" i="27"/>
  <c r="AZ277" i="27"/>
  <c r="AW278" i="27"/>
  <c r="AT279" i="27"/>
  <c r="AQ280" i="27"/>
  <c r="AZ280" i="27"/>
  <c r="AX281" i="27"/>
  <c r="AU282" i="27"/>
  <c r="AR283" i="27"/>
  <c r="BA283" i="27"/>
  <c r="AX284" i="27"/>
  <c r="AU285" i="27"/>
  <c r="AQ286" i="27"/>
  <c r="AY286" i="27"/>
  <c r="AU287" i="27"/>
  <c r="AQ288" i="27"/>
  <c r="AY288" i="27"/>
  <c r="AU289" i="27"/>
  <c r="AQ290" i="27"/>
  <c r="AY290" i="27"/>
  <c r="AU291" i="27"/>
  <c r="AQ292" i="27"/>
  <c r="AY292" i="27"/>
  <c r="AU293" i="27"/>
  <c r="AQ294" i="27"/>
  <c r="AY294" i="27"/>
  <c r="AU295" i="27"/>
  <c r="AQ296" i="27"/>
  <c r="AY296" i="27"/>
  <c r="AU297" i="27"/>
  <c r="AQ298" i="27"/>
  <c r="AY298" i="27"/>
  <c r="AU299" i="27"/>
  <c r="AQ300" i="27"/>
  <c r="AY300" i="27"/>
  <c r="AU301" i="27"/>
  <c r="AQ302" i="27"/>
  <c r="AY302" i="27"/>
  <c r="AU303" i="27"/>
  <c r="AQ304" i="27"/>
  <c r="AY304" i="27"/>
  <c r="AU305" i="27"/>
  <c r="AQ306" i="27"/>
  <c r="AY306" i="27"/>
  <c r="AU307" i="27"/>
  <c r="AQ308" i="27"/>
  <c r="AY308" i="27"/>
  <c r="AU309" i="27"/>
  <c r="AQ310" i="27"/>
  <c r="AY310" i="27"/>
  <c r="AU311" i="27"/>
  <c r="AQ312" i="27"/>
  <c r="AY312" i="27"/>
  <c r="AU313" i="27"/>
  <c r="AQ314" i="27"/>
  <c r="AY314" i="27"/>
  <c r="AU315" i="27"/>
  <c r="AQ316" i="27"/>
  <c r="AY316" i="27"/>
  <c r="AU317" i="27"/>
  <c r="AQ318" i="27"/>
  <c r="AY318" i="27"/>
  <c r="AU319" i="27"/>
  <c r="AQ320" i="27"/>
  <c r="AY320" i="27"/>
  <c r="AU321" i="27"/>
  <c r="AQ322" i="27"/>
  <c r="AY322" i="27"/>
  <c r="AU323" i="27"/>
  <c r="AQ324" i="27"/>
  <c r="AY324" i="27"/>
  <c r="AU325" i="27"/>
  <c r="AQ326" i="27"/>
  <c r="AY326" i="27"/>
  <c r="AU327" i="27"/>
  <c r="AQ328" i="27"/>
  <c r="AY328" i="27"/>
  <c r="AU329" i="27"/>
  <c r="AQ330" i="27"/>
  <c r="AY330" i="27"/>
  <c r="AU331" i="27"/>
  <c r="AQ332" i="27"/>
  <c r="AY332" i="27"/>
  <c r="AR45" i="27"/>
  <c r="AQ82" i="27"/>
  <c r="AT97" i="27"/>
  <c r="AU112" i="27"/>
  <c r="BA125" i="27"/>
  <c r="AQ136" i="27"/>
  <c r="AQ144" i="27"/>
  <c r="AV150" i="27"/>
  <c r="AU155" i="27"/>
  <c r="AR160" i="27"/>
  <c r="AX164" i="27"/>
  <c r="AV168" i="27"/>
  <c r="AZ171" i="27"/>
  <c r="AR175" i="27"/>
  <c r="AZ178" i="27"/>
  <c r="AR182" i="27"/>
  <c r="AW185" i="27"/>
  <c r="AU188" i="27"/>
  <c r="AR191" i="27"/>
  <c r="AR194" i="27"/>
  <c r="BA196" i="27"/>
  <c r="AZ199" i="27"/>
  <c r="AW202" i="27"/>
  <c r="AT205" i="27"/>
  <c r="AU208" i="27"/>
  <c r="AR211" i="27"/>
  <c r="AV213" i="27"/>
  <c r="AW215" i="27"/>
  <c r="AX217" i="27"/>
  <c r="BA219" i="27"/>
  <c r="BB221" i="27"/>
  <c r="AR224" i="27"/>
  <c r="AS226" i="27"/>
  <c r="AT228" i="27"/>
  <c r="AW230" i="27"/>
  <c r="AX232" i="27"/>
  <c r="AZ234" i="27"/>
  <c r="BA236" i="27"/>
  <c r="AX238" i="27"/>
  <c r="AW240" i="27"/>
  <c r="AR242" i="27"/>
  <c r="AY243" i="27"/>
  <c r="AQ245" i="27"/>
  <c r="AW246" i="27"/>
  <c r="AY247" i="27"/>
  <c r="BB248" i="27"/>
  <c r="AR250" i="27"/>
  <c r="AT251" i="27"/>
  <c r="AW252" i="27"/>
  <c r="AX253" i="27"/>
  <c r="BA254" i="27"/>
  <c r="AR256" i="27"/>
  <c r="AS257" i="27"/>
  <c r="AU258" i="27"/>
  <c r="AX259" i="27"/>
  <c r="AZ260" i="27"/>
  <c r="BB261" i="27"/>
  <c r="AS263" i="27"/>
  <c r="AT264" i="27"/>
  <c r="AW265" i="27"/>
  <c r="AZ266" i="27"/>
  <c r="BA267" i="27"/>
  <c r="AQ269" i="27"/>
  <c r="AT270" i="27"/>
  <c r="AR271" i="27"/>
  <c r="AQ272" i="27"/>
  <c r="BB272" i="27"/>
  <c r="AZ273" i="27"/>
  <c r="AY274" i="27"/>
  <c r="AX275" i="27"/>
  <c r="AU276" i="27"/>
  <c r="AR277" i="27"/>
  <c r="BA277" i="27"/>
  <c r="AX278" i="27"/>
  <c r="AU279" i="27"/>
  <c r="AR280" i="27"/>
  <c r="BB280" i="27"/>
  <c r="AY281" i="27"/>
  <c r="AV282" i="27"/>
  <c r="AS283" i="27"/>
  <c r="BB283" i="27"/>
  <c r="AY284" i="27"/>
  <c r="AV285" i="27"/>
  <c r="AR286" i="27"/>
  <c r="AZ286" i="27"/>
  <c r="AX53" i="27"/>
  <c r="BB84" i="27"/>
  <c r="BB99" i="27"/>
  <c r="BB115" i="27"/>
  <c r="AQ128" i="27"/>
  <c r="AY137" i="27"/>
  <c r="AU145" i="27"/>
  <c r="AV151" i="27"/>
  <c r="AU156" i="27"/>
  <c r="AZ160" i="27"/>
  <c r="AT165" i="27"/>
  <c r="AR169" i="27"/>
  <c r="AV172" i="27"/>
  <c r="BA175" i="27"/>
  <c r="AS179" i="27"/>
  <c r="AW182" i="27"/>
  <c r="AR186" i="27"/>
  <c r="BA188" i="27"/>
  <c r="AZ191" i="27"/>
  <c r="AW194" i="27"/>
  <c r="AT197" i="27"/>
  <c r="AU200" i="27"/>
  <c r="AR203" i="27"/>
  <c r="BB205" i="27"/>
  <c r="AZ208" i="27"/>
  <c r="AW211" i="27"/>
  <c r="BA213" i="27"/>
  <c r="BB215" i="27"/>
  <c r="AR218" i="27"/>
  <c r="AS220" i="27"/>
  <c r="AT222" i="27"/>
  <c r="AW224" i="27"/>
  <c r="AX226" i="27"/>
  <c r="AZ228" i="27"/>
  <c r="BA230" i="27"/>
  <c r="BB232" i="27"/>
  <c r="AS235" i="27"/>
  <c r="AT237" i="27"/>
  <c r="BA238" i="27"/>
  <c r="AX240" i="27"/>
  <c r="AS242" i="27"/>
  <c r="BA243" i="27"/>
  <c r="AV245" i="27"/>
  <c r="AZ246" i="27"/>
  <c r="BA247" i="27"/>
  <c r="AQ249" i="27"/>
  <c r="AT250" i="27"/>
  <c r="AV251" i="27"/>
  <c r="AX252" i="27"/>
  <c r="BA253" i="27"/>
  <c r="BB254" i="27"/>
  <c r="AS256" i="27"/>
  <c r="AV257" i="27"/>
  <c r="AW258" i="27"/>
  <c r="AY259" i="27"/>
  <c r="BB260" i="27"/>
  <c r="AR262" i="27"/>
  <c r="AT263" i="27"/>
  <c r="AW264" i="27"/>
  <c r="AX265" i="27"/>
  <c r="BA266" i="27"/>
  <c r="AR268" i="27"/>
  <c r="AS269" i="27"/>
  <c r="AU270" i="27"/>
  <c r="AT271" i="27"/>
  <c r="AR272" i="27"/>
  <c r="AQ273" i="27"/>
  <c r="BB273" i="27"/>
  <c r="AZ274" i="27"/>
  <c r="AY275" i="27"/>
  <c r="AV276" i="27"/>
  <c r="AS277" i="27"/>
  <c r="BB277" i="27"/>
  <c r="AY278" i="27"/>
  <c r="AV279" i="27"/>
  <c r="AT280" i="27"/>
  <c r="AQ281" i="27"/>
  <c r="AZ281" i="27"/>
  <c r="AW282" i="27"/>
  <c r="AR58" i="27"/>
  <c r="AX85" i="27"/>
  <c r="BB100" i="27"/>
  <c r="AS116" i="27"/>
  <c r="AS128" i="27"/>
  <c r="AX138" i="27"/>
  <c r="AY145" i="27"/>
  <c r="BB151" i="27"/>
  <c r="AX156" i="27"/>
  <c r="AQ161" i="27"/>
  <c r="AY165" i="27"/>
  <c r="AS169" i="27"/>
  <c r="AZ172" i="27"/>
  <c r="AR176" i="27"/>
  <c r="AV179" i="27"/>
  <c r="AQ183" i="27"/>
  <c r="AS186" i="27"/>
  <c r="AR189" i="27"/>
  <c r="BA191" i="27"/>
  <c r="AX194" i="27"/>
  <c r="AY197" i="27"/>
  <c r="AV200" i="27"/>
  <c r="AT203" i="27"/>
  <c r="AR206" i="27"/>
  <c r="BA208" i="27"/>
  <c r="BA211" i="27"/>
  <c r="BB213" i="27"/>
  <c r="AR216" i="27"/>
  <c r="AS218" i="27"/>
  <c r="AT220" i="27"/>
  <c r="AW222" i="27"/>
  <c r="AX224" i="27"/>
  <c r="AZ226" i="27"/>
  <c r="BA228" i="27"/>
  <c r="BB230" i="27"/>
  <c r="AS233" i="27"/>
  <c r="AT235" i="27"/>
  <c r="AV237" i="27"/>
  <c r="BB238" i="27"/>
  <c r="AZ240" i="27"/>
  <c r="AX242" i="27"/>
  <c r="AR244" i="27"/>
  <c r="AW245" i="27"/>
  <c r="BA246" i="27"/>
  <c r="AR248" i="27"/>
  <c r="AS249" i="27"/>
  <c r="AU250" i="27"/>
  <c r="AX251" i="27"/>
  <c r="AZ252" i="27"/>
  <c r="BB253" i="27"/>
  <c r="AS255" i="27"/>
  <c r="AT256" i="27"/>
  <c r="AW257" i="27"/>
  <c r="AZ258" i="27"/>
  <c r="BA259" i="27"/>
  <c r="AQ261" i="27"/>
  <c r="AT262" i="27"/>
  <c r="AV263" i="27"/>
  <c r="AX264" i="27"/>
  <c r="BA265" i="27"/>
  <c r="BB266" i="27"/>
  <c r="AS268" i="27"/>
  <c r="AV269" i="27"/>
  <c r="AV270" i="27"/>
  <c r="AU271" i="27"/>
  <c r="AT272" i="27"/>
  <c r="AR273" i="27"/>
  <c r="AQ274" i="27"/>
  <c r="BB274" i="27"/>
  <c r="AZ275" i="27"/>
  <c r="AW276" i="27"/>
  <c r="AT277" i="27"/>
  <c r="AQ278" i="27"/>
  <c r="AZ278" i="27"/>
  <c r="AX279" i="27"/>
  <c r="AU280" i="27"/>
  <c r="AR281" i="27"/>
  <c r="BA281" i="27"/>
  <c r="AX282" i="27"/>
  <c r="AU283" i="27"/>
  <c r="AR284" i="27"/>
  <c r="BB284" i="27"/>
  <c r="AX285" i="27"/>
  <c r="AT286" i="27"/>
  <c r="BB286" i="27"/>
  <c r="AX287" i="27"/>
  <c r="AT288" i="27"/>
  <c r="BB288" i="27"/>
  <c r="AX289" i="27"/>
  <c r="AT290" i="27"/>
  <c r="BB290" i="27"/>
  <c r="AX291" i="27"/>
  <c r="AT292" i="27"/>
  <c r="BB292" i="27"/>
  <c r="AX293" i="27"/>
  <c r="AT294" i="27"/>
  <c r="BB294" i="27"/>
  <c r="AX295" i="27"/>
  <c r="AT296" i="27"/>
  <c r="BB296" i="27"/>
  <c r="AX297" i="27"/>
  <c r="AT298" i="27"/>
  <c r="BB298" i="27"/>
  <c r="AX299" i="27"/>
  <c r="AT300" i="27"/>
  <c r="BB300" i="27"/>
  <c r="AX301" i="27"/>
  <c r="AT302" i="27"/>
  <c r="BB302" i="27"/>
  <c r="AX303" i="27"/>
  <c r="AT304" i="27"/>
  <c r="BB304" i="27"/>
  <c r="AX305" i="27"/>
  <c r="AT306" i="27"/>
  <c r="BB306" i="27"/>
  <c r="AX307" i="27"/>
  <c r="AT308" i="27"/>
  <c r="BB308" i="27"/>
  <c r="AX309" i="27"/>
  <c r="AT310" i="27"/>
  <c r="BB310" i="27"/>
  <c r="AX311" i="27"/>
  <c r="AT312" i="27"/>
  <c r="BB312" i="27"/>
  <c r="AX313" i="27"/>
  <c r="AT314" i="27"/>
  <c r="BB314" i="27"/>
  <c r="AX315" i="27"/>
  <c r="AT316" i="27"/>
  <c r="BB316" i="27"/>
  <c r="AX317" i="27"/>
  <c r="AT318" i="27"/>
  <c r="BB318" i="27"/>
  <c r="AX319" i="27"/>
  <c r="AT320" i="27"/>
  <c r="BB320" i="27"/>
  <c r="AX321" i="27"/>
  <c r="AT322" i="27"/>
  <c r="BB322" i="27"/>
  <c r="AX323" i="27"/>
  <c r="AT324" i="27"/>
  <c r="BB324" i="27"/>
  <c r="AX325" i="27"/>
  <c r="AT326" i="27"/>
  <c r="BB326" i="27"/>
  <c r="AX327" i="27"/>
  <c r="AT328" i="27"/>
  <c r="BB328" i="27"/>
  <c r="AX329" i="27"/>
  <c r="AT330" i="27"/>
  <c r="BB330" i="27"/>
  <c r="AX331" i="27"/>
  <c r="AU26" i="27"/>
  <c r="AU122" i="27"/>
  <c r="BB153" i="27"/>
  <c r="AV167" i="27"/>
  <c r="AS176" i="27"/>
  <c r="AW184" i="27"/>
  <c r="AS193" i="27"/>
  <c r="AX200" i="27"/>
  <c r="AW207" i="27"/>
  <c r="BA214" i="27"/>
  <c r="AW220" i="27"/>
  <c r="AX225" i="27"/>
  <c r="BB231" i="27"/>
  <c r="AW237" i="27"/>
  <c r="AX241" i="27"/>
  <c r="BB245" i="27"/>
  <c r="AV249" i="27"/>
  <c r="AS252" i="27"/>
  <c r="AX255" i="27"/>
  <c r="BA258" i="27"/>
  <c r="AX261" i="27"/>
  <c r="AQ265" i="27"/>
  <c r="AT268" i="27"/>
  <c r="BB270" i="27"/>
  <c r="AV273" i="27"/>
  <c r="BA275" i="27"/>
  <c r="AY277" i="27"/>
  <c r="BA279" i="27"/>
  <c r="BB281" i="27"/>
  <c r="AY283" i="27"/>
  <c r="AS285" i="27"/>
  <c r="AW286" i="27"/>
  <c r="AW287" i="27"/>
  <c r="AV288" i="27"/>
  <c r="AT289" i="27"/>
  <c r="AS290" i="27"/>
  <c r="AR291" i="27"/>
  <c r="BB291" i="27"/>
  <c r="BA292" i="27"/>
  <c r="AZ293" i="27"/>
  <c r="AX294" i="27"/>
  <c r="AW295" i="27"/>
  <c r="AV296" i="27"/>
  <c r="AT297" i="27"/>
  <c r="AS298" i="27"/>
  <c r="AR299" i="27"/>
  <c r="BB299" i="27"/>
  <c r="BA300" i="27"/>
  <c r="AZ301" i="27"/>
  <c r="AX302" i="27"/>
  <c r="AW303" i="27"/>
  <c r="AV304" i="27"/>
  <c r="AT305" i="27"/>
  <c r="AS306" i="27"/>
  <c r="AR307" i="27"/>
  <c r="BB307" i="27"/>
  <c r="BA308" i="27"/>
  <c r="AZ309" i="27"/>
  <c r="AX310" i="27"/>
  <c r="AW311" i="27"/>
  <c r="AV312" i="27"/>
  <c r="AT313" i="27"/>
  <c r="AS314" i="27"/>
  <c r="AR315" i="27"/>
  <c r="BB315" i="27"/>
  <c r="BA316" i="27"/>
  <c r="AZ317" i="27"/>
  <c r="AX318" i="27"/>
  <c r="AW319" i="27"/>
  <c r="AV320" i="27"/>
  <c r="AT321" i="27"/>
  <c r="AS322" i="27"/>
  <c r="AR323" i="27"/>
  <c r="BB323" i="27"/>
  <c r="BA324" i="27"/>
  <c r="AZ325" i="27"/>
  <c r="AX326" i="27"/>
  <c r="AW327" i="27"/>
  <c r="AV328" i="27"/>
  <c r="AT329" i="27"/>
  <c r="AS330" i="27"/>
  <c r="AR331" i="27"/>
  <c r="BB331" i="27"/>
  <c r="AZ332" i="27"/>
  <c r="AV333" i="27"/>
  <c r="AR334" i="27"/>
  <c r="AZ334" i="27"/>
  <c r="AV335" i="27"/>
  <c r="AR336" i="27"/>
  <c r="AZ336" i="27"/>
  <c r="AV337" i="27"/>
  <c r="AR338" i="27"/>
  <c r="AZ338" i="27"/>
  <c r="AV339" i="27"/>
  <c r="AR340" i="27"/>
  <c r="AZ340" i="27"/>
  <c r="AV341" i="27"/>
  <c r="AR342" i="27"/>
  <c r="AZ342" i="27"/>
  <c r="AV343" i="27"/>
  <c r="AR344" i="27"/>
  <c r="AZ344" i="27"/>
  <c r="AV345" i="27"/>
  <c r="AR346" i="27"/>
  <c r="AZ346" i="27"/>
  <c r="AV347" i="27"/>
  <c r="AR348" i="27"/>
  <c r="AZ348" i="27"/>
  <c r="AV349" i="27"/>
  <c r="AR350" i="27"/>
  <c r="AZ350" i="27"/>
  <c r="AV351" i="27"/>
  <c r="AR352" i="27"/>
  <c r="AZ352" i="27"/>
  <c r="AV353" i="27"/>
  <c r="AR354" i="27"/>
  <c r="AZ354" i="27"/>
  <c r="AV355" i="27"/>
  <c r="AR356" i="27"/>
  <c r="AZ356" i="27"/>
  <c r="AV357" i="27"/>
  <c r="AR358" i="27"/>
  <c r="AZ358" i="27"/>
  <c r="AV359" i="27"/>
  <c r="AR360" i="27"/>
  <c r="AZ360" i="27"/>
  <c r="AV361" i="27"/>
  <c r="AR362" i="27"/>
  <c r="AZ362" i="27"/>
  <c r="AV363" i="27"/>
  <c r="AR364" i="27"/>
  <c r="AZ364" i="27"/>
  <c r="AV365" i="27"/>
  <c r="AR366" i="27"/>
  <c r="AZ366" i="27"/>
  <c r="AV367" i="27"/>
  <c r="AR368" i="27"/>
  <c r="AZ368" i="27"/>
  <c r="AV369" i="27"/>
  <c r="AR370" i="27"/>
  <c r="AZ370" i="27"/>
  <c r="AV371" i="27"/>
  <c r="AR372" i="27"/>
  <c r="AZ372" i="27"/>
  <c r="AV373" i="27"/>
  <c r="AR374" i="27"/>
  <c r="AZ374" i="27"/>
  <c r="AV375" i="27"/>
  <c r="AR376" i="27"/>
  <c r="AZ376" i="27"/>
  <c r="AV377" i="27"/>
  <c r="AR378" i="27"/>
  <c r="AZ378" i="27"/>
  <c r="AV379" i="27"/>
  <c r="AR380" i="27"/>
  <c r="AZ380" i="27"/>
  <c r="AV381" i="27"/>
  <c r="AR382" i="27"/>
  <c r="AZ382" i="27"/>
  <c r="AV383" i="27"/>
  <c r="AR384" i="27"/>
  <c r="AZ384" i="27"/>
  <c r="AV385" i="27"/>
  <c r="AR386" i="27"/>
  <c r="AZ386" i="27"/>
  <c r="AV387" i="27"/>
  <c r="AR388" i="27"/>
  <c r="AZ388" i="27"/>
  <c r="AV389" i="27"/>
  <c r="AR390" i="27"/>
  <c r="AV73" i="27"/>
  <c r="AS133" i="27"/>
  <c r="AX158" i="27"/>
  <c r="AW169" i="27"/>
  <c r="AZ177" i="27"/>
  <c r="AV187" i="27"/>
  <c r="AQ195" i="27"/>
  <c r="AZ201" i="27"/>
  <c r="AS210" i="27"/>
  <c r="AS216" i="27"/>
  <c r="AV221" i="27"/>
  <c r="AX227" i="27"/>
  <c r="AT233" i="27"/>
  <c r="AT238" i="27"/>
  <c r="AS243" i="27"/>
  <c r="BB246" i="27"/>
  <c r="BA249" i="27"/>
  <c r="AS253" i="27"/>
  <c r="AW256" i="27"/>
  <c r="AT259" i="27"/>
  <c r="AZ262" i="27"/>
  <c r="BB265" i="27"/>
  <c r="AZ268" i="27"/>
  <c r="AY271" i="27"/>
  <c r="AR274" i="27"/>
  <c r="AR276" i="27"/>
  <c r="AU278" i="27"/>
  <c r="AV280" i="27"/>
  <c r="AT282" i="27"/>
  <c r="AQ284" i="27"/>
  <c r="AW285" i="27"/>
  <c r="BA286" i="27"/>
  <c r="AZ287" i="27"/>
  <c r="AX288" i="27"/>
  <c r="AW289" i="27"/>
  <c r="AV290" i="27"/>
  <c r="AT291" i="27"/>
  <c r="AS292" i="27"/>
  <c r="AR293" i="27"/>
  <c r="BB293" i="27"/>
  <c r="BA294" i="27"/>
  <c r="AZ295" i="27"/>
  <c r="AX296" i="27"/>
  <c r="AW297" i="27"/>
  <c r="AV298" i="27"/>
  <c r="AT299" i="27"/>
  <c r="AS300" i="27"/>
  <c r="AR301" i="27"/>
  <c r="BB301" i="27"/>
  <c r="BA302" i="27"/>
  <c r="AZ303" i="27"/>
  <c r="AX304" i="27"/>
  <c r="AW305" i="27"/>
  <c r="AV306" i="27"/>
  <c r="AT307" i="27"/>
  <c r="AS308" i="27"/>
  <c r="AR309" i="27"/>
  <c r="BB309" i="27"/>
  <c r="BA310" i="27"/>
  <c r="AZ311" i="27"/>
  <c r="AX312" i="27"/>
  <c r="AW313" i="27"/>
  <c r="AV314" i="27"/>
  <c r="AT315" i="27"/>
  <c r="AS316" i="27"/>
  <c r="AR317" i="27"/>
  <c r="BB317" i="27"/>
  <c r="BA318" i="27"/>
  <c r="AZ319" i="27"/>
  <c r="AX320" i="27"/>
  <c r="AW321" i="27"/>
  <c r="AV322" i="27"/>
  <c r="AT323" i="27"/>
  <c r="AS324" i="27"/>
  <c r="AR325" i="27"/>
  <c r="BB325" i="27"/>
  <c r="BA326" i="27"/>
  <c r="AZ327" i="27"/>
  <c r="AX328" i="27"/>
  <c r="AW329" i="27"/>
  <c r="AV330" i="27"/>
  <c r="AT331" i="27"/>
  <c r="AS332" i="27"/>
  <c r="BB332" i="27"/>
  <c r="AX333" i="27"/>
  <c r="AT334" i="27"/>
  <c r="BB334" i="27"/>
  <c r="AX335" i="27"/>
  <c r="AT336" i="27"/>
  <c r="BB336" i="27"/>
  <c r="AX337" i="27"/>
  <c r="AT338" i="27"/>
  <c r="BB338" i="27"/>
  <c r="AX339" i="27"/>
  <c r="AT340" i="27"/>
  <c r="BB340" i="27"/>
  <c r="AX341" i="27"/>
  <c r="AT342" i="27"/>
  <c r="BB342" i="27"/>
  <c r="AX343" i="27"/>
  <c r="AT344" i="27"/>
  <c r="BB344" i="27"/>
  <c r="AX345" i="27"/>
  <c r="AT346" i="27"/>
  <c r="BB346" i="27"/>
  <c r="AX347" i="27"/>
  <c r="AT348" i="27"/>
  <c r="BB348" i="27"/>
  <c r="AX349" i="27"/>
  <c r="AT350" i="27"/>
  <c r="BB350" i="27"/>
  <c r="AX351" i="27"/>
  <c r="AT352" i="27"/>
  <c r="BB352" i="27"/>
  <c r="AX353" i="27"/>
  <c r="AT354" i="27"/>
  <c r="BB354" i="27"/>
  <c r="AX355" i="27"/>
  <c r="AT356" i="27"/>
  <c r="BB356" i="27"/>
  <c r="AX357" i="27"/>
  <c r="AT358" i="27"/>
  <c r="BB358" i="27"/>
  <c r="AX359" i="27"/>
  <c r="AT360" i="27"/>
  <c r="BB360" i="27"/>
  <c r="AX361" i="27"/>
  <c r="AT362" i="27"/>
  <c r="BB362" i="27"/>
  <c r="AX363" i="27"/>
  <c r="AT364" i="27"/>
  <c r="BB364" i="27"/>
  <c r="AX365" i="27"/>
  <c r="AT366" i="27"/>
  <c r="BB366" i="27"/>
  <c r="AX367" i="27"/>
  <c r="AT368" i="27"/>
  <c r="BB368" i="27"/>
  <c r="AX369" i="27"/>
  <c r="AT370" i="27"/>
  <c r="BB370" i="27"/>
  <c r="AX371" i="27"/>
  <c r="AT372" i="27"/>
  <c r="BB372" i="27"/>
  <c r="AX373" i="27"/>
  <c r="AT374" i="27"/>
  <c r="BB374" i="27"/>
  <c r="AX375" i="27"/>
  <c r="AT376" i="27"/>
  <c r="BB376" i="27"/>
  <c r="AX377" i="27"/>
  <c r="AT378" i="27"/>
  <c r="BB378" i="27"/>
  <c r="AX379" i="27"/>
  <c r="AT380" i="27"/>
  <c r="BB380" i="27"/>
  <c r="AX381" i="27"/>
  <c r="AT382" i="27"/>
  <c r="BB382" i="27"/>
  <c r="AX383" i="27"/>
  <c r="AT384" i="27"/>
  <c r="BB384" i="27"/>
  <c r="AX385" i="27"/>
  <c r="AT386" i="27"/>
  <c r="BB386" i="27"/>
  <c r="AX387" i="27"/>
  <c r="AT388" i="27"/>
  <c r="BB388" i="27"/>
  <c r="AX389" i="27"/>
  <c r="AT390" i="27"/>
  <c r="AQ92" i="27"/>
  <c r="AY141" i="27"/>
  <c r="AW161" i="27"/>
  <c r="BA170" i="27"/>
  <c r="AQ181" i="27"/>
  <c r="AS189" i="27"/>
  <c r="AS196" i="27"/>
  <c r="AV204" i="27"/>
  <c r="BB211" i="27"/>
  <c r="AS217" i="27"/>
  <c r="AV223" i="27"/>
  <c r="BB228" i="27"/>
  <c r="AS234" i="27"/>
  <c r="AX239" i="27"/>
  <c r="AS244" i="27"/>
  <c r="AV247" i="27"/>
  <c r="BA250" i="27"/>
  <c r="AR254" i="27"/>
  <c r="BB256" i="27"/>
  <c r="AT260" i="27"/>
  <c r="AX263" i="27"/>
  <c r="AU266" i="27"/>
  <c r="BA269" i="27"/>
  <c r="AU272" i="27"/>
  <c r="AV274" i="27"/>
  <c r="AZ276" i="27"/>
  <c r="BB278" i="27"/>
  <c r="AY280" i="27"/>
  <c r="BB282" i="27"/>
  <c r="AV284" i="27"/>
  <c r="BA285" i="27"/>
  <c r="AR287" i="27"/>
  <c r="BB287" i="27"/>
  <c r="BA288" i="27"/>
  <c r="AZ289" i="27"/>
  <c r="AX290" i="27"/>
  <c r="AW291" i="27"/>
  <c r="AV292" i="27"/>
  <c r="AT293" i="27"/>
  <c r="AS294" i="27"/>
  <c r="AR295" i="27"/>
  <c r="BB295" i="27"/>
  <c r="BA296" i="27"/>
  <c r="AZ297" i="27"/>
  <c r="AX298" i="27"/>
  <c r="AW299" i="27"/>
  <c r="AV300" i="27"/>
  <c r="AT301" i="27"/>
  <c r="AS302" i="27"/>
  <c r="AR303" i="27"/>
  <c r="BB303" i="27"/>
  <c r="BA304" i="27"/>
  <c r="AZ305" i="27"/>
  <c r="AX306" i="27"/>
  <c r="AW307" i="27"/>
  <c r="AV308" i="27"/>
  <c r="AT309" i="27"/>
  <c r="AS310" i="27"/>
  <c r="AR311" i="27"/>
  <c r="BB311" i="27"/>
  <c r="BA312" i="27"/>
  <c r="AZ313" i="27"/>
  <c r="AX314" i="27"/>
  <c r="AW315" i="27"/>
  <c r="AV316" i="27"/>
  <c r="AT317" i="27"/>
  <c r="AS318" i="27"/>
  <c r="AR319" i="27"/>
  <c r="BB319" i="27"/>
  <c r="BA320" i="27"/>
  <c r="AZ321" i="27"/>
  <c r="AX322" i="27"/>
  <c r="AW323" i="27"/>
  <c r="AV324" i="27"/>
  <c r="AT325" i="27"/>
  <c r="AS326" i="27"/>
  <c r="AR327" i="27"/>
  <c r="BB327" i="27"/>
  <c r="BA328" i="27"/>
  <c r="AZ329" i="27"/>
  <c r="AX330" i="27"/>
  <c r="AW331" i="27"/>
  <c r="AU332" i="27"/>
  <c r="AR333" i="27"/>
  <c r="AZ333" i="27"/>
  <c r="AV334" i="27"/>
  <c r="AR335" i="27"/>
  <c r="AZ335" i="27"/>
  <c r="AV336" i="27"/>
  <c r="AR337" i="27"/>
  <c r="AZ337" i="27"/>
  <c r="AV338" i="27"/>
  <c r="AR339" i="27"/>
  <c r="AZ339" i="27"/>
  <c r="AV340" i="27"/>
  <c r="AR341" i="27"/>
  <c r="AZ341" i="27"/>
  <c r="AV342" i="27"/>
  <c r="AR343" i="27"/>
  <c r="AZ343" i="27"/>
  <c r="AV344" i="27"/>
  <c r="AR345" i="27"/>
  <c r="AZ345" i="27"/>
  <c r="AV346" i="27"/>
  <c r="AR347" i="27"/>
  <c r="AZ347" i="27"/>
  <c r="AV348" i="27"/>
  <c r="AR349" i="27"/>
  <c r="AZ349" i="27"/>
  <c r="AV350" i="27"/>
  <c r="AR351" i="27"/>
  <c r="AZ351" i="27"/>
  <c r="AV352" i="27"/>
  <c r="AR353" i="27"/>
  <c r="AZ353" i="27"/>
  <c r="AV354" i="27"/>
  <c r="AR355" i="27"/>
  <c r="AZ355" i="27"/>
  <c r="AV356" i="27"/>
  <c r="AR357" i="27"/>
  <c r="AZ357" i="27"/>
  <c r="AV358" i="27"/>
  <c r="AR359" i="27"/>
  <c r="AZ359" i="27"/>
  <c r="AV360" i="27"/>
  <c r="AR361" i="27"/>
  <c r="AZ361" i="27"/>
  <c r="AV362" i="27"/>
  <c r="AR363" i="27"/>
  <c r="AZ363" i="27"/>
  <c r="AV364" i="27"/>
  <c r="AR365" i="27"/>
  <c r="AZ365" i="27"/>
  <c r="AV366" i="27"/>
  <c r="AR367" i="27"/>
  <c r="AZ367" i="27"/>
  <c r="AV368" i="27"/>
  <c r="AR369" i="27"/>
  <c r="AZ369" i="27"/>
  <c r="AV370" i="27"/>
  <c r="AR371" i="27"/>
  <c r="AZ371" i="27"/>
  <c r="AV372" i="27"/>
  <c r="AR373" i="27"/>
  <c r="AZ373" i="27"/>
  <c r="AV374" i="27"/>
  <c r="AR375" i="27"/>
  <c r="AZ375" i="27"/>
  <c r="AV376" i="27"/>
  <c r="AR377" i="27"/>
  <c r="AZ377" i="27"/>
  <c r="AV378" i="27"/>
  <c r="AR379" i="27"/>
  <c r="AZ379" i="27"/>
  <c r="AV380" i="27"/>
  <c r="AR381" i="27"/>
  <c r="AZ381" i="27"/>
  <c r="AV382" i="27"/>
  <c r="AR383" i="27"/>
  <c r="AZ383" i="27"/>
  <c r="AV384" i="27"/>
  <c r="AR385" i="27"/>
  <c r="AZ385" i="27"/>
  <c r="AV386" i="27"/>
  <c r="AR387" i="27"/>
  <c r="AZ387" i="27"/>
  <c r="AV388" i="27"/>
  <c r="AR389" i="27"/>
  <c r="AZ389" i="27"/>
  <c r="AV390" i="27"/>
  <c r="AQ107" i="27"/>
  <c r="AY148" i="27"/>
  <c r="AV163" i="27"/>
  <c r="AR174" i="27"/>
  <c r="AR183" i="27"/>
  <c r="AW190" i="27"/>
  <c r="BA198" i="27"/>
  <c r="AS206" i="27"/>
  <c r="BA212" i="27"/>
  <c r="AS219" i="27"/>
  <c r="AZ224" i="27"/>
  <c r="BB229" i="27"/>
  <c r="AS236" i="27"/>
  <c r="BB240" i="27"/>
  <c r="AZ244" i="27"/>
  <c r="AW248" i="27"/>
  <c r="AY251" i="27"/>
  <c r="AW254" i="27"/>
  <c r="BB257" i="27"/>
  <c r="AS261" i="27"/>
  <c r="AR264" i="27"/>
  <c r="AV267" i="27"/>
  <c r="AX270" i="27"/>
  <c r="AY272" i="27"/>
  <c r="AT275" i="27"/>
  <c r="AU277" i="27"/>
  <c r="AS279" i="27"/>
  <c r="AU281" i="27"/>
  <c r="AT283" i="27"/>
  <c r="AZ284" i="27"/>
  <c r="AS286" i="27"/>
  <c r="AT287" i="27"/>
  <c r="AS288" i="27"/>
  <c r="AR289" i="27"/>
  <c r="BB289" i="27"/>
  <c r="BA290" i="27"/>
  <c r="AZ291" i="27"/>
  <c r="AX292" i="27"/>
  <c r="AW293" i="27"/>
  <c r="AV294" i="27"/>
  <c r="AT295" i="27"/>
  <c r="AS296" i="27"/>
  <c r="AR297" i="27"/>
  <c r="BB297" i="27"/>
  <c r="BA298" i="27"/>
  <c r="AZ299" i="27"/>
  <c r="AX300" i="27"/>
  <c r="AW301" i="27"/>
  <c r="AV302" i="27"/>
  <c r="AT303" i="27"/>
  <c r="AS304" i="27"/>
  <c r="AR305" i="27"/>
  <c r="BB305" i="27"/>
  <c r="BA306" i="27"/>
  <c r="AZ307" i="27"/>
  <c r="AX308" i="27"/>
  <c r="AW309" i="27"/>
  <c r="AV310" i="27"/>
  <c r="AT311" i="27"/>
  <c r="AS312" i="27"/>
  <c r="AR313" i="27"/>
  <c r="BB313" i="27"/>
  <c r="BA314" i="27"/>
  <c r="AZ315" i="27"/>
  <c r="AX316" i="27"/>
  <c r="AW317" i="27"/>
  <c r="AV318" i="27"/>
  <c r="AT319" i="27"/>
  <c r="AS320" i="27"/>
  <c r="AR321" i="27"/>
  <c r="BB321" i="27"/>
  <c r="BA322" i="27"/>
  <c r="AZ323" i="27"/>
  <c r="AX324" i="27"/>
  <c r="AW325" i="27"/>
  <c r="AV326" i="27"/>
  <c r="AT327" i="27"/>
  <c r="AS328" i="27"/>
  <c r="AR329" i="27"/>
  <c r="BB329" i="27"/>
  <c r="BA330" i="27"/>
  <c r="AZ331" i="27"/>
  <c r="AW332" i="27"/>
  <c r="AT333" i="27"/>
  <c r="BB333" i="27"/>
  <c r="AX334" i="27"/>
  <c r="AT335" i="27"/>
  <c r="BB335" i="27"/>
  <c r="AX336" i="27"/>
  <c r="AT337" i="27"/>
  <c r="BB337" i="27"/>
  <c r="AX338" i="27"/>
  <c r="AT339" i="27"/>
  <c r="BB339" i="27"/>
  <c r="AX340" i="27"/>
  <c r="AT341" i="27"/>
  <c r="BB341" i="27"/>
  <c r="AX342" i="27"/>
  <c r="AT343" i="27"/>
  <c r="BB343" i="27"/>
  <c r="AX344" i="27"/>
  <c r="AT345" i="27"/>
  <c r="BB345" i="27"/>
  <c r="AX346" i="27"/>
  <c r="AT347" i="27"/>
  <c r="BB347" i="27"/>
  <c r="AX348" i="27"/>
  <c r="AT349" i="27"/>
  <c r="BB349" i="27"/>
  <c r="AX350" i="27"/>
  <c r="AT351" i="27"/>
  <c r="BB351" i="27"/>
  <c r="AX352" i="27"/>
  <c r="AT353" i="27"/>
  <c r="BB353" i="27"/>
  <c r="AX354" i="27"/>
  <c r="AT355" i="27"/>
  <c r="BB355" i="27"/>
  <c r="AX356" i="27"/>
  <c r="AT357" i="27"/>
  <c r="BB357" i="27"/>
  <c r="AX358" i="27"/>
  <c r="AT359" i="27"/>
  <c r="BB359" i="27"/>
  <c r="AX360" i="27"/>
  <c r="AT361" i="27"/>
  <c r="BB361" i="27"/>
  <c r="AX362" i="27"/>
  <c r="AT363" i="27"/>
  <c r="BB363" i="27"/>
  <c r="AX364" i="27"/>
  <c r="AT365" i="27"/>
  <c r="BB365" i="27"/>
  <c r="AX366" i="27"/>
  <c r="AT367" i="27"/>
  <c r="BB367" i="27"/>
  <c r="AX368" i="27"/>
  <c r="AT369" i="27"/>
  <c r="BB369" i="27"/>
  <c r="AX370" i="27"/>
  <c r="AT371" i="27"/>
  <c r="BB371" i="27"/>
  <c r="AX372" i="27"/>
  <c r="AT373" i="27"/>
  <c r="BB373" i="27"/>
  <c r="AX374" i="27"/>
  <c r="AT375" i="27"/>
  <c r="BB375" i="27"/>
  <c r="AX376" i="27"/>
  <c r="AT377" i="27"/>
  <c r="BB377" i="27"/>
  <c r="AX378" i="27"/>
  <c r="AT379" i="27"/>
  <c r="BB379" i="27"/>
  <c r="AX380" i="27"/>
  <c r="AT381" i="27"/>
  <c r="BB381" i="27"/>
  <c r="AX382" i="27"/>
  <c r="AT383" i="27"/>
  <c r="BB383" i="27"/>
  <c r="AX384" i="27"/>
  <c r="AT385" i="27"/>
  <c r="BB385" i="27"/>
  <c r="AX386" i="27"/>
  <c r="AT387" i="27"/>
  <c r="BB387" i="27"/>
  <c r="AX388" i="27"/>
  <c r="AT389" i="27"/>
  <c r="BB389" i="27"/>
  <c r="AX390" i="27"/>
  <c r="AY86" i="27"/>
  <c r="BA158" i="27"/>
  <c r="AZ179" i="27"/>
  <c r="BB195" i="27"/>
  <c r="AV210" i="27"/>
  <c r="AX222" i="27"/>
  <c r="AR234" i="27"/>
  <c r="AT243" i="27"/>
  <c r="AW250" i="27"/>
  <c r="AZ256" i="27"/>
  <c r="BA262" i="27"/>
  <c r="AW269" i="27"/>
  <c r="AU274" i="27"/>
  <c r="AV278" i="27"/>
  <c r="AY282" i="27"/>
  <c r="AY285" i="27"/>
  <c r="BA287" i="27"/>
  <c r="AY289" i="27"/>
  <c r="AV291" i="27"/>
  <c r="AS293" i="27"/>
  <c r="AQ295" i="27"/>
  <c r="AZ296" i="27"/>
  <c r="AW298" i="27"/>
  <c r="AU300" i="27"/>
  <c r="AR302" i="27"/>
  <c r="BA303" i="27"/>
  <c r="AY305" i="27"/>
  <c r="AV307" i="27"/>
  <c r="AS309" i="27"/>
  <c r="AQ311" i="27"/>
  <c r="AZ312" i="27"/>
  <c r="AW314" i="27"/>
  <c r="AU316" i="27"/>
  <c r="AR318" i="27"/>
  <c r="BA319" i="27"/>
  <c r="AY321" i="27"/>
  <c r="AV323" i="27"/>
  <c r="AS325" i="27"/>
  <c r="AQ327" i="27"/>
  <c r="AZ328" i="27"/>
  <c r="AW330" i="27"/>
  <c r="AT332" i="27"/>
  <c r="AY333" i="27"/>
  <c r="AQ335" i="27"/>
  <c r="AU336" i="27"/>
  <c r="AY337" i="27"/>
  <c r="AQ339" i="27"/>
  <c r="AU340" i="27"/>
  <c r="AY341" i="27"/>
  <c r="AQ343" i="27"/>
  <c r="AU344" i="27"/>
  <c r="AY345" i="27"/>
  <c r="AQ347" i="27"/>
  <c r="AU348" i="27"/>
  <c r="AY349" i="27"/>
  <c r="AQ351" i="27"/>
  <c r="AU352" i="27"/>
  <c r="AY353" i="27"/>
  <c r="AQ355" i="27"/>
  <c r="AU356" i="27"/>
  <c r="AY357" i="27"/>
  <c r="AQ359" i="27"/>
  <c r="AU360" i="27"/>
  <c r="AY361" i="27"/>
  <c r="AQ363" i="27"/>
  <c r="AU364" i="27"/>
  <c r="AY365" i="27"/>
  <c r="AQ367" i="27"/>
  <c r="AU368" i="27"/>
  <c r="AY369" i="27"/>
  <c r="AQ371" i="27"/>
  <c r="AU372" i="27"/>
  <c r="AY373" i="27"/>
  <c r="AQ375" i="27"/>
  <c r="AU376" i="27"/>
  <c r="AY377" i="27"/>
  <c r="AQ379" i="27"/>
  <c r="AU380" i="27"/>
  <c r="AY381" i="27"/>
  <c r="AQ383" i="27"/>
  <c r="AU384" i="27"/>
  <c r="AY385" i="27"/>
  <c r="AQ387" i="27"/>
  <c r="AU388" i="27"/>
  <c r="AY389" i="27"/>
  <c r="BA390" i="27"/>
  <c r="AW391" i="27"/>
  <c r="AS392" i="27"/>
  <c r="BA392" i="27"/>
  <c r="AW393" i="27"/>
  <c r="AS394" i="27"/>
  <c r="BA394" i="27"/>
  <c r="AW395" i="27"/>
  <c r="AS396" i="27"/>
  <c r="BA396" i="27"/>
  <c r="AW397" i="27"/>
  <c r="AS398" i="27"/>
  <c r="BA398" i="27"/>
  <c r="AW399" i="27"/>
  <c r="AS400" i="27"/>
  <c r="BA400" i="27"/>
  <c r="AW401" i="27"/>
  <c r="AS402" i="27"/>
  <c r="BA402" i="27"/>
  <c r="AW403" i="27"/>
  <c r="AS404" i="27"/>
  <c r="BA404" i="27"/>
  <c r="AW405" i="27"/>
  <c r="AS406" i="27"/>
  <c r="BA406" i="27"/>
  <c r="AW407" i="27"/>
  <c r="AS408" i="27"/>
  <c r="BA408" i="27"/>
  <c r="AW409" i="27"/>
  <c r="AS410" i="27"/>
  <c r="BA410" i="27"/>
  <c r="AW411" i="27"/>
  <c r="AS412" i="27"/>
  <c r="BA412" i="27"/>
  <c r="AW413" i="27"/>
  <c r="AS414" i="27"/>
  <c r="BA414" i="27"/>
  <c r="AW415" i="27"/>
  <c r="AS416" i="27"/>
  <c r="BA416" i="27"/>
  <c r="AW417" i="27"/>
  <c r="AS418" i="27"/>
  <c r="BA418" i="27"/>
  <c r="AW419" i="27"/>
  <c r="AS420" i="27"/>
  <c r="BA420" i="27"/>
  <c r="AW421" i="27"/>
  <c r="AS422" i="27"/>
  <c r="BA422" i="27"/>
  <c r="AW423" i="27"/>
  <c r="AS424" i="27"/>
  <c r="BA424" i="27"/>
  <c r="AW425" i="27"/>
  <c r="AS426" i="27"/>
  <c r="BA426" i="27"/>
  <c r="AW427" i="27"/>
  <c r="AS428" i="27"/>
  <c r="BA428" i="27"/>
  <c r="AW429" i="27"/>
  <c r="AS430" i="27"/>
  <c r="BA430" i="27"/>
  <c r="AW431" i="27"/>
  <c r="AS432" i="27"/>
  <c r="BA432" i="27"/>
  <c r="AW433" i="27"/>
  <c r="AS434" i="27"/>
  <c r="BA434" i="27"/>
  <c r="AW435" i="27"/>
  <c r="AS436" i="27"/>
  <c r="BA436" i="27"/>
  <c r="AW437" i="27"/>
  <c r="AS438" i="27"/>
  <c r="BA438" i="27"/>
  <c r="AW439" i="27"/>
  <c r="AS440" i="27"/>
  <c r="BA440" i="27"/>
  <c r="AW441" i="27"/>
  <c r="AS442" i="27"/>
  <c r="BA442" i="27"/>
  <c r="AW443" i="27"/>
  <c r="AS444" i="27"/>
  <c r="BA444" i="27"/>
  <c r="AW445" i="27"/>
  <c r="AS446" i="27"/>
  <c r="BA446" i="27"/>
  <c r="BB101" i="27"/>
  <c r="AQ163" i="27"/>
  <c r="AS181" i="27"/>
  <c r="AZ197" i="27"/>
  <c r="AZ212" i="27"/>
  <c r="AW223" i="27"/>
  <c r="AV235" i="27"/>
  <c r="AX244" i="27"/>
  <c r="BB250" i="27"/>
  <c r="AX257" i="27"/>
  <c r="BA263" i="27"/>
  <c r="BB269" i="27"/>
  <c r="AQ275" i="27"/>
  <c r="AR279" i="27"/>
  <c r="AQ283" i="27"/>
  <c r="BB285" i="27"/>
  <c r="AR288" i="27"/>
  <c r="BA289" i="27"/>
  <c r="AY291" i="27"/>
  <c r="AV293" i="27"/>
  <c r="AS295" i="27"/>
  <c r="AQ297" i="27"/>
  <c r="AZ298" i="27"/>
  <c r="AW300" i="27"/>
  <c r="AU302" i="27"/>
  <c r="AR304" i="27"/>
  <c r="BA305" i="27"/>
  <c r="AY307" i="27"/>
  <c r="AV309" i="27"/>
  <c r="AS311" i="27"/>
  <c r="AQ313" i="27"/>
  <c r="AZ314" i="27"/>
  <c r="AW316" i="27"/>
  <c r="AU318" i="27"/>
  <c r="AR320" i="27"/>
  <c r="BA321" i="27"/>
  <c r="AY323" i="27"/>
  <c r="AV325" i="27"/>
  <c r="AS327" i="27"/>
  <c r="AQ329" i="27"/>
  <c r="AZ330" i="27"/>
  <c r="AV332" i="27"/>
  <c r="BA333" i="27"/>
  <c r="AS335" i="27"/>
  <c r="AW336" i="27"/>
  <c r="BA337" i="27"/>
  <c r="AS339" i="27"/>
  <c r="AW340" i="27"/>
  <c r="BA341" i="27"/>
  <c r="AS343" i="27"/>
  <c r="AW344" i="27"/>
  <c r="BA345" i="27"/>
  <c r="AS347" i="27"/>
  <c r="AW348" i="27"/>
  <c r="BA349" i="27"/>
  <c r="AS351" i="27"/>
  <c r="AW352" i="27"/>
  <c r="BA353" i="27"/>
  <c r="AS355" i="27"/>
  <c r="AW356" i="27"/>
  <c r="BA357" i="27"/>
  <c r="AS359" i="27"/>
  <c r="AW360" i="27"/>
  <c r="BA361" i="27"/>
  <c r="AS363" i="27"/>
  <c r="AW364" i="27"/>
  <c r="BA365" i="27"/>
  <c r="AS367" i="27"/>
  <c r="AW368" i="27"/>
  <c r="BA369" i="27"/>
  <c r="AS371" i="27"/>
  <c r="AW372" i="27"/>
  <c r="BA373" i="27"/>
  <c r="AS375" i="27"/>
  <c r="AW376" i="27"/>
  <c r="BA377" i="27"/>
  <c r="AS379" i="27"/>
  <c r="AW380" i="27"/>
  <c r="BA381" i="27"/>
  <c r="AS383" i="27"/>
  <c r="AW384" i="27"/>
  <c r="BA385" i="27"/>
  <c r="AQ117" i="27"/>
  <c r="AQ166" i="27"/>
  <c r="AV184" i="27"/>
  <c r="AQ199" i="27"/>
  <c r="AR214" i="27"/>
  <c r="AW225" i="27"/>
  <c r="AT236" i="27"/>
  <c r="AX245" i="27"/>
  <c r="AR252" i="27"/>
  <c r="AR258" i="27"/>
  <c r="AZ264" i="27"/>
  <c r="AZ270" i="27"/>
  <c r="AU275" i="27"/>
  <c r="AY279" i="27"/>
  <c r="AV283" i="27"/>
  <c r="AU286" i="27"/>
  <c r="AU288" i="27"/>
  <c r="AR290" i="27"/>
  <c r="BA291" i="27"/>
  <c r="AY293" i="27"/>
  <c r="AV295" i="27"/>
  <c r="AS297" i="27"/>
  <c r="AQ299" i="27"/>
  <c r="AZ300" i="27"/>
  <c r="AW302" i="27"/>
  <c r="AU304" i="27"/>
  <c r="AR306" i="27"/>
  <c r="BA307" i="27"/>
  <c r="AY309" i="27"/>
  <c r="AV311" i="27"/>
  <c r="AS313" i="27"/>
  <c r="AQ315" i="27"/>
  <c r="AZ316" i="27"/>
  <c r="AW318" i="27"/>
  <c r="AU320" i="27"/>
  <c r="AR322" i="27"/>
  <c r="BA323" i="27"/>
  <c r="AY325" i="27"/>
  <c r="AV327" i="27"/>
  <c r="AS329" i="27"/>
  <c r="AQ331" i="27"/>
  <c r="AX332" i="27"/>
  <c r="AQ334" i="27"/>
  <c r="AU335" i="27"/>
  <c r="AY336" i="27"/>
  <c r="AQ338" i="27"/>
  <c r="AU339" i="27"/>
  <c r="AY340" i="27"/>
  <c r="AQ342" i="27"/>
  <c r="AU343" i="27"/>
  <c r="AY344" i="27"/>
  <c r="AQ346" i="27"/>
  <c r="AU347" i="27"/>
  <c r="AY348" i="27"/>
  <c r="AQ350" i="27"/>
  <c r="AU351" i="27"/>
  <c r="AY352" i="27"/>
  <c r="AQ354" i="27"/>
  <c r="AU355" i="27"/>
  <c r="AY356" i="27"/>
  <c r="AQ358" i="27"/>
  <c r="AU359" i="27"/>
  <c r="AY360" i="27"/>
  <c r="AQ362" i="27"/>
  <c r="AU363" i="27"/>
  <c r="AY364" i="27"/>
  <c r="AQ366" i="27"/>
  <c r="AU367" i="27"/>
  <c r="AY368" i="27"/>
  <c r="AQ370" i="27"/>
  <c r="AU371" i="27"/>
  <c r="AY372" i="27"/>
  <c r="AQ374" i="27"/>
  <c r="AU375" i="27"/>
  <c r="AY376" i="27"/>
  <c r="AQ378" i="27"/>
  <c r="AU379" i="27"/>
  <c r="AY380" i="27"/>
  <c r="AQ382" i="27"/>
  <c r="AU383" i="27"/>
  <c r="AY384" i="27"/>
  <c r="AQ386" i="27"/>
  <c r="AU387" i="27"/>
  <c r="AY388" i="27"/>
  <c r="AQ390" i="27"/>
  <c r="AQ391" i="27"/>
  <c r="AY391" i="27"/>
  <c r="AU392" i="27"/>
  <c r="AQ393" i="27"/>
  <c r="AY393" i="27"/>
  <c r="AU394" i="27"/>
  <c r="AQ395" i="27"/>
  <c r="AY395" i="27"/>
  <c r="AU396" i="27"/>
  <c r="AQ397" i="27"/>
  <c r="AY397" i="27"/>
  <c r="AU398" i="27"/>
  <c r="AQ399" i="27"/>
  <c r="AY399" i="27"/>
  <c r="AU400" i="27"/>
  <c r="AQ401" i="27"/>
  <c r="AY401" i="27"/>
  <c r="AU402" i="27"/>
  <c r="AQ403" i="27"/>
  <c r="BB129" i="27"/>
  <c r="AW167" i="27"/>
  <c r="AV186" i="27"/>
  <c r="AY201" i="27"/>
  <c r="BB214" i="27"/>
  <c r="BA226" i="27"/>
  <c r="BB237" i="27"/>
  <c r="AT246" i="27"/>
  <c r="BB252" i="27"/>
  <c r="AS259" i="27"/>
  <c r="AS265" i="27"/>
  <c r="AV271" i="27"/>
  <c r="AQ276" i="27"/>
  <c r="BB279" i="27"/>
  <c r="AZ283" i="27"/>
  <c r="AX286" i="27"/>
  <c r="AW288" i="27"/>
  <c r="AU290" i="27"/>
  <c r="AR292" i="27"/>
  <c r="BA293" i="27"/>
  <c r="AY295" i="27"/>
  <c r="AV297" i="27"/>
  <c r="AS299" i="27"/>
  <c r="AQ301" i="27"/>
  <c r="AZ302" i="27"/>
  <c r="AW304" i="27"/>
  <c r="AU306" i="27"/>
  <c r="AR308" i="27"/>
  <c r="BA309" i="27"/>
  <c r="AY311" i="27"/>
  <c r="AV313" i="27"/>
  <c r="AS315" i="27"/>
  <c r="AQ317" i="27"/>
  <c r="AZ318" i="27"/>
  <c r="AW320" i="27"/>
  <c r="AU322" i="27"/>
  <c r="AR324" i="27"/>
  <c r="BA325" i="27"/>
  <c r="AY327" i="27"/>
  <c r="AV329" i="27"/>
  <c r="AS331" i="27"/>
  <c r="BA332" i="27"/>
  <c r="AS334" i="27"/>
  <c r="AW335" i="27"/>
  <c r="BA336" i="27"/>
  <c r="AS338" i="27"/>
  <c r="AW339" i="27"/>
  <c r="BA340" i="27"/>
  <c r="AS342" i="27"/>
  <c r="AW343" i="27"/>
  <c r="BA344" i="27"/>
  <c r="AS346" i="27"/>
  <c r="AW347" i="27"/>
  <c r="BA348" i="27"/>
  <c r="AS350" i="27"/>
  <c r="AW351" i="27"/>
  <c r="BA352" i="27"/>
  <c r="AS354" i="27"/>
  <c r="AW355" i="27"/>
  <c r="BA356" i="27"/>
  <c r="AS358" i="27"/>
  <c r="AW359" i="27"/>
  <c r="BA360" i="27"/>
  <c r="AS362" i="27"/>
  <c r="AW363" i="27"/>
  <c r="BA364" i="27"/>
  <c r="AS366" i="27"/>
  <c r="AW367" i="27"/>
  <c r="BA368" i="27"/>
  <c r="AS370" i="27"/>
  <c r="AW371" i="27"/>
  <c r="BA372" i="27"/>
  <c r="AS374" i="27"/>
  <c r="AW375" i="27"/>
  <c r="BA376" i="27"/>
  <c r="AS378" i="27"/>
  <c r="AW379" i="27"/>
  <c r="BA380" i="27"/>
  <c r="AS382" i="27"/>
  <c r="AW383" i="27"/>
  <c r="BA384" i="27"/>
  <c r="AS386" i="27"/>
  <c r="AW387" i="27"/>
  <c r="BA388" i="27"/>
  <c r="AS390" i="27"/>
  <c r="AR391" i="27"/>
  <c r="AZ391" i="27"/>
  <c r="AV392" i="27"/>
  <c r="AR393" i="27"/>
  <c r="AZ393" i="27"/>
  <c r="AV394" i="27"/>
  <c r="AR395" i="27"/>
  <c r="AZ395" i="27"/>
  <c r="AV396" i="27"/>
  <c r="AR397" i="27"/>
  <c r="AZ397" i="27"/>
  <c r="AV398" i="27"/>
  <c r="AR399" i="27"/>
  <c r="AZ399" i="27"/>
  <c r="AV400" i="27"/>
  <c r="AR401" i="27"/>
  <c r="AZ401" i="27"/>
  <c r="AV402" i="27"/>
  <c r="AR403" i="27"/>
  <c r="AZ403" i="27"/>
  <c r="AV404" i="27"/>
  <c r="AR405" i="27"/>
  <c r="AZ405" i="27"/>
  <c r="AV406" i="27"/>
  <c r="AR407" i="27"/>
  <c r="AZ407" i="27"/>
  <c r="AV408" i="27"/>
  <c r="AR409" i="27"/>
  <c r="AZ409" i="27"/>
  <c r="AV410" i="27"/>
  <c r="AR411" i="27"/>
  <c r="AZ411" i="27"/>
  <c r="AV412" i="27"/>
  <c r="AR413" i="27"/>
  <c r="AZ413" i="27"/>
  <c r="AV414" i="27"/>
  <c r="AS146" i="27"/>
  <c r="BA172" i="27"/>
  <c r="AS190" i="27"/>
  <c r="AZ204" i="27"/>
  <c r="AT218" i="27"/>
  <c r="BA229" i="27"/>
  <c r="BB239" i="27"/>
  <c r="AS248" i="27"/>
  <c r="AU254" i="27"/>
  <c r="AW260" i="27"/>
  <c r="AS267" i="27"/>
  <c r="AX272" i="27"/>
  <c r="BB276" i="27"/>
  <c r="AS281" i="27"/>
  <c r="AW284" i="27"/>
  <c r="AS287" i="27"/>
  <c r="AQ289" i="27"/>
  <c r="AZ290" i="27"/>
  <c r="AW292" i="27"/>
  <c r="AU294" i="27"/>
  <c r="AR296" i="27"/>
  <c r="BA297" i="27"/>
  <c r="AY299" i="27"/>
  <c r="AV301" i="27"/>
  <c r="AS303" i="27"/>
  <c r="AQ305" i="27"/>
  <c r="AZ306" i="27"/>
  <c r="AW308" i="27"/>
  <c r="AU310" i="27"/>
  <c r="AR312" i="27"/>
  <c r="BA313" i="27"/>
  <c r="AY315" i="27"/>
  <c r="AV317" i="27"/>
  <c r="AS319" i="27"/>
  <c r="AQ321" i="27"/>
  <c r="AZ322" i="27"/>
  <c r="AW324" i="27"/>
  <c r="AU326" i="27"/>
  <c r="AR328" i="27"/>
  <c r="BA329" i="27"/>
  <c r="AY331" i="27"/>
  <c r="AS333" i="27"/>
  <c r="AW334" i="27"/>
  <c r="BA335" i="27"/>
  <c r="AS337" i="27"/>
  <c r="AW338" i="27"/>
  <c r="BA339" i="27"/>
  <c r="AS341" i="27"/>
  <c r="AW342" i="27"/>
  <c r="BA343" i="27"/>
  <c r="AS345" i="27"/>
  <c r="AW346" i="27"/>
  <c r="BA347" i="27"/>
  <c r="AS349" i="27"/>
  <c r="AW350" i="27"/>
  <c r="BA351" i="27"/>
  <c r="AS353" i="27"/>
  <c r="AW354" i="27"/>
  <c r="BA355" i="27"/>
  <c r="AS357" i="27"/>
  <c r="AW358" i="27"/>
  <c r="BA359" i="27"/>
  <c r="AS361" i="27"/>
  <c r="AW362" i="27"/>
  <c r="BA363" i="27"/>
  <c r="AS365" i="27"/>
  <c r="AW366" i="27"/>
  <c r="BA367" i="27"/>
  <c r="AS369" i="27"/>
  <c r="AW370" i="27"/>
  <c r="BA371" i="27"/>
  <c r="AS373" i="27"/>
  <c r="AW374" i="27"/>
  <c r="BA375" i="27"/>
  <c r="AS377" i="27"/>
  <c r="AW378" i="27"/>
  <c r="BA379" i="27"/>
  <c r="AS381" i="27"/>
  <c r="AW382" i="27"/>
  <c r="BA383" i="27"/>
  <c r="AS385" i="27"/>
  <c r="AW386" i="27"/>
  <c r="BA387" i="27"/>
  <c r="AS389" i="27"/>
  <c r="AW390" i="27"/>
  <c r="AT391" i="27"/>
  <c r="BB391" i="27"/>
  <c r="AX392" i="27"/>
  <c r="AT393" i="27"/>
  <c r="BB393" i="27"/>
  <c r="AX394" i="27"/>
  <c r="AT395" i="27"/>
  <c r="BB395" i="27"/>
  <c r="AX396" i="27"/>
  <c r="AT397" i="27"/>
  <c r="BB397" i="27"/>
  <c r="AX398" i="27"/>
  <c r="AT399" i="27"/>
  <c r="BB399" i="27"/>
  <c r="AX400" i="27"/>
  <c r="AT401" i="27"/>
  <c r="BB401" i="27"/>
  <c r="AX402" i="27"/>
  <c r="AT403" i="27"/>
  <c r="BB403" i="27"/>
  <c r="AX404" i="27"/>
  <c r="AT405" i="27"/>
  <c r="BB405" i="27"/>
  <c r="AX406" i="27"/>
  <c r="AT407" i="27"/>
  <c r="BB407" i="27"/>
  <c r="AX408" i="27"/>
  <c r="AT409" i="27"/>
  <c r="BB409" i="27"/>
  <c r="AX410" i="27"/>
  <c r="AT411" i="27"/>
  <c r="BB411" i="27"/>
  <c r="AX412" i="27"/>
  <c r="AT413" i="27"/>
  <c r="BB413" i="27"/>
  <c r="AX414" i="27"/>
  <c r="AT415" i="27"/>
  <c r="BB415" i="27"/>
  <c r="AX416" i="27"/>
  <c r="AT417" i="27"/>
  <c r="BB417" i="27"/>
  <c r="AX418" i="27"/>
  <c r="AT419" i="27"/>
  <c r="BB419" i="27"/>
  <c r="AX420" i="27"/>
  <c r="AT421" i="27"/>
  <c r="BB421" i="27"/>
  <c r="AX422" i="27"/>
  <c r="AT423" i="27"/>
  <c r="BB423" i="27"/>
  <c r="AX424" i="27"/>
  <c r="AT425" i="27"/>
  <c r="BB425" i="27"/>
  <c r="AX426" i="27"/>
  <c r="AT427" i="27"/>
  <c r="BB427" i="27"/>
  <c r="AX428" i="27"/>
  <c r="AT429" i="27"/>
  <c r="BB429" i="27"/>
  <c r="AX430" i="27"/>
  <c r="AT431" i="27"/>
  <c r="BB431" i="27"/>
  <c r="AX432" i="27"/>
  <c r="AT433" i="27"/>
  <c r="BB433" i="27"/>
  <c r="AX434" i="27"/>
  <c r="AT435" i="27"/>
  <c r="BB435" i="27"/>
  <c r="AX436" i="27"/>
  <c r="AT437" i="27"/>
  <c r="BB437" i="27"/>
  <c r="AX438" i="27"/>
  <c r="AT439" i="27"/>
  <c r="BB439" i="27"/>
  <c r="AX440" i="27"/>
  <c r="AT441" i="27"/>
  <c r="BB441" i="27"/>
  <c r="AX442" i="27"/>
  <c r="AT443" i="27"/>
  <c r="BB443" i="27"/>
  <c r="AX444" i="27"/>
  <c r="AT445" i="27"/>
  <c r="BB445" i="27"/>
  <c r="AX446" i="27"/>
  <c r="AQ152" i="27"/>
  <c r="AV174" i="27"/>
  <c r="BB191" i="27"/>
  <c r="AV207" i="27"/>
  <c r="AT219" i="27"/>
  <c r="AS231" i="27"/>
  <c r="AW241" i="27"/>
  <c r="AX248" i="27"/>
  <c r="AT255" i="27"/>
  <c r="AW261" i="27"/>
  <c r="AX267" i="27"/>
  <c r="AT273" i="27"/>
  <c r="AX277" i="27"/>
  <c r="AV281" i="27"/>
  <c r="AQ285" i="27"/>
  <c r="AV287" i="27"/>
  <c r="AS289" i="27"/>
  <c r="AQ291" i="27"/>
  <c r="AZ292" i="27"/>
  <c r="AW294" i="27"/>
  <c r="AU296" i="27"/>
  <c r="AR298" i="27"/>
  <c r="BA299" i="27"/>
  <c r="AY301" i="27"/>
  <c r="AV303" i="27"/>
  <c r="AS305" i="27"/>
  <c r="AQ307" i="27"/>
  <c r="AZ308" i="27"/>
  <c r="AW310" i="27"/>
  <c r="AU312" i="27"/>
  <c r="AR314" i="27"/>
  <c r="BA315" i="27"/>
  <c r="AY317" i="27"/>
  <c r="AV319" i="27"/>
  <c r="AS321" i="27"/>
  <c r="AQ323" i="27"/>
  <c r="AZ324" i="27"/>
  <c r="AW326" i="27"/>
  <c r="AU328" i="27"/>
  <c r="AR330" i="27"/>
  <c r="BA331" i="27"/>
  <c r="AU333" i="27"/>
  <c r="AY334" i="27"/>
  <c r="AQ336" i="27"/>
  <c r="AU337" i="27"/>
  <c r="AY338" i="27"/>
  <c r="AQ340" i="27"/>
  <c r="AU341" i="27"/>
  <c r="AY342" i="27"/>
  <c r="AQ344" i="27"/>
  <c r="AU345" i="27"/>
  <c r="AY346" i="27"/>
  <c r="AQ348" i="27"/>
  <c r="AU349" i="27"/>
  <c r="AY350" i="27"/>
  <c r="AQ352" i="27"/>
  <c r="AU353" i="27"/>
  <c r="AY354" i="27"/>
  <c r="AQ356" i="27"/>
  <c r="AU357" i="27"/>
  <c r="AY358" i="27"/>
  <c r="AQ360" i="27"/>
  <c r="AU361" i="27"/>
  <c r="AY362" i="27"/>
  <c r="AQ364" i="27"/>
  <c r="AU365" i="27"/>
  <c r="AY366" i="27"/>
  <c r="AQ368" i="27"/>
  <c r="AU369" i="27"/>
  <c r="AY370" i="27"/>
  <c r="AQ372" i="27"/>
  <c r="AU373" i="27"/>
  <c r="AY374" i="27"/>
  <c r="AQ376" i="27"/>
  <c r="AU377" i="27"/>
  <c r="AY378" i="27"/>
  <c r="AQ380" i="27"/>
  <c r="AU381" i="27"/>
  <c r="AY382" i="27"/>
  <c r="AQ384" i="27"/>
  <c r="AU385" i="27"/>
  <c r="AY386" i="27"/>
  <c r="AQ388" i="27"/>
  <c r="AU389" i="27"/>
  <c r="AY390" i="27"/>
  <c r="AU391" i="27"/>
  <c r="AQ392" i="27"/>
  <c r="AY392" i="27"/>
  <c r="AU393" i="27"/>
  <c r="AQ394" i="27"/>
  <c r="AY394" i="27"/>
  <c r="AU395" i="27"/>
  <c r="AQ396" i="27"/>
  <c r="AY396" i="27"/>
  <c r="AU397" i="27"/>
  <c r="AQ398" i="27"/>
  <c r="AY398" i="27"/>
  <c r="AU399" i="27"/>
  <c r="AQ400" i="27"/>
  <c r="AY400" i="27"/>
  <c r="AU401" i="27"/>
  <c r="AQ402" i="27"/>
  <c r="AY402" i="27"/>
  <c r="AU403" i="27"/>
  <c r="AQ404" i="27"/>
  <c r="AY404" i="27"/>
  <c r="AU405" i="27"/>
  <c r="AQ406" i="27"/>
  <c r="AY406" i="27"/>
  <c r="AU407" i="27"/>
  <c r="AQ408" i="27"/>
  <c r="AY408" i="27"/>
  <c r="AU409" i="27"/>
  <c r="AQ410" i="27"/>
  <c r="AY410" i="27"/>
  <c r="AU411" i="27"/>
  <c r="AQ412" i="27"/>
  <c r="AY412" i="27"/>
  <c r="AU413" i="27"/>
  <c r="AQ414" i="27"/>
  <c r="AY414" i="27"/>
  <c r="AU415" i="27"/>
  <c r="AQ416" i="27"/>
  <c r="AY416" i="27"/>
  <c r="AU417" i="27"/>
  <c r="AQ418" i="27"/>
  <c r="AY418" i="27"/>
  <c r="AU419" i="27"/>
  <c r="AQ420" i="27"/>
  <c r="AY420" i="27"/>
  <c r="AU421" i="27"/>
  <c r="AQ422" i="27"/>
  <c r="AY422" i="27"/>
  <c r="AU423" i="27"/>
  <c r="AQ424" i="27"/>
  <c r="AY424" i="27"/>
  <c r="AU425" i="27"/>
  <c r="AQ426" i="27"/>
  <c r="AY426" i="27"/>
  <c r="AU427" i="27"/>
  <c r="AQ428" i="27"/>
  <c r="AY428" i="27"/>
  <c r="AU429" i="27"/>
  <c r="AQ430" i="27"/>
  <c r="AY430" i="27"/>
  <c r="AU431" i="27"/>
  <c r="AQ432" i="27"/>
  <c r="AY432" i="27"/>
  <c r="AU433" i="27"/>
  <c r="AQ434" i="27"/>
  <c r="AY434" i="27"/>
  <c r="AU435" i="27"/>
  <c r="AQ436" i="27"/>
  <c r="AY436" i="27"/>
  <c r="AU437" i="27"/>
  <c r="AQ438" i="27"/>
  <c r="AY438" i="27"/>
  <c r="AU439" i="27"/>
  <c r="AQ440" i="27"/>
  <c r="AY440" i="27"/>
  <c r="AU441" i="27"/>
  <c r="AQ442" i="27"/>
  <c r="AY442" i="27"/>
  <c r="AU443" i="27"/>
  <c r="AQ444" i="27"/>
  <c r="AY444" i="27"/>
  <c r="AU445" i="27"/>
  <c r="AQ446" i="27"/>
  <c r="AY446" i="27"/>
  <c r="AU58" i="27"/>
  <c r="AS209" i="27"/>
  <c r="AX249" i="27"/>
  <c r="AX273" i="27"/>
  <c r="AY287" i="27"/>
  <c r="AZ294" i="27"/>
  <c r="BA301" i="27"/>
  <c r="AQ309" i="27"/>
  <c r="AR316" i="27"/>
  <c r="AS323" i="27"/>
  <c r="AU330" i="27"/>
  <c r="AS336" i="27"/>
  <c r="AW341" i="27"/>
  <c r="BA346" i="27"/>
  <c r="AS352" i="27"/>
  <c r="AW357" i="27"/>
  <c r="BA362" i="27"/>
  <c r="AS368" i="27"/>
  <c r="AW373" i="27"/>
  <c r="BA378" i="27"/>
  <c r="AS384" i="27"/>
  <c r="AW388" i="27"/>
  <c r="AV391" i="27"/>
  <c r="AS393" i="27"/>
  <c r="BB394" i="27"/>
  <c r="AZ396" i="27"/>
  <c r="AW398" i="27"/>
  <c r="AT400" i="27"/>
  <c r="AR402" i="27"/>
  <c r="AY403" i="27"/>
  <c r="AQ405" i="27"/>
  <c r="AU406" i="27"/>
  <c r="AY407" i="27"/>
  <c r="AQ409" i="27"/>
  <c r="AU410" i="27"/>
  <c r="AY411" i="27"/>
  <c r="AQ413" i="27"/>
  <c r="AU414" i="27"/>
  <c r="AX415" i="27"/>
  <c r="AW416" i="27"/>
  <c r="AY417" i="27"/>
  <c r="AZ418" i="27"/>
  <c r="AZ419" i="27"/>
  <c r="BB420" i="27"/>
  <c r="BA421" i="27"/>
  <c r="AQ423" i="27"/>
  <c r="AR424" i="27"/>
  <c r="AR425" i="27"/>
  <c r="AT426" i="27"/>
  <c r="AS427" i="27"/>
  <c r="AU428" i="27"/>
  <c r="AV429" i="27"/>
  <c r="AV430" i="27"/>
  <c r="AX431" i="27"/>
  <c r="AW432" i="27"/>
  <c r="AY433" i="27"/>
  <c r="AZ434" i="27"/>
  <c r="AZ435" i="27"/>
  <c r="BB436" i="27"/>
  <c r="BA437" i="27"/>
  <c r="AQ439" i="27"/>
  <c r="AR440" i="27"/>
  <c r="AR441" i="27"/>
  <c r="AT442" i="27"/>
  <c r="AS443" i="27"/>
  <c r="AU444" i="27"/>
  <c r="AV445" i="27"/>
  <c r="AV446" i="27"/>
  <c r="AU447" i="27"/>
  <c r="AQ448" i="27"/>
  <c r="AY448" i="27"/>
  <c r="AU449" i="27"/>
  <c r="AQ450" i="27"/>
  <c r="AY450" i="27"/>
  <c r="AU451" i="27"/>
  <c r="AQ452" i="27"/>
  <c r="AY452" i="27"/>
  <c r="AU453" i="27"/>
  <c r="AQ454" i="27"/>
  <c r="AY454" i="27"/>
  <c r="AU455" i="27"/>
  <c r="AQ456" i="27"/>
  <c r="AY456" i="27"/>
  <c r="AU457" i="27"/>
  <c r="AQ458" i="27"/>
  <c r="AY458" i="27"/>
  <c r="AU459" i="27"/>
  <c r="AQ460" i="27"/>
  <c r="AY460" i="27"/>
  <c r="AU461" i="27"/>
  <c r="AQ462" i="27"/>
  <c r="AY462" i="27"/>
  <c r="AU463" i="27"/>
  <c r="AQ464" i="27"/>
  <c r="AY464" i="27"/>
  <c r="AU465" i="27"/>
  <c r="AQ466" i="27"/>
  <c r="AY466" i="27"/>
  <c r="AU467" i="27"/>
  <c r="AQ468" i="27"/>
  <c r="AY468" i="27"/>
  <c r="AU469" i="27"/>
  <c r="AQ470" i="27"/>
  <c r="AY470" i="27"/>
  <c r="AU471" i="27"/>
  <c r="AQ472" i="27"/>
  <c r="AY472" i="27"/>
  <c r="AU473" i="27"/>
  <c r="AQ474" i="27"/>
  <c r="AY474" i="27"/>
  <c r="AU475" i="27"/>
  <c r="AQ476" i="27"/>
  <c r="AY476" i="27"/>
  <c r="AU477" i="27"/>
  <c r="AQ478" i="27"/>
  <c r="AY478" i="27"/>
  <c r="AU479" i="27"/>
  <c r="AQ480" i="27"/>
  <c r="AY480" i="27"/>
  <c r="AU481" i="27"/>
  <c r="AQ482" i="27"/>
  <c r="AY482" i="27"/>
  <c r="AU483" i="27"/>
  <c r="AQ484" i="27"/>
  <c r="AY484" i="27"/>
  <c r="AU485" i="27"/>
  <c r="AQ486" i="27"/>
  <c r="AY486" i="27"/>
  <c r="AU487" i="27"/>
  <c r="AQ488" i="27"/>
  <c r="AY488" i="27"/>
  <c r="AU489" i="27"/>
  <c r="AQ490" i="27"/>
  <c r="AY490" i="27"/>
  <c r="BB138" i="27"/>
  <c r="BB216" i="27"/>
  <c r="AV253" i="27"/>
  <c r="AX276" i="27"/>
  <c r="AZ288" i="27"/>
  <c r="BA295" i="27"/>
  <c r="AQ303" i="27"/>
  <c r="AR310" i="27"/>
  <c r="AS317" i="27"/>
  <c r="AU324" i="27"/>
  <c r="AV331" i="27"/>
  <c r="AQ337" i="27"/>
  <c r="AU342" i="27"/>
  <c r="AY347" i="27"/>
  <c r="AQ353" i="27"/>
  <c r="AU358" i="27"/>
  <c r="AY363" i="27"/>
  <c r="AQ369" i="27"/>
  <c r="AU374" i="27"/>
  <c r="AY379" i="27"/>
  <c r="AQ385" i="27"/>
  <c r="AQ389" i="27"/>
  <c r="AX391" i="27"/>
  <c r="AV393" i="27"/>
  <c r="AS395" i="27"/>
  <c r="BB396" i="27"/>
  <c r="AZ398" i="27"/>
  <c r="AW400" i="27"/>
  <c r="AT402" i="27"/>
  <c r="BA403" i="27"/>
  <c r="AS405" i="27"/>
  <c r="AW406" i="27"/>
  <c r="BA407" i="27"/>
  <c r="AS409" i="27"/>
  <c r="AW410" i="27"/>
  <c r="BA411" i="27"/>
  <c r="AS413" i="27"/>
  <c r="AW414" i="27"/>
  <c r="AY415" i="27"/>
  <c r="AZ416" i="27"/>
  <c r="AZ417" i="27"/>
  <c r="BB418" i="27"/>
  <c r="BA419" i="27"/>
  <c r="AQ421" i="27"/>
  <c r="AR422" i="27"/>
  <c r="AR423" i="27"/>
  <c r="AT424" i="27"/>
  <c r="AS425" i="27"/>
  <c r="AU426" i="27"/>
  <c r="AV427" i="27"/>
  <c r="AV428" i="27"/>
  <c r="AX429" i="27"/>
  <c r="AW430" i="27"/>
  <c r="AY431" i="27"/>
  <c r="AZ432" i="27"/>
  <c r="AZ433" i="27"/>
  <c r="BB434" i="27"/>
  <c r="BA435" i="27"/>
  <c r="AQ437" i="27"/>
  <c r="AR438" i="27"/>
  <c r="AR439" i="27"/>
  <c r="AT440" i="27"/>
  <c r="AS441" i="27"/>
  <c r="AU442" i="27"/>
  <c r="AV443" i="27"/>
  <c r="AV444" i="27"/>
  <c r="AX445" i="27"/>
  <c r="AW446" i="27"/>
  <c r="AV447" i="27"/>
  <c r="AR448" i="27"/>
  <c r="AZ448" i="27"/>
  <c r="AV449" i="27"/>
  <c r="AR450" i="27"/>
  <c r="AZ450" i="27"/>
  <c r="AV451" i="27"/>
  <c r="AR452" i="27"/>
  <c r="AZ452" i="27"/>
  <c r="AV453" i="27"/>
  <c r="AR454" i="27"/>
  <c r="AZ454" i="27"/>
  <c r="AV455" i="27"/>
  <c r="AR456" i="27"/>
  <c r="AZ456" i="27"/>
  <c r="AV457" i="27"/>
  <c r="AR458" i="27"/>
  <c r="AZ458" i="27"/>
  <c r="AV459" i="27"/>
  <c r="AR460" i="27"/>
  <c r="AZ460" i="27"/>
  <c r="AV461" i="27"/>
  <c r="AR462" i="27"/>
  <c r="AZ462" i="27"/>
  <c r="AV463" i="27"/>
  <c r="AR464" i="27"/>
  <c r="AZ464" i="27"/>
  <c r="AV465" i="27"/>
  <c r="AR466" i="27"/>
  <c r="AZ466" i="27"/>
  <c r="AV467" i="27"/>
  <c r="AR468" i="27"/>
  <c r="AZ468" i="27"/>
  <c r="AV469" i="27"/>
  <c r="AR470" i="27"/>
  <c r="AZ470" i="27"/>
  <c r="AV471" i="27"/>
  <c r="AR472" i="27"/>
  <c r="AZ472" i="27"/>
  <c r="AV473" i="27"/>
  <c r="AR474" i="27"/>
  <c r="AZ474" i="27"/>
  <c r="AV475" i="27"/>
  <c r="AR476" i="27"/>
  <c r="AZ476" i="27"/>
  <c r="AV477" i="27"/>
  <c r="AR478" i="27"/>
  <c r="AZ478" i="27"/>
  <c r="AV479" i="27"/>
  <c r="AR480" i="27"/>
  <c r="AZ480" i="27"/>
  <c r="AZ170" i="27"/>
  <c r="BA227" i="27"/>
  <c r="AR260" i="27"/>
  <c r="AX280" i="27"/>
  <c r="AW290" i="27"/>
  <c r="AY297" i="27"/>
  <c r="AZ304" i="27"/>
  <c r="BA311" i="27"/>
  <c r="AQ319" i="27"/>
  <c r="AR326" i="27"/>
  <c r="AQ333" i="27"/>
  <c r="AU338" i="27"/>
  <c r="AY343" i="27"/>
  <c r="AQ349" i="27"/>
  <c r="AU354" i="27"/>
  <c r="AY359" i="27"/>
  <c r="AQ365" i="27"/>
  <c r="AU370" i="27"/>
  <c r="AY375" i="27"/>
  <c r="AQ381" i="27"/>
  <c r="AU386" i="27"/>
  <c r="BA389" i="27"/>
  <c r="AR392" i="27"/>
  <c r="BA393" i="27"/>
  <c r="AX395" i="27"/>
  <c r="AV397" i="27"/>
  <c r="AS399" i="27"/>
  <c r="BB400" i="27"/>
  <c r="AZ402" i="27"/>
  <c r="AT404" i="27"/>
  <c r="AX405" i="27"/>
  <c r="BB406" i="27"/>
  <c r="AT408" i="27"/>
  <c r="AX409" i="27"/>
  <c r="BB410" i="27"/>
  <c r="AT412" i="27"/>
  <c r="AX413" i="27"/>
  <c r="BB414" i="27"/>
  <c r="BA415" i="27"/>
  <c r="AQ417" i="27"/>
  <c r="AR418" i="27"/>
  <c r="AR419" i="27"/>
  <c r="AT420" i="27"/>
  <c r="AS421" i="27"/>
  <c r="AU422" i="27"/>
  <c r="AV423" i="27"/>
  <c r="AV424" i="27"/>
  <c r="AX425" i="27"/>
  <c r="AW426" i="27"/>
  <c r="AY427" i="27"/>
  <c r="AZ428" i="27"/>
  <c r="AZ429" i="27"/>
  <c r="BB430" i="27"/>
  <c r="BA431" i="27"/>
  <c r="AQ433" i="27"/>
  <c r="AR434" i="27"/>
  <c r="AR435" i="27"/>
  <c r="AT436" i="27"/>
  <c r="AS437" i="27"/>
  <c r="AU438" i="27"/>
  <c r="AV439" i="27"/>
  <c r="AV440" i="27"/>
  <c r="AX441" i="27"/>
  <c r="AW442" i="27"/>
  <c r="AY443" i="27"/>
  <c r="AZ444" i="27"/>
  <c r="AZ445" i="27"/>
  <c r="BB446" i="27"/>
  <c r="AX447" i="27"/>
  <c r="AT448" i="27"/>
  <c r="BB448" i="27"/>
  <c r="AX449" i="27"/>
  <c r="AT450" i="27"/>
  <c r="BB450" i="27"/>
  <c r="AX451" i="27"/>
  <c r="AT452" i="27"/>
  <c r="BB452" i="27"/>
  <c r="AX453" i="27"/>
  <c r="AT454" i="27"/>
  <c r="BB454" i="27"/>
  <c r="AX455" i="27"/>
  <c r="AT456" i="27"/>
  <c r="BB456" i="27"/>
  <c r="AX457" i="27"/>
  <c r="AT458" i="27"/>
  <c r="BB458" i="27"/>
  <c r="AX459" i="27"/>
  <c r="AT460" i="27"/>
  <c r="BB460" i="27"/>
  <c r="AX461" i="27"/>
  <c r="AT462" i="27"/>
  <c r="BB462" i="27"/>
  <c r="AX463" i="27"/>
  <c r="AT464" i="27"/>
  <c r="BB464" i="27"/>
  <c r="AX465" i="27"/>
  <c r="AT466" i="27"/>
  <c r="BB466" i="27"/>
  <c r="AX467" i="27"/>
  <c r="AT468" i="27"/>
  <c r="BB468" i="27"/>
  <c r="AX469" i="27"/>
  <c r="AT470" i="27"/>
  <c r="BB470" i="27"/>
  <c r="AX471" i="27"/>
  <c r="AT472" i="27"/>
  <c r="BB472" i="27"/>
  <c r="AX473" i="27"/>
  <c r="AT474" i="27"/>
  <c r="BB474" i="27"/>
  <c r="AX475" i="27"/>
  <c r="AT476" i="27"/>
  <c r="BB476" i="27"/>
  <c r="AX477" i="27"/>
  <c r="AT478" i="27"/>
  <c r="BB478" i="27"/>
  <c r="AX479" i="27"/>
  <c r="AT480" i="27"/>
  <c r="BB480" i="27"/>
  <c r="AX481" i="27"/>
  <c r="AT482" i="27"/>
  <c r="BB482" i="27"/>
  <c r="AX483" i="27"/>
  <c r="AT484" i="27"/>
  <c r="BB484" i="27"/>
  <c r="AX485" i="27"/>
  <c r="AT486" i="27"/>
  <c r="BB486" i="27"/>
  <c r="AX487" i="27"/>
  <c r="AY177" i="27"/>
  <c r="AR232" i="27"/>
  <c r="AU262" i="27"/>
  <c r="AR282" i="27"/>
  <c r="AS291" i="27"/>
  <c r="AU298" i="27"/>
  <c r="AV305" i="27"/>
  <c r="AW312" i="27"/>
  <c r="AY319" i="27"/>
  <c r="AZ326" i="27"/>
  <c r="AW333" i="27"/>
  <c r="BA338" i="27"/>
  <c r="AS344" i="27"/>
  <c r="AW349" i="27"/>
  <c r="BA354" i="27"/>
  <c r="AS360" i="27"/>
  <c r="AW365" i="27"/>
  <c r="BA370" i="27"/>
  <c r="AS376" i="27"/>
  <c r="AW381" i="27"/>
  <c r="BA386" i="27"/>
  <c r="AU390" i="27"/>
  <c r="AT392" i="27"/>
  <c r="AR394" i="27"/>
  <c r="BA395" i="27"/>
  <c r="AX397" i="27"/>
  <c r="AV399" i="27"/>
  <c r="AS401" i="27"/>
  <c r="BB402" i="27"/>
  <c r="AU404" i="27"/>
  <c r="AY405" i="27"/>
  <c r="AQ407" i="27"/>
  <c r="AU408" i="27"/>
  <c r="AY409" i="27"/>
  <c r="AQ411" i="27"/>
  <c r="AU412" i="27"/>
  <c r="AY413" i="27"/>
  <c r="AQ415" i="27"/>
  <c r="AR416" i="27"/>
  <c r="AR417" i="27"/>
  <c r="AT418" i="27"/>
  <c r="AS419" i="27"/>
  <c r="AU420" i="27"/>
  <c r="AV421" i="27"/>
  <c r="AV422" i="27"/>
  <c r="AX423" i="27"/>
  <c r="AW424" i="27"/>
  <c r="AY425" i="27"/>
  <c r="AZ426" i="27"/>
  <c r="AZ427" i="27"/>
  <c r="BB428" i="27"/>
  <c r="BA429" i="27"/>
  <c r="AQ431" i="27"/>
  <c r="AR432" i="27"/>
  <c r="AR433" i="27"/>
  <c r="AT434" i="27"/>
  <c r="AS435" i="27"/>
  <c r="AU436" i="27"/>
  <c r="AV437" i="27"/>
  <c r="AV438" i="27"/>
  <c r="AX439" i="27"/>
  <c r="AW440" i="27"/>
  <c r="AY441" i="27"/>
  <c r="AZ442" i="27"/>
  <c r="AZ443" i="27"/>
  <c r="BB444" i="27"/>
  <c r="BA445" i="27"/>
  <c r="AQ447" i="27"/>
  <c r="AY447" i="27"/>
  <c r="AU448" i="27"/>
  <c r="AQ449" i="27"/>
  <c r="AY449" i="27"/>
  <c r="AU450" i="27"/>
  <c r="AQ451" i="27"/>
  <c r="AY451" i="27"/>
  <c r="AU452" i="27"/>
  <c r="AQ453" i="27"/>
  <c r="AY453" i="27"/>
  <c r="AU454" i="27"/>
  <c r="AQ455" i="27"/>
  <c r="AY455" i="27"/>
  <c r="AU456" i="27"/>
  <c r="AQ457" i="27"/>
  <c r="AY457" i="27"/>
  <c r="AU458" i="27"/>
  <c r="AQ459" i="27"/>
  <c r="AY459" i="27"/>
  <c r="AU460" i="27"/>
  <c r="AQ461" i="27"/>
  <c r="AY461" i="27"/>
  <c r="AU462" i="27"/>
  <c r="AQ463" i="27"/>
  <c r="AY463" i="27"/>
  <c r="AU464" i="27"/>
  <c r="AQ465" i="27"/>
  <c r="AY465" i="27"/>
  <c r="AU466" i="27"/>
  <c r="AQ467" i="27"/>
  <c r="AY467" i="27"/>
  <c r="AU468" i="27"/>
  <c r="AQ469" i="27"/>
  <c r="AY469" i="27"/>
  <c r="AU470" i="27"/>
  <c r="AQ471" i="27"/>
  <c r="AY471" i="27"/>
  <c r="AU472" i="27"/>
  <c r="AQ473" i="27"/>
  <c r="AY473" i="27"/>
  <c r="AU474" i="27"/>
  <c r="AQ475" i="27"/>
  <c r="AY475" i="27"/>
  <c r="AU476" i="27"/>
  <c r="AQ477" i="27"/>
  <c r="AY477" i="27"/>
  <c r="AU478" i="27"/>
  <c r="AQ479" i="27"/>
  <c r="AY479" i="27"/>
  <c r="AU480" i="27"/>
  <c r="AQ481" i="27"/>
  <c r="AY481" i="27"/>
  <c r="AU482" i="27"/>
  <c r="AQ483" i="27"/>
  <c r="AY483" i="27"/>
  <c r="AU484" i="27"/>
  <c r="AQ485" i="27"/>
  <c r="AY485" i="27"/>
  <c r="AU486" i="27"/>
  <c r="AQ487" i="27"/>
  <c r="AY487" i="27"/>
  <c r="AU488" i="27"/>
  <c r="AQ489" i="27"/>
  <c r="AY489" i="27"/>
  <c r="AU490" i="27"/>
  <c r="AQ491" i="27"/>
  <c r="AW187" i="27"/>
  <c r="AV239" i="27"/>
  <c r="AT266" i="27"/>
  <c r="AT284" i="27"/>
  <c r="AU292" i="27"/>
  <c r="AV299" i="27"/>
  <c r="AW306" i="27"/>
  <c r="AY313" i="27"/>
  <c r="AZ320" i="27"/>
  <c r="BA327" i="27"/>
  <c r="AU334" i="27"/>
  <c r="AY339" i="27"/>
  <c r="AQ345" i="27"/>
  <c r="AU350" i="27"/>
  <c r="AY355" i="27"/>
  <c r="AQ361" i="27"/>
  <c r="AU366" i="27"/>
  <c r="AY371" i="27"/>
  <c r="AQ377" i="27"/>
  <c r="AU382" i="27"/>
  <c r="AS387" i="27"/>
  <c r="AZ390" i="27"/>
  <c r="AW392" i="27"/>
  <c r="AT394" i="27"/>
  <c r="AR396" i="27"/>
  <c r="BA397" i="27"/>
  <c r="AX399" i="27"/>
  <c r="AV401" i="27"/>
  <c r="AS403" i="27"/>
  <c r="AW404" i="27"/>
  <c r="BA405" i="27"/>
  <c r="AS407" i="27"/>
  <c r="AW408" i="27"/>
  <c r="BA409" i="27"/>
  <c r="AS411" i="27"/>
  <c r="AW412" i="27"/>
  <c r="BA413" i="27"/>
  <c r="AR415" i="27"/>
  <c r="AT416" i="27"/>
  <c r="AS417" i="27"/>
  <c r="AU418" i="27"/>
  <c r="AV419" i="27"/>
  <c r="AV420" i="27"/>
  <c r="AX421" i="27"/>
  <c r="AW422" i="27"/>
  <c r="AY423" i="27"/>
  <c r="AZ424" i="27"/>
  <c r="AZ425" i="27"/>
  <c r="BB426" i="27"/>
  <c r="BA427" i="27"/>
  <c r="AQ429" i="27"/>
  <c r="AR430" i="27"/>
  <c r="AR431" i="27"/>
  <c r="AT432" i="27"/>
  <c r="AS433" i="27"/>
  <c r="AU434" i="27"/>
  <c r="AV435" i="27"/>
  <c r="AV436" i="27"/>
  <c r="AX437" i="27"/>
  <c r="AW438" i="27"/>
  <c r="AY439" i="27"/>
  <c r="AZ440" i="27"/>
  <c r="AZ441" i="27"/>
  <c r="BB442" i="27"/>
  <c r="BA443" i="27"/>
  <c r="AQ445" i="27"/>
  <c r="AR446" i="27"/>
  <c r="AR447" i="27"/>
  <c r="AZ447" i="27"/>
  <c r="AV448" i="27"/>
  <c r="AR449" i="27"/>
  <c r="AZ449" i="27"/>
  <c r="AV450" i="27"/>
  <c r="AR451" i="27"/>
  <c r="AZ451" i="27"/>
  <c r="AV452" i="27"/>
  <c r="AR453" i="27"/>
  <c r="AZ453" i="27"/>
  <c r="AV454" i="27"/>
  <c r="AR455" i="27"/>
  <c r="AZ455" i="27"/>
  <c r="AV456" i="27"/>
  <c r="AR457" i="27"/>
  <c r="AZ457" i="27"/>
  <c r="AV458" i="27"/>
  <c r="AT193" i="27"/>
  <c r="AZ242" i="27"/>
  <c r="AX268" i="27"/>
  <c r="AT285" i="27"/>
  <c r="AQ293" i="27"/>
  <c r="AR300" i="27"/>
  <c r="AS307" i="27"/>
  <c r="AU314" i="27"/>
  <c r="AV321" i="27"/>
  <c r="AW328" i="27"/>
  <c r="BA334" i="27"/>
  <c r="AS340" i="27"/>
  <c r="AW345" i="27"/>
  <c r="BA350" i="27"/>
  <c r="AS356" i="27"/>
  <c r="AW361" i="27"/>
  <c r="BA366" i="27"/>
  <c r="AS372" i="27"/>
  <c r="AW377" i="27"/>
  <c r="BA382" i="27"/>
  <c r="AY387" i="27"/>
  <c r="BB390" i="27"/>
  <c r="AZ392" i="27"/>
  <c r="AW394" i="27"/>
  <c r="AT396" i="27"/>
  <c r="AR398" i="27"/>
  <c r="BA399" i="27"/>
  <c r="AX401" i="27"/>
  <c r="AV403" i="27"/>
  <c r="AZ404" i="27"/>
  <c r="AR406" i="27"/>
  <c r="AV407" i="27"/>
  <c r="AZ408" i="27"/>
  <c r="AR410" i="27"/>
  <c r="AV411" i="27"/>
  <c r="AZ412" i="27"/>
  <c r="AR414" i="27"/>
  <c r="AS415" i="27"/>
  <c r="AU416" i="27"/>
  <c r="AV417" i="27"/>
  <c r="AV418" i="27"/>
  <c r="AX419" i="27"/>
  <c r="AW420" i="27"/>
  <c r="AY421" i="27"/>
  <c r="AZ422" i="27"/>
  <c r="AZ423" i="27"/>
  <c r="BB424" i="27"/>
  <c r="BA425" i="27"/>
  <c r="AQ427" i="27"/>
  <c r="AR428" i="27"/>
  <c r="AR429" i="27"/>
  <c r="AT430" i="27"/>
  <c r="AS431" i="27"/>
  <c r="AU432" i="27"/>
  <c r="AV433" i="27"/>
  <c r="AV434" i="27"/>
  <c r="AX435" i="27"/>
  <c r="AW436" i="27"/>
  <c r="AY437" i="27"/>
  <c r="AZ438" i="27"/>
  <c r="AZ439" i="27"/>
  <c r="BB440" i="27"/>
  <c r="BA441" i="27"/>
  <c r="AQ443" i="27"/>
  <c r="AR444" i="27"/>
  <c r="AR445" i="27"/>
  <c r="AT446" i="27"/>
  <c r="AS447" i="27"/>
  <c r="BA447" i="27"/>
  <c r="AW448" i="27"/>
  <c r="AS449" i="27"/>
  <c r="BA449" i="27"/>
  <c r="AW450" i="27"/>
  <c r="AS451" i="27"/>
  <c r="BA451" i="27"/>
  <c r="AW452" i="27"/>
  <c r="AS453" i="27"/>
  <c r="BA453" i="27"/>
  <c r="AW454" i="27"/>
  <c r="AS455" i="27"/>
  <c r="BA455" i="27"/>
  <c r="AW456" i="27"/>
  <c r="AS457" i="27"/>
  <c r="BA457" i="27"/>
  <c r="AW458" i="27"/>
  <c r="AS459" i="27"/>
  <c r="BA459" i="27"/>
  <c r="AW460" i="27"/>
  <c r="AS461" i="27"/>
  <c r="BA461" i="27"/>
  <c r="AW462" i="27"/>
  <c r="AS463" i="27"/>
  <c r="BA463" i="27"/>
  <c r="AW464" i="27"/>
  <c r="AS465" i="27"/>
  <c r="BA465" i="27"/>
  <c r="AW466" i="27"/>
  <c r="AS467" i="27"/>
  <c r="BA467" i="27"/>
  <c r="AW468" i="27"/>
  <c r="AS469" i="27"/>
  <c r="BA469" i="27"/>
  <c r="AW470" i="27"/>
  <c r="AS471" i="27"/>
  <c r="BA471" i="27"/>
  <c r="AW472" i="27"/>
  <c r="AS473" i="27"/>
  <c r="BA473" i="27"/>
  <c r="AW474" i="27"/>
  <c r="AS475" i="27"/>
  <c r="BA475" i="27"/>
  <c r="AW476" i="27"/>
  <c r="AS477" i="27"/>
  <c r="BA477" i="27"/>
  <c r="AW478" i="27"/>
  <c r="AS479" i="27"/>
  <c r="BA479" i="27"/>
  <c r="AW480" i="27"/>
  <c r="AS481" i="27"/>
  <c r="BA481" i="27"/>
  <c r="AW482" i="27"/>
  <c r="AS483" i="27"/>
  <c r="BA483" i="27"/>
  <c r="AW484" i="27"/>
  <c r="AS485" i="27"/>
  <c r="BA485" i="27"/>
  <c r="AW486" i="27"/>
  <c r="AS487" i="27"/>
  <c r="BA487" i="27"/>
  <c r="AV203" i="27"/>
  <c r="AR294" i="27"/>
  <c r="AW322" i="27"/>
  <c r="AU346" i="27"/>
  <c r="AY367" i="27"/>
  <c r="AS388" i="27"/>
  <c r="AW396" i="27"/>
  <c r="AX403" i="27"/>
  <c r="BB408" i="27"/>
  <c r="AT414" i="27"/>
  <c r="AW418" i="27"/>
  <c r="BB422" i="27"/>
  <c r="AR427" i="27"/>
  <c r="AV431" i="27"/>
  <c r="AY435" i="27"/>
  <c r="BA439" i="27"/>
  <c r="AT444" i="27"/>
  <c r="AT247" i="27"/>
  <c r="AS301" i="27"/>
  <c r="AY329" i="27"/>
  <c r="AY351" i="27"/>
  <c r="AQ373" i="27"/>
  <c r="AS391" i="27"/>
  <c r="AT398" i="27"/>
  <c r="BB404" i="27"/>
  <c r="AT410" i="27"/>
  <c r="AV415" i="27"/>
  <c r="AY419" i="27"/>
  <c r="BA423" i="27"/>
  <c r="AT428" i="27"/>
  <c r="AV432" i="27"/>
  <c r="AZ436" i="27"/>
  <c r="AQ441" i="27"/>
  <c r="AS445" i="27"/>
  <c r="AX448" i="27"/>
  <c r="AT451" i="27"/>
  <c r="BB453" i="27"/>
  <c r="AX456" i="27"/>
  <c r="AR459" i="27"/>
  <c r="BA460" i="27"/>
  <c r="AX462" i="27"/>
  <c r="AV464" i="27"/>
  <c r="AS466" i="27"/>
  <c r="BB467" i="27"/>
  <c r="AZ469" i="27"/>
  <c r="AW471" i="27"/>
  <c r="AT473" i="27"/>
  <c r="AR475" i="27"/>
  <c r="BA476" i="27"/>
  <c r="AX478" i="27"/>
  <c r="AV480" i="27"/>
  <c r="BB481" i="27"/>
  <c r="AT483" i="27"/>
  <c r="AX484" i="27"/>
  <c r="BB485" i="27"/>
  <c r="AT487" i="27"/>
  <c r="AV488" i="27"/>
  <c r="AT489" i="27"/>
  <c r="AS490" i="27"/>
  <c r="AR491" i="27"/>
  <c r="AZ491" i="27"/>
  <c r="AV492" i="27"/>
  <c r="AR493" i="27"/>
  <c r="AZ493" i="27"/>
  <c r="AV494" i="27"/>
  <c r="AR495" i="27"/>
  <c r="AZ495" i="27"/>
  <c r="AV496" i="27"/>
  <c r="AR497" i="27"/>
  <c r="AZ497" i="27"/>
  <c r="AV498" i="27"/>
  <c r="AR499" i="27"/>
  <c r="AZ499" i="27"/>
  <c r="AV500" i="27"/>
  <c r="AR501" i="27"/>
  <c r="AZ501" i="27"/>
  <c r="AV502" i="27"/>
  <c r="AR503" i="27"/>
  <c r="AZ503" i="27"/>
  <c r="AV504" i="27"/>
  <c r="AR505" i="27"/>
  <c r="AZ505" i="27"/>
  <c r="AV506" i="27"/>
  <c r="AR507" i="27"/>
  <c r="AZ507" i="27"/>
  <c r="AV508" i="27"/>
  <c r="AR509" i="27"/>
  <c r="AZ509" i="27"/>
  <c r="AV510" i="27"/>
  <c r="AR511" i="27"/>
  <c r="AZ511" i="27"/>
  <c r="AV405" i="27"/>
  <c r="AR437" i="27"/>
  <c r="AV441" i="27"/>
  <c r="AY445" i="27"/>
  <c r="BA448" i="27"/>
  <c r="AW451" i="27"/>
  <c r="AS454" i="27"/>
  <c r="BA456" i="27"/>
  <c r="AT459" i="27"/>
  <c r="AR461" i="27"/>
  <c r="BA462" i="27"/>
  <c r="AX464" i="27"/>
  <c r="AV466" i="27"/>
  <c r="BB469" i="27"/>
  <c r="AZ471" i="27"/>
  <c r="AW473" i="27"/>
  <c r="AT475" i="27"/>
  <c r="AR477" i="27"/>
  <c r="BA478" i="27"/>
  <c r="AX480" i="27"/>
  <c r="AR482" i="27"/>
  <c r="AV483" i="27"/>
  <c r="AZ484" i="27"/>
  <c r="AR486" i="27"/>
  <c r="AV487" i="27"/>
  <c r="AW488" i="27"/>
  <c r="AV489" i="27"/>
  <c r="AT490" i="27"/>
  <c r="AS491" i="27"/>
  <c r="BA491" i="27"/>
  <c r="AW492" i="27"/>
  <c r="AS493" i="27"/>
  <c r="BA493" i="27"/>
  <c r="AW494" i="27"/>
  <c r="AS495" i="27"/>
  <c r="BA495" i="27"/>
  <c r="AW496" i="27"/>
  <c r="AS497" i="27"/>
  <c r="BA497" i="27"/>
  <c r="AW498" i="27"/>
  <c r="AS499" i="27"/>
  <c r="BA499" i="27"/>
  <c r="AW500" i="27"/>
  <c r="AS501" i="27"/>
  <c r="AW502" i="27"/>
  <c r="AS503" i="27"/>
  <c r="BA503" i="27"/>
  <c r="AW504" i="27"/>
  <c r="AS505" i="27"/>
  <c r="BA505" i="27"/>
  <c r="AW506" i="27"/>
  <c r="AS507" i="27"/>
  <c r="BA507" i="27"/>
  <c r="AW508" i="27"/>
  <c r="AS509" i="27"/>
  <c r="BA509" i="27"/>
  <c r="AW510" i="27"/>
  <c r="AS511" i="27"/>
  <c r="BA511" i="27"/>
  <c r="AX508" i="27"/>
  <c r="AY255" i="27"/>
  <c r="AY303" i="27"/>
  <c r="AR332" i="27"/>
  <c r="AW353" i="27"/>
  <c r="BA374" i="27"/>
  <c r="BA391" i="27"/>
  <c r="BB398" i="27"/>
  <c r="AZ410" i="27"/>
  <c r="AZ415" i="27"/>
  <c r="AR420" i="27"/>
  <c r="AU424" i="27"/>
  <c r="AW428" i="27"/>
  <c r="BB432" i="27"/>
  <c r="AS468" i="27"/>
  <c r="BA501" i="27"/>
  <c r="AZ271" i="27"/>
  <c r="AU308" i="27"/>
  <c r="AY335" i="27"/>
  <c r="AQ357" i="27"/>
  <c r="AU378" i="27"/>
  <c r="BB392" i="27"/>
  <c r="AR400" i="27"/>
  <c r="AT406" i="27"/>
  <c r="AX411" i="27"/>
  <c r="AV416" i="27"/>
  <c r="AZ420" i="27"/>
  <c r="AQ425" i="27"/>
  <c r="AS429" i="27"/>
  <c r="AX433" i="27"/>
  <c r="AZ437" i="27"/>
  <c r="AR442" i="27"/>
  <c r="AU446" i="27"/>
  <c r="AT449" i="27"/>
  <c r="BB451" i="27"/>
  <c r="AX454" i="27"/>
  <c r="AT457" i="27"/>
  <c r="AW459" i="27"/>
  <c r="AT461" i="27"/>
  <c r="AR463" i="27"/>
  <c r="BA464" i="27"/>
  <c r="AX466" i="27"/>
  <c r="AV468" i="27"/>
  <c r="AS470" i="27"/>
  <c r="BB471" i="27"/>
  <c r="AZ473" i="27"/>
  <c r="AW475" i="27"/>
  <c r="AT477" i="27"/>
  <c r="AR479" i="27"/>
  <c r="BA480" i="27"/>
  <c r="AS482" i="27"/>
  <c r="AW483" i="27"/>
  <c r="BA484" i="27"/>
  <c r="AS486" i="27"/>
  <c r="AW487" i="27"/>
  <c r="AX488" i="27"/>
  <c r="AW489" i="27"/>
  <c r="AV490" i="27"/>
  <c r="AT491" i="27"/>
  <c r="BB491" i="27"/>
  <c r="AX492" i="27"/>
  <c r="AT493" i="27"/>
  <c r="BB493" i="27"/>
  <c r="AX494" i="27"/>
  <c r="AT495" i="27"/>
  <c r="BB495" i="27"/>
  <c r="AX496" i="27"/>
  <c r="AT497" i="27"/>
  <c r="BB497" i="27"/>
  <c r="AX498" i="27"/>
  <c r="AT499" i="27"/>
  <c r="BB499" i="27"/>
  <c r="AX500" i="27"/>
  <c r="AT501" i="27"/>
  <c r="BB501" i="27"/>
  <c r="AX502" i="27"/>
  <c r="AT503" i="27"/>
  <c r="BB503" i="27"/>
  <c r="AX504" i="27"/>
  <c r="AT505" i="27"/>
  <c r="BB505" i="27"/>
  <c r="AX506" i="27"/>
  <c r="AT507" i="27"/>
  <c r="BB507" i="27"/>
  <c r="AT509" i="27"/>
  <c r="BB509" i="27"/>
  <c r="AX510" i="27"/>
  <c r="AT511" i="27"/>
  <c r="BB511" i="27"/>
  <c r="AR278" i="27"/>
  <c r="AZ310" i="27"/>
  <c r="AW337" i="27"/>
  <c r="BA358" i="27"/>
  <c r="AS380" i="27"/>
  <c r="AX393" i="27"/>
  <c r="AZ400" i="27"/>
  <c r="AZ406" i="27"/>
  <c r="AR412" i="27"/>
  <c r="BB416" i="27"/>
  <c r="AR421" i="27"/>
  <c r="AV425" i="27"/>
  <c r="AY429" i="27"/>
  <c r="BA433" i="27"/>
  <c r="AT438" i="27"/>
  <c r="AV442" i="27"/>
  <c r="AZ446" i="27"/>
  <c r="AW449" i="27"/>
  <c r="AS452" i="27"/>
  <c r="BA454" i="27"/>
  <c r="AW457" i="27"/>
  <c r="AZ459" i="27"/>
  <c r="AW461" i="27"/>
  <c r="AT463" i="27"/>
  <c r="AR465" i="27"/>
  <c r="BA466" i="27"/>
  <c r="AX468" i="27"/>
  <c r="AV470" i="27"/>
  <c r="AS472" i="27"/>
  <c r="BB473" i="27"/>
  <c r="AZ475" i="27"/>
  <c r="AW477" i="27"/>
  <c r="AT479" i="27"/>
  <c r="AR481" i="27"/>
  <c r="AV482" i="27"/>
  <c r="AZ483" i="27"/>
  <c r="AR485" i="27"/>
  <c r="AV486" i="27"/>
  <c r="AZ487" i="27"/>
  <c r="AZ488" i="27"/>
  <c r="AX489" i="27"/>
  <c r="AW490" i="27"/>
  <c r="AU491" i="27"/>
  <c r="AQ492" i="27"/>
  <c r="AY492" i="27"/>
  <c r="AU493" i="27"/>
  <c r="AQ494" i="27"/>
  <c r="AY494" i="27"/>
  <c r="AU495" i="27"/>
  <c r="AQ496" i="27"/>
  <c r="AY496" i="27"/>
  <c r="AU497" i="27"/>
  <c r="AQ498" i="27"/>
  <c r="AY498" i="27"/>
  <c r="AU499" i="27"/>
  <c r="AQ500" i="27"/>
  <c r="AY500" i="27"/>
  <c r="AU501" i="27"/>
  <c r="AQ502" i="27"/>
  <c r="AY502" i="27"/>
  <c r="AU503" i="27"/>
  <c r="AQ504" i="27"/>
  <c r="AY504" i="27"/>
  <c r="AU505" i="27"/>
  <c r="AQ506" i="27"/>
  <c r="AY506" i="27"/>
  <c r="AU507" i="27"/>
  <c r="AQ508" i="27"/>
  <c r="AY508" i="27"/>
  <c r="AU509" i="27"/>
  <c r="AQ510" i="27"/>
  <c r="AY510" i="27"/>
  <c r="AU511" i="27"/>
  <c r="AQ287" i="27"/>
  <c r="AV315" i="27"/>
  <c r="AQ341" i="27"/>
  <c r="AU362" i="27"/>
  <c r="AY383" i="27"/>
  <c r="AZ394" i="27"/>
  <c r="BA401" i="27"/>
  <c r="AX407" i="27"/>
  <c r="BB412" i="27"/>
  <c r="AX417" i="27"/>
  <c r="AZ421" i="27"/>
  <c r="AR426" i="27"/>
  <c r="AU430" i="27"/>
  <c r="AW434" i="27"/>
  <c r="BB438" i="27"/>
  <c r="AR443" i="27"/>
  <c r="AT447" i="27"/>
  <c r="BB449" i="27"/>
  <c r="AX452" i="27"/>
  <c r="AT455" i="27"/>
  <c r="BB457" i="27"/>
  <c r="BB459" i="27"/>
  <c r="AZ461" i="27"/>
  <c r="AW463" i="27"/>
  <c r="AT465" i="27"/>
  <c r="AR467" i="27"/>
  <c r="BA468" i="27"/>
  <c r="AX470" i="27"/>
  <c r="AV472" i="27"/>
  <c r="AS474" i="27"/>
  <c r="BB475" i="27"/>
  <c r="AZ477" i="27"/>
  <c r="AW479" i="27"/>
  <c r="AT481" i="27"/>
  <c r="AX482" i="27"/>
  <c r="BB483" i="27"/>
  <c r="AT485" i="27"/>
  <c r="AX486" i="27"/>
  <c r="BB487" i="27"/>
  <c r="BA488" i="27"/>
  <c r="AZ489" i="27"/>
  <c r="AX490" i="27"/>
  <c r="AV491" i="27"/>
  <c r="AR492" i="27"/>
  <c r="AZ492" i="27"/>
  <c r="AV493" i="27"/>
  <c r="AR494" i="27"/>
  <c r="AZ494" i="27"/>
  <c r="AV495" i="27"/>
  <c r="AR496" i="27"/>
  <c r="AZ496" i="27"/>
  <c r="AV497" i="27"/>
  <c r="AR498" i="27"/>
  <c r="AZ498" i="27"/>
  <c r="AV499" i="27"/>
  <c r="AR500" i="27"/>
  <c r="AZ500" i="27"/>
  <c r="AV501" i="27"/>
  <c r="AR502" i="27"/>
  <c r="AZ502" i="27"/>
  <c r="AV503" i="27"/>
  <c r="AR504" i="27"/>
  <c r="AZ504" i="27"/>
  <c r="AV505" i="27"/>
  <c r="AR506" i="27"/>
  <c r="AZ506" i="27"/>
  <c r="AV507" i="27"/>
  <c r="AR508" i="27"/>
  <c r="AZ508" i="27"/>
  <c r="AV509" i="27"/>
  <c r="AR510" i="27"/>
  <c r="AZ510" i="27"/>
  <c r="AV511" i="27"/>
  <c r="AY156" i="27"/>
  <c r="AV289" i="27"/>
  <c r="BA317" i="27"/>
  <c r="AV395" i="27"/>
  <c r="AW402" i="27"/>
  <c r="AR408" i="27"/>
  <c r="AV413" i="27"/>
  <c r="BA417" i="27"/>
  <c r="AT422" i="27"/>
  <c r="AV426" i="27"/>
  <c r="AZ430" i="27"/>
  <c r="AQ435" i="27"/>
  <c r="AS439" i="27"/>
  <c r="AX443" i="27"/>
  <c r="AW447" i="27"/>
  <c r="AS450" i="27"/>
  <c r="BA452" i="27"/>
  <c r="AW455" i="27"/>
  <c r="AS458" i="27"/>
  <c r="AS460" i="27"/>
  <c r="BB461" i="27"/>
  <c r="AZ463" i="27"/>
  <c r="AW465" i="27"/>
  <c r="AT467" i="27"/>
  <c r="AW296" i="27"/>
  <c r="AS397" i="27"/>
  <c r="AR436" i="27"/>
  <c r="AW453" i="27"/>
  <c r="AV462" i="27"/>
  <c r="AT469" i="27"/>
  <c r="AV474" i="27"/>
  <c r="AV478" i="27"/>
  <c r="BA482" i="27"/>
  <c r="AZ486" i="27"/>
  <c r="AS489" i="27"/>
  <c r="AX491" i="27"/>
  <c r="AW493" i="27"/>
  <c r="AQ495" i="27"/>
  <c r="BB496" i="27"/>
  <c r="BA498" i="27"/>
  <c r="AU500" i="27"/>
  <c r="AT502" i="27"/>
  <c r="AS504" i="27"/>
  <c r="AY505" i="27"/>
  <c r="AX507" i="27"/>
  <c r="AW509" i="27"/>
  <c r="AQ511" i="27"/>
  <c r="AR488" i="27"/>
  <c r="AS448" i="27"/>
  <c r="AT494" i="27"/>
  <c r="AU508" i="27"/>
  <c r="AQ325" i="27"/>
  <c r="AR404" i="27"/>
  <c r="AU440" i="27"/>
  <c r="BB455" i="27"/>
  <c r="BB463" i="27"/>
  <c r="AW469" i="27"/>
  <c r="AX474" i="27"/>
  <c r="AZ479" i="27"/>
  <c r="AR483" i="27"/>
  <c r="BA486" i="27"/>
  <c r="BA489" i="27"/>
  <c r="AY491" i="27"/>
  <c r="AX493" i="27"/>
  <c r="AW495" i="27"/>
  <c r="AQ497" i="27"/>
  <c r="BB498" i="27"/>
  <c r="BA500" i="27"/>
  <c r="AU502" i="27"/>
  <c r="AT504" i="27"/>
  <c r="AS506" i="27"/>
  <c r="AY507" i="27"/>
  <c r="AX509" i="27"/>
  <c r="AW511" i="27"/>
  <c r="AS348" i="27"/>
  <c r="BB447" i="27"/>
  <c r="AZ465" i="27"/>
  <c r="AS476" i="27"/>
  <c r="AS484" i="27"/>
  <c r="AR490" i="27"/>
  <c r="AY495" i="27"/>
  <c r="AW499" i="27"/>
  <c r="BB502" i="27"/>
  <c r="AU506" i="27"/>
  <c r="AS510" i="27"/>
  <c r="AS364" i="27"/>
  <c r="AZ490" i="27"/>
  <c r="AQ503" i="27"/>
  <c r="BA342" i="27"/>
  <c r="AV409" i="27"/>
  <c r="AW444" i="27"/>
  <c r="AS456" i="27"/>
  <c r="AS464" i="27"/>
  <c r="BA470" i="27"/>
  <c r="BA474" i="27"/>
  <c r="BB479" i="27"/>
  <c r="AR484" i="27"/>
  <c r="AR487" i="27"/>
  <c r="BB489" i="27"/>
  <c r="AS492" i="27"/>
  <c r="AY493" i="27"/>
  <c r="AX495" i="27"/>
  <c r="AW497" i="27"/>
  <c r="AQ499" i="27"/>
  <c r="BB500" i="27"/>
  <c r="BA502" i="27"/>
  <c r="AU504" i="27"/>
  <c r="AT506" i="27"/>
  <c r="AS508" i="27"/>
  <c r="AY509" i="27"/>
  <c r="AX511" i="27"/>
  <c r="AZ414" i="27"/>
  <c r="AX458" i="27"/>
  <c r="AR471" i="27"/>
  <c r="AS480" i="27"/>
  <c r="AT492" i="27"/>
  <c r="AX497" i="27"/>
  <c r="AQ501" i="27"/>
  <c r="BA504" i="27"/>
  <c r="AT508" i="27"/>
  <c r="AY511" i="27"/>
  <c r="AQ419" i="27"/>
  <c r="AS496" i="27"/>
  <c r="AT510" i="27"/>
  <c r="AS494" i="27"/>
  <c r="BA458" i="27"/>
  <c r="AS488" i="27"/>
  <c r="AX499" i="27"/>
  <c r="BB504" i="27"/>
  <c r="AW369" i="27"/>
  <c r="AS423" i="27"/>
  <c r="AX450" i="27"/>
  <c r="AV460" i="27"/>
  <c r="AW467" i="27"/>
  <c r="AX472" i="27"/>
  <c r="AX476" i="27"/>
  <c r="AW481" i="27"/>
  <c r="AV485" i="27"/>
  <c r="AT488" i="27"/>
  <c r="BA490" i="27"/>
  <c r="BA492" i="27"/>
  <c r="AU494" i="27"/>
  <c r="AT496" i="27"/>
  <c r="AS498" i="27"/>
  <c r="AY499" i="27"/>
  <c r="AX501" i="27"/>
  <c r="AW503" i="27"/>
  <c r="AQ505" i="27"/>
  <c r="BB506" i="27"/>
  <c r="BA508" i="27"/>
  <c r="AU510" i="27"/>
  <c r="AT221" i="27"/>
  <c r="AR473" i="27"/>
  <c r="AZ485" i="27"/>
  <c r="AQ493" i="27"/>
  <c r="BA496" i="27"/>
  <c r="AT500" i="27"/>
  <c r="AY503" i="27"/>
  <c r="AW507" i="27"/>
  <c r="BB510" i="27"/>
  <c r="AT471" i="27"/>
  <c r="AV481" i="27"/>
  <c r="AU492" i="27"/>
  <c r="AW501" i="27"/>
  <c r="AW385" i="27"/>
  <c r="AX427" i="27"/>
  <c r="BA450" i="27"/>
  <c r="AX460" i="27"/>
  <c r="AZ467" i="27"/>
  <c r="BA472" i="27"/>
  <c r="BB477" i="27"/>
  <c r="AZ481" i="27"/>
  <c r="AW485" i="27"/>
  <c r="BB488" i="27"/>
  <c r="BB490" i="27"/>
  <c r="BB492" i="27"/>
  <c r="BA494" i="27"/>
  <c r="AU496" i="27"/>
  <c r="AT498" i="27"/>
  <c r="AS500" i="27"/>
  <c r="AY501" i="27"/>
  <c r="AX503" i="27"/>
  <c r="AW505" i="27"/>
  <c r="AQ507" i="27"/>
  <c r="BB508" i="27"/>
  <c r="BA510" i="27"/>
  <c r="AW389" i="27"/>
  <c r="AZ431" i="27"/>
  <c r="AT453" i="27"/>
  <c r="AS462" i="27"/>
  <c r="AR469" i="27"/>
  <c r="AS478" i="27"/>
  <c r="AZ482" i="27"/>
  <c r="AR489" i="27"/>
  <c r="AW491" i="27"/>
  <c r="BB494" i="27"/>
  <c r="AU498" i="27"/>
  <c r="AS502" i="27"/>
  <c r="AX505" i="27"/>
  <c r="AQ509" i="27"/>
  <c r="BB465" i="27"/>
  <c r="AV476" i="27"/>
  <c r="AV484" i="27"/>
  <c r="AY497" i="27"/>
  <c r="BA506" i="27"/>
  <c r="AR148" i="27"/>
  <c r="AZ142" i="27"/>
  <c r="AV137" i="27"/>
  <c r="AR132" i="27"/>
  <c r="AZ126" i="27"/>
  <c r="AV121" i="27"/>
  <c r="AR116" i="27"/>
  <c r="AZ110" i="27"/>
  <c r="AV105" i="27"/>
  <c r="AR100" i="27"/>
  <c r="AZ94" i="27"/>
  <c r="AV89" i="27"/>
  <c r="AR84" i="27"/>
  <c r="AU78" i="27"/>
  <c r="AV71" i="27"/>
  <c r="AU64" i="27"/>
  <c r="AV55" i="27"/>
  <c r="AQ46" i="27"/>
  <c r="AX36" i="27"/>
  <c r="AQ27" i="27"/>
  <c r="AX17" i="27"/>
  <c r="AR8" i="27"/>
  <c r="BB27" i="27"/>
  <c r="AV18" i="27"/>
  <c r="AQ9" i="27"/>
  <c r="AZ27" i="27"/>
  <c r="AU18" i="27"/>
  <c r="AZ8" i="27"/>
  <c r="AV144" i="27"/>
  <c r="AR139" i="27"/>
  <c r="AZ133" i="27"/>
  <c r="AV128" i="27"/>
  <c r="AR123" i="27"/>
  <c r="AZ117" i="27"/>
  <c r="AV112" i="27"/>
  <c r="AR107" i="27"/>
  <c r="AZ101" i="27"/>
  <c r="AV96" i="27"/>
  <c r="AR91" i="27"/>
  <c r="AZ85" i="27"/>
  <c r="AS80" i="27"/>
  <c r="AY73" i="27"/>
  <c r="AW66" i="27"/>
  <c r="AV58" i="27"/>
  <c r="AQ49" i="27"/>
  <c r="AV39" i="27"/>
  <c r="AQ30" i="27"/>
  <c r="AX20" i="27"/>
  <c r="AQ11" i="27"/>
  <c r="BB30" i="27"/>
  <c r="AV21" i="27"/>
  <c r="BB11" i="27"/>
  <c r="AS8" i="27"/>
  <c r="AW13" i="27"/>
  <c r="BA18" i="27"/>
  <c r="AS24" i="27"/>
  <c r="AW29" i="27"/>
  <c r="BA34" i="27"/>
  <c r="AS40" i="27"/>
  <c r="AW45" i="27"/>
  <c r="BA50" i="27"/>
  <c r="AS56" i="27"/>
  <c r="AW61" i="27"/>
  <c r="AW10" i="27"/>
  <c r="BA15" i="27"/>
  <c r="AS21" i="27"/>
  <c r="AW26" i="27"/>
  <c r="BA31" i="27"/>
  <c r="AS37" i="27"/>
  <c r="AW42" i="27"/>
  <c r="BA47" i="27"/>
  <c r="AS53" i="27"/>
  <c r="AW58" i="27"/>
  <c r="AQ8" i="27"/>
  <c r="AR15" i="27"/>
  <c r="AT22" i="27"/>
  <c r="AU29" i="27"/>
  <c r="AV36" i="27"/>
  <c r="AX43" i="27"/>
  <c r="AY50" i="27"/>
  <c r="AZ57" i="27"/>
  <c r="AT64" i="27"/>
  <c r="AX69" i="27"/>
  <c r="BB74" i="27"/>
  <c r="AT80" i="27"/>
  <c r="AR11" i="27"/>
  <c r="AT18" i="27"/>
  <c r="AU25" i="27"/>
  <c r="AV32" i="27"/>
  <c r="AX39" i="27"/>
  <c r="AY46" i="27"/>
  <c r="AZ53" i="27"/>
  <c r="BB60" i="27"/>
  <c r="AX66" i="27"/>
  <c r="BB71" i="27"/>
  <c r="AV147" i="27"/>
  <c r="AR142" i="27"/>
  <c r="AZ136" i="27"/>
  <c r="AV131" i="27"/>
  <c r="AR126" i="27"/>
  <c r="AZ120" i="27"/>
  <c r="AV115" i="27"/>
  <c r="AR110" i="27"/>
  <c r="AZ104" i="27"/>
  <c r="AV99" i="27"/>
  <c r="AR94" i="27"/>
  <c r="AZ88" i="27"/>
  <c r="AV83" i="27"/>
  <c r="AW77" i="27"/>
  <c r="AW70" i="27"/>
  <c r="AV63" i="27"/>
  <c r="AU54" i="27"/>
  <c r="AZ44" i="27"/>
  <c r="AU35" i="27"/>
  <c r="BB25" i="27"/>
  <c r="AU16" i="27"/>
  <c r="BB6" i="27"/>
  <c r="AZ26" i="27"/>
  <c r="AT17" i="27"/>
  <c r="AZ7" i="27"/>
  <c r="AX26" i="27"/>
  <c r="AR17" i="27"/>
  <c r="AY7" i="27"/>
  <c r="AZ143" i="27"/>
  <c r="AV138" i="27"/>
  <c r="AR133" i="27"/>
  <c r="AZ127" i="27"/>
  <c r="AV122" i="27"/>
  <c r="AR117" i="27"/>
  <c r="AZ111" i="27"/>
  <c r="AV106" i="27"/>
  <c r="AR101" i="27"/>
  <c r="AZ95" i="27"/>
  <c r="AV90" i="27"/>
  <c r="AR85" i="27"/>
  <c r="AV79" i="27"/>
  <c r="AZ72" i="27"/>
  <c r="AY65" i="27"/>
  <c r="AT57" i="27"/>
  <c r="AZ47" i="27"/>
  <c r="AU38" i="27"/>
  <c r="AZ28" i="27"/>
  <c r="AU19" i="27"/>
  <c r="BB9" i="27"/>
  <c r="AY29" i="27"/>
  <c r="AT20" i="27"/>
  <c r="AZ10" i="27"/>
  <c r="BA8" i="27"/>
  <c r="AS14" i="27"/>
  <c r="AW19" i="27"/>
  <c r="BA24" i="27"/>
  <c r="AS30" i="27"/>
  <c r="AW35" i="27"/>
  <c r="BA40" i="27"/>
  <c r="AS46" i="27"/>
  <c r="AW51" i="27"/>
  <c r="BA56" i="27"/>
  <c r="AS62" i="27"/>
  <c r="AS11" i="27"/>
  <c r="AW16" i="27"/>
  <c r="BA21" i="27"/>
  <c r="AS27" i="27"/>
  <c r="AW32" i="27"/>
  <c r="BA37" i="27"/>
  <c r="AS43" i="27"/>
  <c r="AW48" i="27"/>
  <c r="BA53" i="27"/>
  <c r="AS59" i="27"/>
  <c r="BB8" i="27"/>
  <c r="AQ16" i="27"/>
  <c r="AR23" i="27"/>
  <c r="AT30" i="27"/>
  <c r="AU37" i="27"/>
  <c r="AV44" i="27"/>
  <c r="AX51" i="27"/>
  <c r="AY58" i="27"/>
  <c r="BB64" i="27"/>
  <c r="AT70" i="27"/>
  <c r="AX75" i="27"/>
  <c r="BB80" i="27"/>
  <c r="AQ12" i="27"/>
  <c r="AR19" i="27"/>
  <c r="AT26" i="27"/>
  <c r="AU33" i="27"/>
  <c r="AV40" i="27"/>
  <c r="AX47" i="27"/>
  <c r="AY54" i="27"/>
  <c r="AZ61" i="27"/>
  <c r="AT67" i="27"/>
  <c r="AX72" i="27"/>
  <c r="AV143" i="27"/>
  <c r="AR106" i="27"/>
  <c r="AV95" i="27"/>
  <c r="AZ84" i="27"/>
  <c r="AU72" i="27"/>
  <c r="AY56" i="27"/>
  <c r="AY37" i="27"/>
  <c r="AZ18" i="27"/>
  <c r="AR29" i="27"/>
  <c r="AQ29" i="27"/>
  <c r="AR145" i="27"/>
  <c r="AV134" i="27"/>
  <c r="AV118" i="27"/>
  <c r="AV102" i="27"/>
  <c r="AW74" i="27"/>
  <c r="AY21" i="27"/>
  <c r="AS18" i="27"/>
  <c r="AS15" i="27"/>
  <c r="AU21" i="27"/>
  <c r="BB56" i="27"/>
  <c r="AU17" i="27"/>
  <c r="AQ60" i="27"/>
  <c r="AZ146" i="27"/>
  <c r="AV141" i="27"/>
  <c r="AR136" i="27"/>
  <c r="AZ130" i="27"/>
  <c r="AV125" i="27"/>
  <c r="AR120" i="27"/>
  <c r="AZ114" i="27"/>
  <c r="AV109" i="27"/>
  <c r="AR104" i="27"/>
  <c r="AZ98" i="27"/>
  <c r="AV93" i="27"/>
  <c r="AR88" i="27"/>
  <c r="AZ82" i="27"/>
  <c r="AZ76" i="27"/>
  <c r="AY69" i="27"/>
  <c r="AW62" i="27"/>
  <c r="AR53" i="27"/>
  <c r="AY43" i="27"/>
  <c r="AR34" i="27"/>
  <c r="AY24" i="27"/>
  <c r="AT15" i="27"/>
  <c r="AQ35" i="27"/>
  <c r="AX25" i="27"/>
  <c r="AR16" i="27"/>
  <c r="AX6" i="27"/>
  <c r="AV25" i="27"/>
  <c r="BB15" i="27"/>
  <c r="AV6" i="27"/>
  <c r="AR143" i="27"/>
  <c r="AZ137" i="27"/>
  <c r="AV132" i="27"/>
  <c r="AR127" i="27"/>
  <c r="AZ121" i="27"/>
  <c r="AV116" i="27"/>
  <c r="AR111" i="27"/>
  <c r="AZ105" i="27"/>
  <c r="AV100" i="27"/>
  <c r="AR95" i="27"/>
  <c r="AZ89" i="27"/>
  <c r="AV84" i="27"/>
  <c r="AY78" i="27"/>
  <c r="BA71" i="27"/>
  <c r="AZ64" i="27"/>
  <c r="AR56" i="27"/>
  <c r="AX46" i="27"/>
  <c r="AR37" i="27"/>
  <c r="AY27" i="27"/>
  <c r="AR18" i="27"/>
  <c r="AY8" i="27"/>
  <c r="AX28" i="27"/>
  <c r="AQ19" i="27"/>
  <c r="AX9" i="27"/>
  <c r="AW9" i="27"/>
  <c r="BA14" i="27"/>
  <c r="AS20" i="27"/>
  <c r="AW25" i="27"/>
  <c r="BA30" i="27"/>
  <c r="AS36" i="27"/>
  <c r="AW41" i="27"/>
  <c r="BA46" i="27"/>
  <c r="AS52" i="27"/>
  <c r="AW57" i="27"/>
  <c r="AW6" i="27"/>
  <c r="BA11" i="27"/>
  <c r="AS17" i="27"/>
  <c r="AW22" i="27"/>
  <c r="BA27" i="27"/>
  <c r="AS33" i="27"/>
  <c r="AW38" i="27"/>
  <c r="BA43" i="27"/>
  <c r="AS49" i="27"/>
  <c r="AW54" i="27"/>
  <c r="BA59" i="27"/>
  <c r="AZ9" i="27"/>
  <c r="BB16" i="27"/>
  <c r="AQ24" i="27"/>
  <c r="AR31" i="27"/>
  <c r="AT38" i="27"/>
  <c r="AU45" i="27"/>
  <c r="AV52" i="27"/>
  <c r="AX59" i="27"/>
  <c r="AX65" i="27"/>
  <c r="BB70" i="27"/>
  <c r="AT76" i="27"/>
  <c r="AX81" i="27"/>
  <c r="BB12" i="27"/>
  <c r="AQ20" i="27"/>
  <c r="AR27" i="27"/>
  <c r="AT34" i="27"/>
  <c r="AU41" i="27"/>
  <c r="AV48" i="27"/>
  <c r="AX55" i="27"/>
  <c r="AX62" i="27"/>
  <c r="BB67" i="27"/>
  <c r="AT73" i="27"/>
  <c r="AZ116" i="27"/>
  <c r="AR146" i="27"/>
  <c r="AZ140" i="27"/>
  <c r="AV135" i="27"/>
  <c r="AR130" i="27"/>
  <c r="AZ124" i="27"/>
  <c r="AV119" i="27"/>
  <c r="AR114" i="27"/>
  <c r="AZ108" i="27"/>
  <c r="AV103" i="27"/>
  <c r="AR98" i="27"/>
  <c r="AZ92" i="27"/>
  <c r="AV87" i="27"/>
  <c r="AR82" i="27"/>
  <c r="BA75" i="27"/>
  <c r="AZ68" i="27"/>
  <c r="AV61" i="27"/>
  <c r="BB51" i="27"/>
  <c r="AV42" i="27"/>
  <c r="AQ33" i="27"/>
  <c r="AV23" i="27"/>
  <c r="AQ14" i="27"/>
  <c r="BB33" i="27"/>
  <c r="AU24" i="27"/>
  <c r="BB14" i="27"/>
  <c r="AY33" i="27"/>
  <c r="AT24" i="27"/>
  <c r="AZ14" i="27"/>
  <c r="AZ147" i="27"/>
  <c r="AV142" i="27"/>
  <c r="AR137" i="27"/>
  <c r="AZ131" i="27"/>
  <c r="AV126" i="27"/>
  <c r="AR121" i="27"/>
  <c r="AZ115" i="27"/>
  <c r="AV110" i="27"/>
  <c r="AR105" i="27"/>
  <c r="AZ99" i="27"/>
  <c r="AV94" i="27"/>
  <c r="AR89" i="27"/>
  <c r="AZ83" i="27"/>
  <c r="BB77" i="27"/>
  <c r="AQ71" i="27"/>
  <c r="BA63" i="27"/>
  <c r="BB54" i="27"/>
  <c r="AV45" i="27"/>
  <c r="BB35" i="27"/>
  <c r="AV26" i="27"/>
  <c r="AQ17" i="27"/>
  <c r="AV7" i="27"/>
  <c r="AU27" i="27"/>
  <c r="BB17" i="27"/>
  <c r="AU8" i="27"/>
  <c r="AS10" i="27"/>
  <c r="AW15" i="27"/>
  <c r="BA20" i="27"/>
  <c r="AS26" i="27"/>
  <c r="AW31" i="27"/>
  <c r="BA36" i="27"/>
  <c r="AS42" i="27"/>
  <c r="AW47" i="27"/>
  <c r="BA52" i="27"/>
  <c r="AS58" i="27"/>
  <c r="AS7" i="27"/>
  <c r="AW12" i="27"/>
  <c r="BA17" i="27"/>
  <c r="AS23" i="27"/>
  <c r="AW28" i="27"/>
  <c r="BA33" i="27"/>
  <c r="AS39" i="27"/>
  <c r="AW44" i="27"/>
  <c r="BA49" i="27"/>
  <c r="AS55" i="27"/>
  <c r="AW60" i="27"/>
  <c r="AY10" i="27"/>
  <c r="AZ17" i="27"/>
  <c r="BB24" i="27"/>
  <c r="AQ32" i="27"/>
  <c r="AR39" i="27"/>
  <c r="AT46" i="27"/>
  <c r="AU53" i="27"/>
  <c r="AV60" i="27"/>
  <c r="AT66" i="27"/>
  <c r="AX71" i="27"/>
  <c r="BB76" i="27"/>
  <c r="AY6" i="27"/>
  <c r="AZ13" i="27"/>
  <c r="BB20" i="27"/>
  <c r="AQ28" i="27"/>
  <c r="AR35" i="27"/>
  <c r="AT42" i="27"/>
  <c r="AU49" i="27"/>
  <c r="AV56" i="27"/>
  <c r="AT63" i="27"/>
  <c r="AX68" i="27"/>
  <c r="BB73" i="27"/>
  <c r="AR122" i="27"/>
  <c r="AV24" i="27"/>
  <c r="AV145" i="27"/>
  <c r="AR140" i="27"/>
  <c r="AZ134" i="27"/>
  <c r="AV129" i="27"/>
  <c r="AR124" i="27"/>
  <c r="AZ118" i="27"/>
  <c r="AV113" i="27"/>
  <c r="AR108" i="27"/>
  <c r="AZ102" i="27"/>
  <c r="AV97" i="27"/>
  <c r="AR92" i="27"/>
  <c r="AZ86" i="27"/>
  <c r="AU81" i="27"/>
  <c r="AQ75" i="27"/>
  <c r="BA67" i="27"/>
  <c r="AT60" i="27"/>
  <c r="AZ50" i="27"/>
  <c r="AT41" i="27"/>
  <c r="AZ31" i="27"/>
  <c r="AU22" i="27"/>
  <c r="AZ12" i="27"/>
  <c r="AY32" i="27"/>
  <c r="AT23" i="27"/>
  <c r="AY13" i="27"/>
  <c r="AX32" i="27"/>
  <c r="AQ23" i="27"/>
  <c r="AX13" i="27"/>
  <c r="AR147" i="27"/>
  <c r="AZ141" i="27"/>
  <c r="AV136" i="27"/>
  <c r="AR131" i="27"/>
  <c r="AZ125" i="27"/>
  <c r="AV120" i="27"/>
  <c r="AR115" i="27"/>
  <c r="AZ109" i="27"/>
  <c r="AV104" i="27"/>
  <c r="AR99" i="27"/>
  <c r="AZ93" i="27"/>
  <c r="AV88" i="27"/>
  <c r="AR83" i="27"/>
  <c r="AS77" i="27"/>
  <c r="AR70" i="27"/>
  <c r="AQ63" i="27"/>
  <c r="AY53" i="27"/>
  <c r="AT44" i="27"/>
  <c r="AZ34" i="27"/>
  <c r="AT25" i="27"/>
  <c r="AZ15" i="27"/>
  <c r="AU6" i="27"/>
  <c r="AR26" i="27"/>
  <c r="AY16" i="27"/>
  <c r="AT7" i="27"/>
  <c r="BA10" i="27"/>
  <c r="AS16" i="27"/>
  <c r="AW21" i="27"/>
  <c r="BA26" i="27"/>
  <c r="AS32" i="27"/>
  <c r="AW37" i="27"/>
  <c r="BA42" i="27"/>
  <c r="AS48" i="27"/>
  <c r="AW53" i="27"/>
  <c r="BA58" i="27"/>
  <c r="BA7" i="27"/>
  <c r="AS13" i="27"/>
  <c r="AW18" i="27"/>
  <c r="BA23" i="27"/>
  <c r="AS29" i="27"/>
  <c r="AW34" i="27"/>
  <c r="BA39" i="27"/>
  <c r="AS45" i="27"/>
  <c r="AW50" i="27"/>
  <c r="BA55" i="27"/>
  <c r="AS61" i="27"/>
  <c r="AX11" i="27"/>
  <c r="AY18" i="27"/>
  <c r="AZ25" i="27"/>
  <c r="BB32" i="27"/>
  <c r="AQ40" i="27"/>
  <c r="AR47" i="27"/>
  <c r="AT54" i="27"/>
  <c r="AU61" i="27"/>
  <c r="BB66" i="27"/>
  <c r="AT72" i="27"/>
  <c r="AX77" i="27"/>
  <c r="AX7" i="27"/>
  <c r="AY14" i="27"/>
  <c r="AZ21" i="27"/>
  <c r="BB28" i="27"/>
  <c r="AQ36" i="27"/>
  <c r="AR43" i="27"/>
  <c r="AT50" i="27"/>
  <c r="AU57" i="27"/>
  <c r="BB63" i="27"/>
  <c r="AT69" i="27"/>
  <c r="AX74" i="27"/>
  <c r="AZ132" i="27"/>
  <c r="AQ10" i="27"/>
  <c r="AR113" i="27"/>
  <c r="AZ91" i="27"/>
  <c r="AQ81" i="27"/>
  <c r="AY59" i="27"/>
  <c r="AT31" i="27"/>
  <c r="AX22" i="27"/>
  <c r="AW7" i="27"/>
  <c r="AW23" i="27"/>
  <c r="AW39" i="27"/>
  <c r="AS50" i="27"/>
  <c r="BA9" i="27"/>
  <c r="AS31" i="27"/>
  <c r="AS47" i="27"/>
  <c r="AR7" i="27"/>
  <c r="AV28" i="27"/>
  <c r="AZ49" i="27"/>
  <c r="BB68" i="27"/>
  <c r="AT10" i="27"/>
  <c r="AY38" i="27"/>
  <c r="BB65" i="27"/>
  <c r="AZ144" i="27"/>
  <c r="AV139" i="27"/>
  <c r="AR134" i="27"/>
  <c r="AZ128" i="27"/>
  <c r="AV123" i="27"/>
  <c r="AR118" i="27"/>
  <c r="AZ112" i="27"/>
  <c r="AV107" i="27"/>
  <c r="AR102" i="27"/>
  <c r="AZ96" i="27"/>
  <c r="AV91" i="27"/>
  <c r="AR86" i="27"/>
  <c r="AX80" i="27"/>
  <c r="AR74" i="27"/>
  <c r="AQ67" i="27"/>
  <c r="AQ59" i="27"/>
  <c r="AX49" i="27"/>
  <c r="AR40" i="27"/>
  <c r="AX30" i="27"/>
  <c r="AR21" i="27"/>
  <c r="AY11" i="27"/>
  <c r="AV31" i="27"/>
  <c r="AQ22" i="27"/>
  <c r="AX12" i="27"/>
  <c r="AU31" i="27"/>
  <c r="BB21" i="27"/>
  <c r="AU12" i="27"/>
  <c r="AV146" i="27"/>
  <c r="AR141" i="27"/>
  <c r="AZ135" i="27"/>
  <c r="AV130" i="27"/>
  <c r="AR125" i="27"/>
  <c r="AZ119" i="27"/>
  <c r="AV114" i="27"/>
  <c r="AR109" i="27"/>
  <c r="AZ103" i="27"/>
  <c r="AV98" i="27"/>
  <c r="AR93" i="27"/>
  <c r="AZ87" i="27"/>
  <c r="AV82" i="27"/>
  <c r="AU76" i="27"/>
  <c r="AS69" i="27"/>
  <c r="AQ62" i="27"/>
  <c r="AX52" i="27"/>
  <c r="AQ43" i="27"/>
  <c r="AX33" i="27"/>
  <c r="AR24" i="27"/>
  <c r="AX14" i="27"/>
  <c r="AV34" i="27"/>
  <c r="AQ25" i="27"/>
  <c r="AV15" i="27"/>
  <c r="AS6" i="27"/>
  <c r="AW11" i="27"/>
  <c r="BA16" i="27"/>
  <c r="AS22" i="27"/>
  <c r="AW27" i="27"/>
  <c r="BA32" i="27"/>
  <c r="AS38" i="27"/>
  <c r="AW43" i="27"/>
  <c r="BA48" i="27"/>
  <c r="AS54" i="27"/>
  <c r="AW59" i="27"/>
  <c r="AW8" i="27"/>
  <c r="BA13" i="27"/>
  <c r="AS19" i="27"/>
  <c r="AW24" i="27"/>
  <c r="BA29" i="27"/>
  <c r="AS35" i="27"/>
  <c r="AW40" i="27"/>
  <c r="BA45" i="27"/>
  <c r="AS51" i="27"/>
  <c r="AW56" i="27"/>
  <c r="BA61" i="27"/>
  <c r="AV12" i="27"/>
  <c r="AX19" i="27"/>
  <c r="AY26" i="27"/>
  <c r="AZ33" i="27"/>
  <c r="BB40" i="27"/>
  <c r="AQ48" i="27"/>
  <c r="AR55" i="27"/>
  <c r="AT62" i="27"/>
  <c r="AX67" i="27"/>
  <c r="BB72" i="27"/>
  <c r="AT78" i="27"/>
  <c r="AV8" i="27"/>
  <c r="AX15" i="27"/>
  <c r="AY22" i="27"/>
  <c r="AZ29" i="27"/>
  <c r="BB36" i="27"/>
  <c r="AQ44" i="27"/>
  <c r="AR51" i="27"/>
  <c r="AT58" i="27"/>
  <c r="AX64" i="27"/>
  <c r="BB69" i="27"/>
  <c r="AT75" i="27"/>
  <c r="AV127" i="27"/>
  <c r="AR10" i="27"/>
  <c r="AZ123" i="27"/>
  <c r="AR97" i="27"/>
  <c r="AV67" i="27"/>
  <c r="AY40" i="27"/>
  <c r="AT12" i="27"/>
  <c r="AR13" i="27"/>
  <c r="BA12" i="27"/>
  <c r="AS34" i="27"/>
  <c r="BA44" i="27"/>
  <c r="BA60" i="27"/>
  <c r="BA25" i="27"/>
  <c r="BA41" i="27"/>
  <c r="AW52" i="27"/>
  <c r="AT14" i="27"/>
  <c r="AY42" i="27"/>
  <c r="AX63" i="27"/>
  <c r="AX79" i="27"/>
  <c r="AX31" i="27"/>
  <c r="BB52" i="27"/>
  <c r="AT71" i="27"/>
  <c r="AR144" i="27"/>
  <c r="AZ138" i="27"/>
  <c r="AV133" i="27"/>
  <c r="AR128" i="27"/>
  <c r="AZ122" i="27"/>
  <c r="AV117" i="27"/>
  <c r="AR112" i="27"/>
  <c r="AZ106" i="27"/>
  <c r="AV101" i="27"/>
  <c r="AR96" i="27"/>
  <c r="AZ90" i="27"/>
  <c r="AV85" i="27"/>
  <c r="BA79" i="27"/>
  <c r="AS73" i="27"/>
  <c r="AR66" i="27"/>
  <c r="BB57" i="27"/>
  <c r="AU48" i="27"/>
  <c r="BB38" i="27"/>
  <c r="AV29" i="27"/>
  <c r="BB19" i="27"/>
  <c r="AV10" i="27"/>
  <c r="AU30" i="27"/>
  <c r="AZ20" i="27"/>
  <c r="AU11" i="27"/>
  <c r="AR30" i="27"/>
  <c r="AY20" i="27"/>
  <c r="AT11" i="27"/>
  <c r="AZ145" i="27"/>
  <c r="AV140" i="27"/>
  <c r="AR135" i="27"/>
  <c r="AZ129" i="27"/>
  <c r="AV124" i="27"/>
  <c r="AR119" i="27"/>
  <c r="AZ113" i="27"/>
  <c r="AV108" i="27"/>
  <c r="AR103" i="27"/>
  <c r="AZ97" i="27"/>
  <c r="AV92" i="27"/>
  <c r="AR87" i="27"/>
  <c r="AZ81" i="27"/>
  <c r="AV75" i="27"/>
  <c r="AU68" i="27"/>
  <c r="AZ60" i="27"/>
  <c r="AU51" i="27"/>
  <c r="BB41" i="27"/>
  <c r="AU32" i="27"/>
  <c r="BB22" i="27"/>
  <c r="AV13" i="27"/>
  <c r="AT33" i="27"/>
  <c r="AZ23" i="27"/>
  <c r="AU14" i="27"/>
  <c r="BA6" i="27"/>
  <c r="AS12" i="27"/>
  <c r="AW17" i="27"/>
  <c r="BA22" i="27"/>
  <c r="AS28" i="27"/>
  <c r="AW33" i="27"/>
  <c r="BA38" i="27"/>
  <c r="AS44" i="27"/>
  <c r="AW49" i="27"/>
  <c r="BA54" i="27"/>
  <c r="AS60" i="27"/>
  <c r="AS9" i="27"/>
  <c r="AW14" i="27"/>
  <c r="BA19" i="27"/>
  <c r="AS25" i="27"/>
  <c r="AW30" i="27"/>
  <c r="BA35" i="27"/>
  <c r="AS41" i="27"/>
  <c r="AW46" i="27"/>
  <c r="BA51" i="27"/>
  <c r="AS57" i="27"/>
  <c r="AT6" i="27"/>
  <c r="AU13" i="27"/>
  <c r="AV20" i="27"/>
  <c r="AX27" i="27"/>
  <c r="AY34" i="27"/>
  <c r="AZ41" i="27"/>
  <c r="BB48" i="27"/>
  <c r="AQ56" i="27"/>
  <c r="BB62" i="27"/>
  <c r="AT68" i="27"/>
  <c r="AX73" i="27"/>
  <c r="BB78" i="27"/>
  <c r="AU9" i="27"/>
  <c r="AV16" i="27"/>
  <c r="AX23" i="27"/>
  <c r="AY30" i="27"/>
  <c r="AZ37" i="27"/>
  <c r="BB44" i="27"/>
  <c r="AQ52" i="27"/>
  <c r="AR59" i="27"/>
  <c r="AT65" i="27"/>
  <c r="AX70" i="27"/>
  <c r="BB75" i="27"/>
  <c r="AR138" i="27"/>
  <c r="AV111" i="27"/>
  <c r="AZ100" i="27"/>
  <c r="AR90" i="27"/>
  <c r="AR79" i="27"/>
  <c r="AS65" i="27"/>
  <c r="AT47" i="27"/>
  <c r="AT28" i="27"/>
  <c r="AT9" i="27"/>
  <c r="AY19" i="27"/>
  <c r="AV19" i="27"/>
  <c r="AZ139" i="27"/>
  <c r="AR129" i="27"/>
  <c r="AZ107" i="27"/>
  <c r="AV86" i="27"/>
  <c r="AR50" i="27"/>
  <c r="AR32" i="27"/>
  <c r="BA28" i="27"/>
  <c r="AW55" i="27"/>
  <c r="AW20" i="27"/>
  <c r="AW36" i="27"/>
  <c r="BA57" i="27"/>
  <c r="AX35" i="27"/>
  <c r="AT74" i="27"/>
  <c r="AZ45" i="27"/>
  <c r="AX76" i="27"/>
  <c r="I11" i="28"/>
  <c r="J14" i="28"/>
  <c r="J11" i="28"/>
  <c r="H13" i="28"/>
  <c r="K14" i="28"/>
  <c r="K11" i="28"/>
  <c r="I13" i="28"/>
  <c r="J13" i="28"/>
  <c r="H12" i="28"/>
  <c r="K13" i="28"/>
  <c r="I12" i="28"/>
  <c r="J12" i="28"/>
  <c r="H14" i="28"/>
  <c r="H11" i="28"/>
  <c r="K12" i="28"/>
  <c r="I14" i="28"/>
  <c r="H55" i="28"/>
  <c r="H50" i="28"/>
  <c r="H58" i="28"/>
  <c r="H51" i="28"/>
  <c r="H53" i="28"/>
  <c r="H48" i="28"/>
  <c r="H56" i="28"/>
  <c r="H54" i="28"/>
  <c r="H57" i="28"/>
  <c r="H47" i="28"/>
  <c r="J47" i="28" s="1" a="1"/>
  <c r="H49" i="28"/>
  <c r="H52" i="28"/>
  <c r="H24" i="28"/>
  <c r="H25" i="28"/>
  <c r="H23" i="28"/>
  <c r="H26" i="28"/>
  <c r="P19" i="26"/>
  <c r="S26" i="26"/>
  <c r="AA20" i="26"/>
  <c r="Y29" i="26"/>
  <c r="U20" i="26"/>
  <c r="R26" i="26"/>
  <c r="Z20" i="26"/>
  <c r="U27" i="26"/>
  <c r="Q22" i="26"/>
  <c r="X28" i="26"/>
  <c r="T23" i="26"/>
  <c r="AA29" i="26"/>
  <c r="W24" i="26"/>
  <c r="S19" i="26"/>
  <c r="Z27" i="26"/>
  <c r="U26" i="26"/>
  <c r="T30" i="26"/>
  <c r="P25" i="26"/>
  <c r="X19" i="26"/>
  <c r="W25" i="26"/>
  <c r="S20" i="26"/>
  <c r="U28" i="26"/>
  <c r="Z30" i="26"/>
  <c r="V25" i="26"/>
  <c r="R20" i="26"/>
  <c r="Y26" i="26"/>
  <c r="U21" i="26"/>
  <c r="P28" i="26"/>
  <c r="X22" i="26"/>
  <c r="S29" i="26"/>
  <c r="AA23" i="26"/>
  <c r="R29" i="26"/>
  <c r="Z25" i="26"/>
  <c r="Q25" i="26"/>
  <c r="X29" i="26"/>
  <c r="T24" i="26"/>
  <c r="S30" i="26"/>
  <c r="AA24" i="26"/>
  <c r="W19" i="26"/>
  <c r="Q27" i="26"/>
  <c r="R30" i="26"/>
  <c r="Z24" i="26"/>
  <c r="V19" i="26"/>
  <c r="Q26" i="26"/>
  <c r="Y20" i="26"/>
  <c r="T27" i="26"/>
  <c r="P22" i="26"/>
  <c r="W28" i="26"/>
  <c r="S23" i="26"/>
  <c r="V26" i="26"/>
  <c r="V24" i="26"/>
  <c r="Y23" i="26"/>
  <c r="P29" i="26"/>
  <c r="X23" i="26"/>
  <c r="W29" i="26"/>
  <c r="S24" i="26"/>
  <c r="Z29" i="26"/>
  <c r="Y25" i="26"/>
  <c r="V29" i="26"/>
  <c r="R24" i="26"/>
  <c r="Y30" i="26"/>
  <c r="U25" i="26"/>
  <c r="Q20" i="26"/>
  <c r="X26" i="26"/>
  <c r="T21" i="26"/>
  <c r="AA27" i="26"/>
  <c r="W22" i="26"/>
  <c r="Z23" i="26"/>
  <c r="V22" i="26"/>
  <c r="Q23" i="26"/>
  <c r="T28" i="26"/>
  <c r="P23" i="26"/>
  <c r="AA28" i="26"/>
  <c r="W23" i="26"/>
  <c r="R27" i="26"/>
  <c r="U24" i="26"/>
  <c r="Z28" i="26"/>
  <c r="V23" i="26"/>
  <c r="Q30" i="26"/>
  <c r="Y24" i="26"/>
  <c r="U19" i="26"/>
  <c r="P26" i="26"/>
  <c r="X20" i="26"/>
  <c r="S27" i="26"/>
  <c r="AA21" i="26"/>
  <c r="Z21" i="26"/>
  <c r="Z19" i="26"/>
  <c r="Y21" i="26"/>
  <c r="X27" i="26"/>
  <c r="T22" i="26"/>
  <c r="S28" i="26"/>
  <c r="AA22" i="26"/>
  <c r="R25" i="26"/>
  <c r="U22" i="26"/>
  <c r="R28" i="26"/>
  <c r="Z22" i="26"/>
  <c r="U29" i="26"/>
  <c r="Q24" i="26"/>
  <c r="X30" i="26"/>
  <c r="T25" i="26"/>
  <c r="P20" i="26"/>
  <c r="W26" i="26"/>
  <c r="S21" i="26"/>
  <c r="R21" i="26"/>
  <c r="U30" i="26"/>
  <c r="Q21" i="26"/>
  <c r="P27" i="26"/>
  <c r="X21" i="26"/>
  <c r="W27" i="26"/>
  <c r="S22" i="26"/>
  <c r="R23" i="26"/>
  <c r="Y19" i="26"/>
  <c r="V27" i="26"/>
  <c r="R22" i="26"/>
  <c r="Y28" i="26"/>
  <c r="U23" i="26"/>
  <c r="P30" i="26"/>
  <c r="X24" i="26"/>
  <c r="T19" i="26"/>
  <c r="AA25" i="26"/>
  <c r="W20" i="26"/>
  <c r="V30" i="26"/>
  <c r="Q29" i="26"/>
  <c r="Q19" i="26"/>
  <c r="T26" i="26"/>
  <c r="P21" i="26"/>
  <c r="AA26" i="26"/>
  <c r="W21" i="26"/>
  <c r="R19" i="26"/>
  <c r="V20" i="26"/>
  <c r="Z26" i="26"/>
  <c r="V21" i="26"/>
  <c r="Q28" i="26"/>
  <c r="Y22" i="26"/>
  <c r="T29" i="26"/>
  <c r="P24" i="26"/>
  <c r="W30" i="26"/>
  <c r="S25" i="26"/>
  <c r="AA19" i="26"/>
  <c r="V28" i="26"/>
  <c r="Y27" i="26"/>
  <c r="AA30" i="26"/>
  <c r="X25" i="26"/>
  <c r="T20" i="26"/>
  <c r="P47" i="26"/>
  <c r="P49" i="26"/>
  <c r="P54" i="26"/>
  <c r="P56" i="26"/>
  <c r="P53" i="26"/>
  <c r="P48" i="26"/>
  <c r="P52" i="26"/>
  <c r="P55" i="26"/>
  <c r="P51" i="26"/>
  <c r="P58" i="26"/>
  <c r="P50" i="26"/>
  <c r="P57" i="26"/>
  <c r="AA7" i="3"/>
  <c r="AA6" i="3"/>
  <c r="AA5" i="3"/>
  <c r="N26" i="8" a="1"/>
  <c r="N26" i="8" s="1"/>
  <c r="N25" i="8" a="1"/>
  <c r="O25" i="8" s="1"/>
  <c r="N24" i="8" a="1"/>
  <c r="O24" i="8" s="1"/>
  <c r="N23" i="8" a="1"/>
  <c r="N23" i="8" s="1"/>
  <c r="D10" i="24" a="1"/>
  <c r="D11" i="24" s="1"/>
  <c r="O5" i="2"/>
  <c r="N5" i="2"/>
  <c r="M5" i="2"/>
  <c r="L5" i="2"/>
  <c r="K5" i="2"/>
  <c r="J5" i="2"/>
  <c r="I5" i="2"/>
  <c r="H5" i="2"/>
  <c r="G5" i="2"/>
  <c r="F5" i="2"/>
  <c r="E5" i="2"/>
  <c r="D5" i="2"/>
  <c r="O4" i="2"/>
  <c r="N4" i="2"/>
  <c r="M4" i="2"/>
  <c r="L4" i="2"/>
  <c r="K4" i="2"/>
  <c r="J4" i="2"/>
  <c r="I4" i="2"/>
  <c r="H4" i="2"/>
  <c r="G4" i="2"/>
  <c r="F4" i="2"/>
  <c r="E4" i="2"/>
  <c r="D4" i="2"/>
  <c r="O3" i="2"/>
  <c r="N3" i="2"/>
  <c r="M3" i="2"/>
  <c r="L3" i="2"/>
  <c r="K3" i="2"/>
  <c r="J3" i="2"/>
  <c r="I3" i="2"/>
  <c r="H3" i="2"/>
  <c r="G3" i="2"/>
  <c r="F3" i="2"/>
  <c r="E3" i="2"/>
  <c r="D3" i="2"/>
  <c r="C5" i="2"/>
  <c r="C4" i="2"/>
  <c r="C3" i="2"/>
  <c r="D1" i="2"/>
  <c r="E1" i="2"/>
  <c r="F1" i="2"/>
  <c r="G1" i="2"/>
  <c r="H1" i="2"/>
  <c r="I1" i="2"/>
  <c r="J1" i="2"/>
  <c r="K1" i="2"/>
  <c r="L1" i="2"/>
  <c r="M1" i="2"/>
  <c r="N1" i="2"/>
  <c r="O1" i="2"/>
  <c r="D2" i="2"/>
  <c r="E2" i="2"/>
  <c r="F2" i="2"/>
  <c r="G2" i="2"/>
  <c r="H2" i="2"/>
  <c r="I2" i="2"/>
  <c r="J2" i="2"/>
  <c r="K2" i="2"/>
  <c r="L2" i="2"/>
  <c r="M2" i="2"/>
  <c r="N2" i="2"/>
  <c r="O2" i="2"/>
  <c r="C2" i="2"/>
  <c r="C1" i="2"/>
  <c r="AC43" i="27" l="1"/>
  <c r="AE47" i="27"/>
  <c r="AE53" i="27"/>
  <c r="AE54" i="27"/>
  <c r="AE48" i="27"/>
  <c r="AE44" i="27"/>
  <c r="AE52" i="27"/>
  <c r="AE43" i="27"/>
  <c r="AE45" i="27"/>
  <c r="AE46" i="27"/>
  <c r="AE50" i="27"/>
  <c r="AE49" i="27"/>
  <c r="AE51" i="27"/>
  <c r="AG45" i="27"/>
  <c r="AG47" i="27"/>
  <c r="AG46" i="27"/>
  <c r="AG49" i="27"/>
  <c r="AG51" i="27"/>
  <c r="AG53" i="27"/>
  <c r="AG54" i="27"/>
  <c r="AG48" i="27"/>
  <c r="AG50" i="27"/>
  <c r="AG43" i="27"/>
  <c r="AG44" i="27"/>
  <c r="AG52" i="27"/>
  <c r="AJ46" i="27"/>
  <c r="AJ48" i="27"/>
  <c r="AJ49" i="27"/>
  <c r="AJ50" i="27"/>
  <c r="AJ43" i="27"/>
  <c r="AJ45" i="27"/>
  <c r="AJ47" i="27"/>
  <c r="AJ54" i="27"/>
  <c r="AJ51" i="27"/>
  <c r="AJ44" i="27"/>
  <c r="AJ52" i="27"/>
  <c r="AJ53" i="27"/>
  <c r="AN49" i="27"/>
  <c r="AN51" i="27"/>
  <c r="AN47" i="27"/>
  <c r="AN53" i="27"/>
  <c r="AN54" i="27"/>
  <c r="AN48" i="27"/>
  <c r="AN44" i="27"/>
  <c r="AN52" i="27"/>
  <c r="AN50" i="27"/>
  <c r="AN43" i="27"/>
  <c r="AN45" i="27"/>
  <c r="AN46" i="27"/>
  <c r="AF49" i="27"/>
  <c r="AF51" i="27"/>
  <c r="AF47" i="27"/>
  <c r="AF53" i="27"/>
  <c r="AF54" i="27"/>
  <c r="AF48" i="27"/>
  <c r="AF44" i="27"/>
  <c r="AF52" i="27"/>
  <c r="AF50" i="27"/>
  <c r="AF43" i="27"/>
  <c r="AF45" i="27"/>
  <c r="AF46" i="27"/>
  <c r="AD48" i="27"/>
  <c r="AD44" i="27"/>
  <c r="AD52" i="27"/>
  <c r="AD43" i="27"/>
  <c r="AD46" i="27"/>
  <c r="AD53" i="27"/>
  <c r="AD49" i="27"/>
  <c r="AD50" i="27"/>
  <c r="AD51" i="27"/>
  <c r="AD45" i="27"/>
  <c r="AD47" i="27"/>
  <c r="AD54" i="27"/>
  <c r="AM51" i="27"/>
  <c r="AM47" i="27"/>
  <c r="AM53" i="27"/>
  <c r="AM54" i="27"/>
  <c r="AM48" i="27"/>
  <c r="AM44" i="27"/>
  <c r="AM52" i="27"/>
  <c r="AM43" i="27"/>
  <c r="AM45" i="27"/>
  <c r="AM46" i="27"/>
  <c r="AM50" i="27"/>
  <c r="AM49" i="27"/>
  <c r="AI48" i="27"/>
  <c r="AI49" i="27"/>
  <c r="AI50" i="27"/>
  <c r="AI43" i="27"/>
  <c r="AI45" i="27"/>
  <c r="AI47" i="27"/>
  <c r="AI46" i="27"/>
  <c r="AI51" i="27"/>
  <c r="AI44" i="27"/>
  <c r="AI52" i="27"/>
  <c r="AI53" i="27"/>
  <c r="AI54" i="27"/>
  <c r="AH43" i="27"/>
  <c r="AH45" i="27"/>
  <c r="AH47" i="27"/>
  <c r="AH46" i="27"/>
  <c r="AH49" i="27"/>
  <c r="AH51" i="27"/>
  <c r="AH44" i="27"/>
  <c r="AH52" i="27"/>
  <c r="AH53" i="27"/>
  <c r="AH54" i="27"/>
  <c r="AH48" i="27"/>
  <c r="AH50" i="27"/>
  <c r="AK43" i="27"/>
  <c r="AK46" i="27"/>
  <c r="AK53" i="27"/>
  <c r="AK49" i="27"/>
  <c r="AK50" i="27"/>
  <c r="AK48" i="27"/>
  <c r="AK51" i="27"/>
  <c r="AK45" i="27"/>
  <c r="AK47" i="27"/>
  <c r="AK54" i="27"/>
  <c r="AK44" i="27"/>
  <c r="AK52" i="27"/>
  <c r="AL54" i="27"/>
  <c r="AL48" i="27"/>
  <c r="AL44" i="27"/>
  <c r="AL52" i="27"/>
  <c r="AL43" i="27"/>
  <c r="AL46" i="27"/>
  <c r="AL53" i="27"/>
  <c r="AL49" i="27"/>
  <c r="AL50" i="27"/>
  <c r="AL51" i="27"/>
  <c r="AL45" i="27"/>
  <c r="AL47" i="27"/>
  <c r="AC46" i="27"/>
  <c r="AC53" i="27"/>
  <c r="AC54" i="27"/>
  <c r="AC48" i="27"/>
  <c r="AC45" i="27"/>
  <c r="AC47" i="27"/>
  <c r="AC49" i="27"/>
  <c r="AC44" i="27"/>
  <c r="AC52" i="27"/>
  <c r="AC51" i="27"/>
  <c r="H17" i="28" a="1"/>
  <c r="J52" i="28"/>
  <c r="J56" i="28"/>
  <c r="J47" i="28"/>
  <c r="J55" i="28"/>
  <c r="J48" i="28"/>
  <c r="J50" i="28"/>
  <c r="J58" i="28"/>
  <c r="J53" i="28"/>
  <c r="J51" i="28"/>
  <c r="J54" i="28"/>
  <c r="J49" i="28"/>
  <c r="J57" i="28"/>
  <c r="P33" i="26" a="1"/>
  <c r="O26" i="8"/>
  <c r="N24" i="8"/>
  <c r="N25" i="8"/>
  <c r="O23" i="8"/>
  <c r="E11" i="24"/>
  <c r="D10" i="24"/>
  <c r="E10" i="24"/>
  <c r="B23" i="15"/>
  <c r="AM4" i="23" a="1"/>
  <c r="AN4" i="23" s="1"/>
  <c r="AM4" i="23"/>
  <c r="AM5" i="23" a="1"/>
  <c r="AN5" i="23" s="1"/>
  <c r="AM5" i="23"/>
  <c r="AM6" i="23" a="1"/>
  <c r="AN6" i="23" s="1"/>
  <c r="AM6" i="23"/>
  <c r="AM7" i="23" a="1"/>
  <c r="AN7" i="23" s="1"/>
  <c r="AM7" i="23"/>
  <c r="AM8" i="23" a="1"/>
  <c r="AN8" i="23" s="1"/>
  <c r="AM8" i="23"/>
  <c r="AM9" i="23" a="1"/>
  <c r="AN9" i="23" s="1"/>
  <c r="AM9" i="23"/>
  <c r="AM10" i="23" a="1"/>
  <c r="AN10" i="23" s="1"/>
  <c r="AM10" i="23"/>
  <c r="AM11" i="23" a="1"/>
  <c r="AN11" i="23" s="1"/>
  <c r="AM11" i="23"/>
  <c r="AM3" i="23" a="1"/>
  <c r="AM3" i="23" s="1"/>
  <c r="Q12" i="13"/>
  <c r="J17" i="28" l="1"/>
  <c r="H19" i="28"/>
  <c r="K20" i="28"/>
  <c r="K17" i="28"/>
  <c r="I19" i="28"/>
  <c r="J19" i="28"/>
  <c r="H18" i="28"/>
  <c r="K19" i="28"/>
  <c r="I18" i="28"/>
  <c r="J18" i="28"/>
  <c r="H20" i="28"/>
  <c r="H17" i="28"/>
  <c r="K18" i="28"/>
  <c r="I20" i="28"/>
  <c r="I17" i="28"/>
  <c r="J20" i="28"/>
  <c r="W33" i="26"/>
  <c r="AA38" i="26"/>
  <c r="S44" i="26"/>
  <c r="P35" i="26"/>
  <c r="T40" i="26"/>
  <c r="Q38" i="26"/>
  <c r="Y35" i="26"/>
  <c r="Q41" i="26"/>
  <c r="R33" i="26"/>
  <c r="V38" i="26"/>
  <c r="Z43" i="26"/>
  <c r="W34" i="26"/>
  <c r="AA39" i="26"/>
  <c r="U35" i="26"/>
  <c r="X36" i="26"/>
  <c r="P42" i="26"/>
  <c r="R42" i="26"/>
  <c r="U41" i="26"/>
  <c r="S34" i="26"/>
  <c r="W39" i="26"/>
  <c r="Z36" i="26"/>
  <c r="X35" i="26"/>
  <c r="P41" i="26"/>
  <c r="Y44" i="26"/>
  <c r="U36" i="26"/>
  <c r="Y41" i="26"/>
  <c r="Z33" i="26"/>
  <c r="R39" i="26"/>
  <c r="V44" i="26"/>
  <c r="S35" i="26"/>
  <c r="W40" i="26"/>
  <c r="V33" i="26"/>
  <c r="T37" i="26"/>
  <c r="X42" i="26"/>
  <c r="U33" i="26"/>
  <c r="Q42" i="26"/>
  <c r="W43" i="26"/>
  <c r="AA34" i="26"/>
  <c r="S40" i="26"/>
  <c r="Z38" i="26"/>
  <c r="T36" i="26"/>
  <c r="X41" i="26"/>
  <c r="R34" i="26"/>
  <c r="Q37" i="26"/>
  <c r="U42" i="26"/>
  <c r="V34" i="26"/>
  <c r="Z39" i="26"/>
  <c r="Y36" i="26"/>
  <c r="AA35" i="26"/>
  <c r="S41" i="26"/>
  <c r="Z42" i="26"/>
  <c r="P38" i="26"/>
  <c r="T43" i="26"/>
  <c r="Q34" i="26"/>
  <c r="Y42" i="26"/>
  <c r="AA44" i="26"/>
  <c r="Q35" i="26"/>
  <c r="U40" i="26"/>
  <c r="Z37" i="26"/>
  <c r="R43" i="26"/>
  <c r="AA33" i="26"/>
  <c r="P36" i="26"/>
  <c r="Y40" i="26"/>
  <c r="W35" i="26"/>
  <c r="AA40" i="26"/>
  <c r="V41" i="26"/>
  <c r="P37" i="26"/>
  <c r="T42" i="26"/>
  <c r="Z40" i="26"/>
  <c r="Y37" i="26"/>
  <c r="Q43" i="26"/>
  <c r="R35" i="26"/>
  <c r="V40" i="26"/>
  <c r="Z34" i="26"/>
  <c r="W36" i="26"/>
  <c r="AA41" i="26"/>
  <c r="T33" i="26"/>
  <c r="X38" i="26"/>
  <c r="P44" i="26"/>
  <c r="Q36" i="26"/>
  <c r="U43" i="26"/>
  <c r="S36" i="26"/>
  <c r="W41" i="26"/>
  <c r="R44" i="26"/>
  <c r="X37" i="26"/>
  <c r="P43" i="26"/>
  <c r="Q33" i="26"/>
  <c r="U38" i="26"/>
  <c r="Y43" i="26"/>
  <c r="Z35" i="26"/>
  <c r="R41" i="26"/>
  <c r="R40" i="26"/>
  <c r="S37" i="26"/>
  <c r="W42" i="26"/>
  <c r="P34" i="26"/>
  <c r="T39" i="26"/>
  <c r="X44" i="26"/>
  <c r="Y38" i="26"/>
  <c r="Q44" i="26"/>
  <c r="X39" i="26"/>
  <c r="T41" i="26"/>
  <c r="AA36" i="26"/>
  <c r="S42" i="26"/>
  <c r="P33" i="26"/>
  <c r="T38" i="26"/>
  <c r="X43" i="26"/>
  <c r="Y33" i="26"/>
  <c r="Q39" i="26"/>
  <c r="U44" i="26"/>
  <c r="V36" i="26"/>
  <c r="Z41" i="26"/>
  <c r="Z44" i="26"/>
  <c r="AA37" i="26"/>
  <c r="S43" i="26"/>
  <c r="X34" i="26"/>
  <c r="P40" i="26"/>
  <c r="Y34" i="26"/>
  <c r="U39" i="26"/>
  <c r="V35" i="26"/>
  <c r="T34" i="26"/>
  <c r="W44" i="26"/>
  <c r="W37" i="26"/>
  <c r="AA42" i="26"/>
  <c r="X33" i="26"/>
  <c r="P39" i="26"/>
  <c r="T44" i="26"/>
  <c r="U34" i="26"/>
  <c r="Y39" i="26"/>
  <c r="U37" i="26"/>
  <c r="R37" i="26"/>
  <c r="V42" i="26"/>
  <c r="S33" i="26"/>
  <c r="W38" i="26"/>
  <c r="AA43" i="26"/>
  <c r="T35" i="26"/>
  <c r="X40" i="26"/>
  <c r="R36" i="26"/>
  <c r="Q40" i="26"/>
  <c r="V39" i="26"/>
  <c r="S38" i="26"/>
  <c r="V37" i="26"/>
  <c r="S39" i="26"/>
  <c r="R38" i="26"/>
  <c r="V43" i="26"/>
  <c r="G2" i="24" a="1"/>
  <c r="G2" i="24" s="1"/>
  <c r="AO11" i="23"/>
  <c r="AO9" i="23"/>
  <c r="AO7" i="23"/>
  <c r="AO5" i="23"/>
  <c r="AO10" i="23"/>
  <c r="AO8" i="23"/>
  <c r="AO6" i="23"/>
  <c r="AO4" i="23"/>
  <c r="AO3" i="23"/>
  <c r="AN3" i="23"/>
  <c r="N114" i="15"/>
  <c r="M114" i="15"/>
  <c r="L114" i="15"/>
  <c r="K114" i="15"/>
  <c r="J114" i="15"/>
  <c r="I114" i="15"/>
  <c r="H114" i="15"/>
  <c r="G114" i="15"/>
  <c r="F114" i="15"/>
  <c r="E114" i="15"/>
  <c r="D114" i="15"/>
  <c r="C114" i="15"/>
  <c r="N113" i="15"/>
  <c r="M113" i="15"/>
  <c r="L113" i="15"/>
  <c r="K113" i="15"/>
  <c r="J113" i="15"/>
  <c r="I113" i="15"/>
  <c r="H113" i="15"/>
  <c r="G113" i="15"/>
  <c r="F113" i="15"/>
  <c r="E113" i="15"/>
  <c r="D113" i="15"/>
  <c r="C113" i="15"/>
  <c r="N112" i="15"/>
  <c r="M112" i="15"/>
  <c r="L112" i="15"/>
  <c r="K112" i="15"/>
  <c r="J112" i="15"/>
  <c r="I112" i="15"/>
  <c r="H112" i="15"/>
  <c r="G112" i="15"/>
  <c r="F112" i="15"/>
  <c r="E112" i="15"/>
  <c r="D112" i="15"/>
  <c r="C112" i="15"/>
  <c r="N111" i="15"/>
  <c r="M111" i="15"/>
  <c r="L111" i="15"/>
  <c r="K111" i="15"/>
  <c r="J111" i="15"/>
  <c r="I111" i="15"/>
  <c r="H111" i="15"/>
  <c r="G111" i="15"/>
  <c r="F111" i="15"/>
  <c r="E111" i="15"/>
  <c r="D111" i="15"/>
  <c r="C111" i="15"/>
  <c r="N110" i="15"/>
  <c r="M110" i="15"/>
  <c r="L110" i="15"/>
  <c r="K110" i="15"/>
  <c r="J110" i="15"/>
  <c r="I110" i="15"/>
  <c r="H110" i="15"/>
  <c r="G110" i="15"/>
  <c r="F110" i="15"/>
  <c r="E110" i="15"/>
  <c r="D110" i="15"/>
  <c r="C110" i="15"/>
  <c r="N109" i="15"/>
  <c r="M109" i="15"/>
  <c r="L109" i="15"/>
  <c r="K109" i="15"/>
  <c r="J109" i="15"/>
  <c r="I109" i="15"/>
  <c r="H109" i="15"/>
  <c r="G109" i="15"/>
  <c r="F109" i="15"/>
  <c r="E109" i="15"/>
  <c r="D109" i="15"/>
  <c r="C109" i="15"/>
  <c r="N108" i="15"/>
  <c r="M108" i="15"/>
  <c r="L108" i="15"/>
  <c r="K108" i="15"/>
  <c r="J108" i="15"/>
  <c r="I108" i="15"/>
  <c r="H108" i="15"/>
  <c r="G108" i="15"/>
  <c r="F108" i="15"/>
  <c r="E108" i="15"/>
  <c r="D108" i="15"/>
  <c r="C108" i="15"/>
  <c r="N107" i="15"/>
  <c r="M107" i="15"/>
  <c r="L107" i="15"/>
  <c r="K107" i="15"/>
  <c r="J107" i="15"/>
  <c r="I107" i="15"/>
  <c r="H107" i="15"/>
  <c r="G107" i="15"/>
  <c r="F107" i="15"/>
  <c r="E107" i="15"/>
  <c r="D107" i="15"/>
  <c r="C107" i="15"/>
  <c r="N106" i="15"/>
  <c r="M106" i="15"/>
  <c r="L106" i="15"/>
  <c r="K106" i="15"/>
  <c r="J106" i="15"/>
  <c r="I106" i="15"/>
  <c r="H106" i="15"/>
  <c r="G106" i="15"/>
  <c r="F106" i="15"/>
  <c r="E106" i="15"/>
  <c r="D106" i="15"/>
  <c r="C106" i="15"/>
  <c r="N105" i="15"/>
  <c r="M105" i="15"/>
  <c r="L105" i="15"/>
  <c r="K105" i="15"/>
  <c r="J105" i="15"/>
  <c r="I105" i="15"/>
  <c r="H105" i="15"/>
  <c r="G105" i="15"/>
  <c r="F105" i="15"/>
  <c r="E105" i="15"/>
  <c r="D105" i="15"/>
  <c r="C105" i="15"/>
  <c r="N104" i="15"/>
  <c r="M104" i="15"/>
  <c r="L104" i="15"/>
  <c r="K104" i="15"/>
  <c r="J104" i="15"/>
  <c r="I104" i="15"/>
  <c r="H104" i="15"/>
  <c r="G104" i="15"/>
  <c r="F104" i="15"/>
  <c r="E104" i="15"/>
  <c r="D104" i="15"/>
  <c r="C104" i="15"/>
  <c r="N103" i="15"/>
  <c r="M103" i="15"/>
  <c r="L103" i="15"/>
  <c r="K103" i="15"/>
  <c r="J103" i="15"/>
  <c r="I103" i="15"/>
  <c r="H103" i="15"/>
  <c r="G103" i="15"/>
  <c r="F103" i="15"/>
  <c r="E103" i="15"/>
  <c r="D103" i="15"/>
  <c r="C103" i="15"/>
  <c r="N102" i="15"/>
  <c r="M102" i="15"/>
  <c r="L102" i="15"/>
  <c r="K102" i="15"/>
  <c r="J102" i="15"/>
  <c r="I102" i="15"/>
  <c r="H102" i="15"/>
  <c r="G102" i="15"/>
  <c r="F102" i="15"/>
  <c r="E102" i="15"/>
  <c r="D102" i="15"/>
  <c r="C102" i="15"/>
  <c r="N101" i="15"/>
  <c r="M101" i="15"/>
  <c r="L101" i="15"/>
  <c r="K101" i="15"/>
  <c r="J101" i="15"/>
  <c r="I101" i="15"/>
  <c r="H101" i="15"/>
  <c r="G101" i="15"/>
  <c r="F101" i="15"/>
  <c r="E101" i="15"/>
  <c r="D101" i="15"/>
  <c r="C101" i="15"/>
  <c r="N100" i="15"/>
  <c r="M100" i="15"/>
  <c r="L100" i="15"/>
  <c r="K100" i="15"/>
  <c r="J100" i="15"/>
  <c r="I100" i="15"/>
  <c r="H100" i="15"/>
  <c r="G100" i="15"/>
  <c r="F100" i="15"/>
  <c r="E100" i="15"/>
  <c r="D100" i="15"/>
  <c r="C100" i="15"/>
  <c r="N99" i="15"/>
  <c r="M99" i="15"/>
  <c r="L99" i="15"/>
  <c r="K99" i="15"/>
  <c r="J99" i="15"/>
  <c r="I99" i="15"/>
  <c r="H99" i="15"/>
  <c r="G99" i="15"/>
  <c r="F99" i="15"/>
  <c r="E99" i="15"/>
  <c r="D99" i="15"/>
  <c r="C99" i="15"/>
  <c r="N98" i="15"/>
  <c r="M98" i="15"/>
  <c r="L98" i="15"/>
  <c r="K98" i="15"/>
  <c r="J98" i="15"/>
  <c r="I98" i="15"/>
  <c r="H98" i="15"/>
  <c r="G98" i="15"/>
  <c r="F98" i="15"/>
  <c r="E98" i="15"/>
  <c r="D98" i="15"/>
  <c r="C98" i="15"/>
  <c r="N97" i="15"/>
  <c r="M97" i="15"/>
  <c r="L97" i="15"/>
  <c r="K97" i="15"/>
  <c r="J97" i="15"/>
  <c r="I97" i="15"/>
  <c r="H97" i="15"/>
  <c r="G97" i="15"/>
  <c r="F97" i="15"/>
  <c r="E97" i="15"/>
  <c r="D97" i="15"/>
  <c r="C97" i="15"/>
  <c r="N96" i="15"/>
  <c r="M96" i="15"/>
  <c r="L96" i="15"/>
  <c r="K96" i="15"/>
  <c r="J96" i="15"/>
  <c r="I96" i="15"/>
  <c r="H96" i="15"/>
  <c r="G96" i="15"/>
  <c r="F96" i="15"/>
  <c r="E96" i="15"/>
  <c r="D96" i="15"/>
  <c r="C96" i="15"/>
  <c r="N95" i="15"/>
  <c r="M95" i="15"/>
  <c r="L95" i="15"/>
  <c r="K95" i="15"/>
  <c r="J95" i="15"/>
  <c r="I95" i="15"/>
  <c r="H95" i="15"/>
  <c r="G95" i="15"/>
  <c r="F95" i="15"/>
  <c r="E95" i="15"/>
  <c r="D95" i="15"/>
  <c r="C95" i="15"/>
  <c r="J23" i="28" l="1" a="1"/>
  <c r="R47" i="26" a="1"/>
  <c r="R47" i="26" s="1"/>
  <c r="H2" i="24"/>
  <c r="J2" i="24" s="1"/>
  <c r="L2" i="24" s="1"/>
  <c r="V87" i="13" a="1"/>
  <c r="V54" i="13" a="1"/>
  <c r="V21" i="13" a="1"/>
  <c r="J26" i="28" l="1"/>
  <c r="J24" i="28"/>
  <c r="J25" i="28"/>
  <c r="J23" i="28"/>
  <c r="R51" i="26"/>
  <c r="R50" i="26"/>
  <c r="R54" i="26"/>
  <c r="R53" i="26"/>
  <c r="R55" i="26"/>
  <c r="R48" i="26"/>
  <c r="A2" i="26" s="1" a="1"/>
  <c r="R57" i="26"/>
  <c r="R49" i="26"/>
  <c r="R56" i="26"/>
  <c r="R58" i="26"/>
  <c r="R52" i="26"/>
  <c r="V16" i="11"/>
  <c r="V15" i="11"/>
  <c r="V14" i="11"/>
  <c r="V13" i="11"/>
  <c r="V12" i="11"/>
  <c r="V11" i="11"/>
  <c r="V10" i="11"/>
  <c r="V9" i="11"/>
  <c r="V8" i="11"/>
  <c r="V7" i="11"/>
  <c r="V6" i="11"/>
  <c r="V5" i="11"/>
  <c r="J17" i="8"/>
  <c r="K17" i="8"/>
  <c r="J18" i="8"/>
  <c r="K18" i="8"/>
  <c r="AG41" i="16"/>
  <c r="X45" i="16" a="1"/>
  <c r="X45" i="16" s="1"/>
  <c r="P40" i="16" a="1"/>
  <c r="P40" i="16" s="1"/>
  <c r="X35" i="16" a="1"/>
  <c r="X35" i="16" s="1"/>
  <c r="P30" i="16" a="1"/>
  <c r="P30" i="16" s="1"/>
  <c r="H14" i="16" a="1"/>
  <c r="H14" i="16" s="1"/>
  <c r="H10" i="16" a="1"/>
  <c r="H10" i="16" s="1"/>
  <c r="X12" i="3"/>
  <c r="W12" i="3"/>
  <c r="V12" i="3"/>
  <c r="S8" i="3"/>
  <c r="R8" i="3"/>
  <c r="E2" i="26" l="1"/>
  <c r="K2" i="26"/>
  <c r="F2" i="26"/>
  <c r="J2" i="26"/>
  <c r="L2" i="26"/>
  <c r="B2" i="26"/>
  <c r="I2" i="26"/>
  <c r="A2" i="26"/>
  <c r="H2" i="26"/>
  <c r="C2" i="26"/>
  <c r="D2" i="26"/>
  <c r="G2" i="26"/>
  <c r="A2" i="28" a="1"/>
  <c r="B2" i="28" s="1"/>
  <c r="D2" i="28"/>
  <c r="W18" i="11"/>
  <c r="Y47" i="16"/>
  <c r="Y46" i="16"/>
  <c r="X46" i="16"/>
  <c r="Y45" i="16"/>
  <c r="X47" i="16"/>
  <c r="Z46" i="16"/>
  <c r="Z45" i="16"/>
  <c r="Z47" i="16"/>
  <c r="P42" i="16"/>
  <c r="Q41" i="16"/>
  <c r="R40" i="16"/>
  <c r="Q42" i="16"/>
  <c r="Q40" i="16"/>
  <c r="R41" i="16"/>
  <c r="P41" i="16"/>
  <c r="R42" i="16"/>
  <c r="Y37" i="16"/>
  <c r="Y36" i="16"/>
  <c r="Z35" i="16"/>
  <c r="Z36" i="16"/>
  <c r="Y35" i="16"/>
  <c r="X37" i="16"/>
  <c r="X36" i="16"/>
  <c r="Z37" i="16"/>
  <c r="Q32" i="16"/>
  <c r="P32" i="16"/>
  <c r="R31" i="16"/>
  <c r="Q31" i="16"/>
  <c r="P31" i="16"/>
  <c r="R30" i="16"/>
  <c r="Q30" i="16"/>
  <c r="R32" i="16"/>
  <c r="I14" i="16"/>
  <c r="I15" i="16"/>
  <c r="H15" i="16"/>
  <c r="I11" i="16"/>
  <c r="H11" i="16"/>
  <c r="I10" i="16"/>
  <c r="H30" i="13"/>
  <c r="H31" i="13"/>
  <c r="H32" i="13"/>
  <c r="H33" i="13"/>
  <c r="H34" i="13"/>
  <c r="H35" i="13"/>
  <c r="H36" i="13"/>
  <c r="H37" i="13"/>
  <c r="H38" i="13"/>
  <c r="H39" i="13"/>
  <c r="H40" i="13"/>
  <c r="H41" i="13"/>
  <c r="R7" i="13"/>
  <c r="R8" i="13"/>
  <c r="H26" i="13" s="1"/>
  <c r="R9" i="13"/>
  <c r="H27" i="13" s="1"/>
  <c r="Q7" i="13" a="1"/>
  <c r="Q7" i="13" s="1"/>
  <c r="Q1" i="13" a="1"/>
  <c r="T1" i="13" s="1"/>
  <c r="A16" i="12"/>
  <c r="A15" i="12"/>
  <c r="A14" i="12"/>
  <c r="A13" i="12"/>
  <c r="A12" i="12"/>
  <c r="A11" i="12"/>
  <c r="A10" i="12"/>
  <c r="A9" i="12"/>
  <c r="A8" i="12"/>
  <c r="A7" i="12"/>
  <c r="A6" i="12"/>
  <c r="A5" i="12"/>
  <c r="R42" i="12" a="1"/>
  <c r="R42" i="12" s="1"/>
  <c r="O42" i="12" a="1"/>
  <c r="O43" i="12" s="1"/>
  <c r="K42" i="12" a="1"/>
  <c r="K42" i="12" s="1"/>
  <c r="Q11" i="12"/>
  <c r="R11" i="12"/>
  <c r="S11" i="12"/>
  <c r="Q12" i="12"/>
  <c r="R12" i="12"/>
  <c r="S12" i="12" s="1"/>
  <c r="H17" i="12"/>
  <c r="I17" i="12"/>
  <c r="J17" i="12"/>
  <c r="K17" i="12"/>
  <c r="H18" i="12"/>
  <c r="I18" i="12"/>
  <c r="J18" i="12"/>
  <c r="K18" i="12"/>
  <c r="H5" i="12"/>
  <c r="I5" i="12"/>
  <c r="J5" i="12"/>
  <c r="K5" i="12"/>
  <c r="H6" i="12"/>
  <c r="I6" i="12"/>
  <c r="J6" i="12"/>
  <c r="K6" i="12"/>
  <c r="H7" i="12"/>
  <c r="I7" i="12"/>
  <c r="J7" i="12"/>
  <c r="R5" i="12" s="1"/>
  <c r="K7" i="12"/>
  <c r="H8" i="12"/>
  <c r="I8" i="12"/>
  <c r="J8" i="12"/>
  <c r="K8" i="12"/>
  <c r="H9" i="12"/>
  <c r="H27" i="12" s="1"/>
  <c r="I9" i="12"/>
  <c r="J9" i="12"/>
  <c r="K9" i="12"/>
  <c r="H10" i="12"/>
  <c r="I10" i="12"/>
  <c r="J10" i="12"/>
  <c r="K10" i="12"/>
  <c r="S6" i="12" s="1"/>
  <c r="H11" i="12"/>
  <c r="I11" i="12"/>
  <c r="J11" i="12"/>
  <c r="K11" i="12"/>
  <c r="H12" i="12"/>
  <c r="I12" i="12"/>
  <c r="J12" i="12"/>
  <c r="K12" i="12"/>
  <c r="H13" i="12"/>
  <c r="H31" i="12" s="1"/>
  <c r="I13" i="12"/>
  <c r="J13" i="12"/>
  <c r="K13" i="12"/>
  <c r="H14" i="12"/>
  <c r="I14" i="12"/>
  <c r="J14" i="12"/>
  <c r="K14" i="12"/>
  <c r="I23" i="12" s="1" a="1"/>
  <c r="K23" i="12" s="1"/>
  <c r="H15" i="12"/>
  <c r="I15" i="12"/>
  <c r="J15" i="12"/>
  <c r="K15" i="12"/>
  <c r="H16" i="12"/>
  <c r="H34" i="12" s="1"/>
  <c r="I16" i="12"/>
  <c r="J16" i="12"/>
  <c r="K16" i="12"/>
  <c r="Q5" i="12"/>
  <c r="R6" i="12"/>
  <c r="H23" i="12"/>
  <c r="H24" i="12"/>
  <c r="H25" i="12"/>
  <c r="H26" i="12"/>
  <c r="H28" i="12"/>
  <c r="H29" i="12"/>
  <c r="H30" i="12"/>
  <c r="H32" i="12"/>
  <c r="H33" i="12"/>
  <c r="AP6" i="11"/>
  <c r="AO6" i="11"/>
  <c r="AH6" i="11"/>
  <c r="AG6" i="11"/>
  <c r="AL5" i="11"/>
  <c r="AK5" i="11"/>
  <c r="AG5" i="11"/>
  <c r="AG5" i="11" a="1"/>
  <c r="AM11" i="11" s="1"/>
  <c r="A2" i="28" l="1"/>
  <c r="F168" i="28" s="1"/>
  <c r="N260" i="26"/>
  <c r="N68" i="26"/>
  <c r="N13" i="26"/>
  <c r="N308" i="26"/>
  <c r="N363" i="26"/>
  <c r="N418" i="26"/>
  <c r="N9" i="26"/>
  <c r="N64" i="26"/>
  <c r="N127" i="26"/>
  <c r="N190" i="26"/>
  <c r="N261" i="26"/>
  <c r="N236" i="26"/>
  <c r="N291" i="26"/>
  <c r="N346" i="26"/>
  <c r="N504" i="26"/>
  <c r="N441" i="26"/>
  <c r="N55" i="26"/>
  <c r="N118" i="26"/>
  <c r="N189" i="26"/>
  <c r="N164" i="26"/>
  <c r="N219" i="26"/>
  <c r="N274" i="26"/>
  <c r="N432" i="26"/>
  <c r="N495" i="26"/>
  <c r="N353" i="26"/>
  <c r="N46" i="26"/>
  <c r="N117" i="26"/>
  <c r="N92" i="26"/>
  <c r="N147" i="26"/>
  <c r="N202" i="26"/>
  <c r="N360" i="26"/>
  <c r="N423" i="26"/>
  <c r="N486" i="26"/>
  <c r="N305" i="26"/>
  <c r="N45" i="26"/>
  <c r="N20" i="26"/>
  <c r="N75" i="26"/>
  <c r="N130" i="26"/>
  <c r="N288" i="26"/>
  <c r="N351" i="26"/>
  <c r="N414" i="26"/>
  <c r="N485" i="26"/>
  <c r="N460" i="26"/>
  <c r="N476" i="26"/>
  <c r="N465" i="26"/>
  <c r="N58" i="26"/>
  <c r="N216" i="26"/>
  <c r="N279" i="26"/>
  <c r="N342" i="26"/>
  <c r="N413" i="26"/>
  <c r="N452" i="26"/>
  <c r="N379" i="26"/>
  <c r="N434" i="26"/>
  <c r="N25" i="26"/>
  <c r="N80" i="26"/>
  <c r="N143" i="26"/>
  <c r="N206" i="26"/>
  <c r="N277" i="26"/>
  <c r="N316" i="26"/>
  <c r="N371" i="26"/>
  <c r="N426" i="26"/>
  <c r="N17" i="26"/>
  <c r="N72" i="26"/>
  <c r="N135" i="26"/>
  <c r="N198" i="26"/>
  <c r="N269" i="26"/>
  <c r="N205" i="26"/>
  <c r="N162" i="26"/>
  <c r="N90" i="26"/>
  <c r="N445" i="26"/>
  <c r="N18" i="26"/>
  <c r="N348" i="26"/>
  <c r="N167" i="26"/>
  <c r="N386" i="26"/>
  <c r="N204" i="26"/>
  <c r="N86" i="26"/>
  <c r="N336" i="26"/>
  <c r="N115" i="26"/>
  <c r="N244" i="26"/>
  <c r="N299" i="26"/>
  <c r="N354" i="26"/>
  <c r="N41" i="26"/>
  <c r="N505" i="26"/>
  <c r="N63" i="26"/>
  <c r="N126" i="26"/>
  <c r="N197" i="26"/>
  <c r="N172" i="26"/>
  <c r="N227" i="26"/>
  <c r="N282" i="26"/>
  <c r="N440" i="26"/>
  <c r="N503" i="26"/>
  <c r="N425" i="26"/>
  <c r="N54" i="26"/>
  <c r="N125" i="26"/>
  <c r="N100" i="26"/>
  <c r="N155" i="26"/>
  <c r="N210" i="26"/>
  <c r="N368" i="26"/>
  <c r="N431" i="26"/>
  <c r="N494" i="26"/>
  <c r="N369" i="26"/>
  <c r="N53" i="26"/>
  <c r="N28" i="26"/>
  <c r="N83" i="26"/>
  <c r="N138" i="26"/>
  <c r="N296" i="26"/>
  <c r="N359" i="26"/>
  <c r="N422" i="26"/>
  <c r="N493" i="26"/>
  <c r="N484" i="26"/>
  <c r="N500" i="26"/>
  <c r="N11" i="26"/>
  <c r="N66" i="26"/>
  <c r="N224" i="26"/>
  <c r="N287" i="26"/>
  <c r="N350" i="26"/>
  <c r="N421" i="26"/>
  <c r="N396" i="26"/>
  <c r="N451" i="26"/>
  <c r="N506" i="26"/>
  <c r="N385" i="26"/>
  <c r="N152" i="26"/>
  <c r="N215" i="26"/>
  <c r="N278" i="26"/>
  <c r="N349" i="26"/>
  <c r="N388" i="26"/>
  <c r="N315" i="26"/>
  <c r="N370" i="26"/>
  <c r="N169" i="26"/>
  <c r="N16" i="26"/>
  <c r="N79" i="26"/>
  <c r="N142" i="26"/>
  <c r="N213" i="26"/>
  <c r="N252" i="26"/>
  <c r="N307" i="26"/>
  <c r="N362" i="26"/>
  <c r="N121" i="26"/>
  <c r="N8" i="26"/>
  <c r="N71" i="26"/>
  <c r="N134" i="26"/>
  <c r="N320" i="26"/>
  <c r="N311" i="26"/>
  <c r="N475" i="26"/>
  <c r="N239" i="26"/>
  <c r="N81" i="26"/>
  <c r="N301" i="26"/>
  <c r="N95" i="26"/>
  <c r="N201" i="26"/>
  <c r="N399" i="26"/>
  <c r="N391" i="26"/>
  <c r="N256" i="26"/>
  <c r="N209" i="26"/>
  <c r="N310" i="26"/>
  <c r="N89" i="26"/>
  <c r="N339" i="26"/>
  <c r="N237" i="26"/>
  <c r="N180" i="26"/>
  <c r="N235" i="26"/>
  <c r="N290" i="26"/>
  <c r="N448" i="26"/>
  <c r="N49" i="26"/>
  <c r="N497" i="26"/>
  <c r="N62" i="26"/>
  <c r="N133" i="26"/>
  <c r="N108" i="26"/>
  <c r="N163" i="26"/>
  <c r="N218" i="26"/>
  <c r="N376" i="26"/>
  <c r="N439" i="26"/>
  <c r="N502" i="26"/>
  <c r="N433" i="26"/>
  <c r="N61" i="26"/>
  <c r="N36" i="26"/>
  <c r="N91" i="26"/>
  <c r="N146" i="26"/>
  <c r="N304" i="26"/>
  <c r="N367" i="26"/>
  <c r="N430" i="26"/>
  <c r="N501" i="26"/>
  <c r="N508" i="26"/>
  <c r="N105" i="26"/>
  <c r="N19" i="26"/>
  <c r="N74" i="26"/>
  <c r="N232" i="26"/>
  <c r="N295" i="26"/>
  <c r="N358" i="26"/>
  <c r="N429" i="26"/>
  <c r="N404" i="26"/>
  <c r="N459" i="26"/>
  <c r="N468" i="26"/>
  <c r="N449" i="26"/>
  <c r="N160" i="26"/>
  <c r="N223" i="26"/>
  <c r="N286" i="26"/>
  <c r="N357" i="26"/>
  <c r="N332" i="26"/>
  <c r="N387" i="26"/>
  <c r="N442" i="26"/>
  <c r="N33" i="26"/>
  <c r="N88" i="26"/>
  <c r="N151" i="26"/>
  <c r="N214" i="26"/>
  <c r="N285" i="26"/>
  <c r="N324" i="26"/>
  <c r="N251" i="26"/>
  <c r="N306" i="26"/>
  <c r="N464" i="26"/>
  <c r="N161" i="26"/>
  <c r="N15" i="26"/>
  <c r="N78" i="26"/>
  <c r="N149" i="26"/>
  <c r="N188" i="26"/>
  <c r="N243" i="26"/>
  <c r="N298" i="26"/>
  <c r="N456" i="26"/>
  <c r="N113" i="26"/>
  <c r="N7" i="26"/>
  <c r="N70" i="26"/>
  <c r="N141" i="26"/>
  <c r="N77" i="26"/>
  <c r="N107" i="26"/>
  <c r="N383" i="26"/>
  <c r="N5" i="26"/>
  <c r="N297" i="26"/>
  <c r="N248" i="26"/>
  <c r="N420" i="26"/>
  <c r="N176" i="26"/>
  <c r="N403" i="26"/>
  <c r="N230" i="26"/>
  <c r="N32" i="26"/>
  <c r="N314" i="26"/>
  <c r="N132" i="26"/>
  <c r="N145" i="26"/>
  <c r="N328" i="26"/>
  <c r="N361" i="26"/>
  <c r="N428" i="26"/>
  <c r="N247" i="26"/>
  <c r="N466" i="26"/>
  <c r="N309" i="26"/>
  <c r="N40" i="26"/>
  <c r="N212" i="26"/>
  <c r="N116" i="26"/>
  <c r="N171" i="26"/>
  <c r="N226" i="26"/>
  <c r="N384" i="26"/>
  <c r="N447" i="26"/>
  <c r="N510" i="26"/>
  <c r="N489" i="26"/>
  <c r="N69" i="26"/>
  <c r="N44" i="26"/>
  <c r="N99" i="26"/>
  <c r="N154" i="26"/>
  <c r="N312" i="26"/>
  <c r="N375" i="26"/>
  <c r="N438" i="26"/>
  <c r="N509" i="26"/>
  <c r="N153" i="26"/>
  <c r="N225" i="26"/>
  <c r="N27" i="26"/>
  <c r="N82" i="26"/>
  <c r="N240" i="26"/>
  <c r="N303" i="26"/>
  <c r="N366" i="26"/>
  <c r="N437" i="26"/>
  <c r="N412" i="26"/>
  <c r="N467" i="26"/>
  <c r="N492" i="26"/>
  <c r="N10" i="26"/>
  <c r="N168" i="26"/>
  <c r="N231" i="26"/>
  <c r="N294" i="26"/>
  <c r="N365" i="26"/>
  <c r="N340" i="26"/>
  <c r="N395" i="26"/>
  <c r="N450" i="26"/>
  <c r="N73" i="26"/>
  <c r="N96" i="26"/>
  <c r="N159" i="26"/>
  <c r="N222" i="26"/>
  <c r="N293" i="26"/>
  <c r="N268" i="26"/>
  <c r="N323" i="26"/>
  <c r="N378" i="26"/>
  <c r="N217" i="26"/>
  <c r="N24" i="26"/>
  <c r="N87" i="26"/>
  <c r="N150" i="26"/>
  <c r="N221" i="26"/>
  <c r="N196" i="26"/>
  <c r="N187" i="26"/>
  <c r="N242" i="26"/>
  <c r="N400" i="26"/>
  <c r="N463" i="26"/>
  <c r="N129" i="26"/>
  <c r="N14" i="26"/>
  <c r="N85" i="26"/>
  <c r="N124" i="26"/>
  <c r="N179" i="26"/>
  <c r="N234" i="26"/>
  <c r="N392" i="26"/>
  <c r="N455" i="26"/>
  <c r="N57" i="26"/>
  <c r="N6" i="26"/>
  <c r="N52" i="26"/>
  <c r="N446" i="26"/>
  <c r="N265" i="26"/>
  <c r="N35" i="26"/>
  <c r="N374" i="26"/>
  <c r="N97" i="26"/>
  <c r="N302" i="26"/>
  <c r="N104" i="26"/>
  <c r="N331" i="26"/>
  <c r="N158" i="26"/>
  <c r="N472" i="26"/>
  <c r="N123" i="26"/>
  <c r="N21" i="26"/>
  <c r="N454" i="26"/>
  <c r="N43" i="26"/>
  <c r="N453" i="26"/>
  <c r="N26" i="26"/>
  <c r="N411" i="26"/>
  <c r="N238" i="26"/>
  <c r="N345" i="26"/>
  <c r="N267" i="26"/>
  <c r="N436" i="26"/>
  <c r="N491" i="26"/>
  <c r="N273" i="26"/>
  <c r="N34" i="26"/>
  <c r="N192" i="26"/>
  <c r="N255" i="26"/>
  <c r="N318" i="26"/>
  <c r="N389" i="26"/>
  <c r="N364" i="26"/>
  <c r="N419" i="26"/>
  <c r="N474" i="26"/>
  <c r="N137" i="26"/>
  <c r="N120" i="26"/>
  <c r="N183" i="26"/>
  <c r="N246" i="26"/>
  <c r="N317" i="26"/>
  <c r="N292" i="26"/>
  <c r="N347" i="26"/>
  <c r="N402" i="26"/>
  <c r="N409" i="26"/>
  <c r="N48" i="26"/>
  <c r="N111" i="26"/>
  <c r="N174" i="26"/>
  <c r="N245" i="26"/>
  <c r="N220" i="26"/>
  <c r="N275" i="26"/>
  <c r="N330" i="26"/>
  <c r="N488" i="26"/>
  <c r="N313" i="26"/>
  <c r="N39" i="26"/>
  <c r="N102" i="26"/>
  <c r="N173" i="26"/>
  <c r="N148" i="26"/>
  <c r="N203" i="26"/>
  <c r="N258" i="26"/>
  <c r="N416" i="26"/>
  <c r="N479" i="26"/>
  <c r="N233" i="26"/>
  <c r="N30" i="26"/>
  <c r="N101" i="26"/>
  <c r="N76" i="26"/>
  <c r="N131" i="26"/>
  <c r="N186" i="26"/>
  <c r="N344" i="26"/>
  <c r="N407" i="26"/>
  <c r="N470" i="26"/>
  <c r="N193" i="26"/>
  <c r="N29" i="26"/>
  <c r="N507" i="26"/>
  <c r="N401" i="26"/>
  <c r="N50" i="26"/>
  <c r="N208" i="26"/>
  <c r="N271" i="26"/>
  <c r="N334" i="26"/>
  <c r="N405" i="26"/>
  <c r="N444" i="26"/>
  <c r="N499" i="26"/>
  <c r="N337" i="26"/>
  <c r="N42" i="26"/>
  <c r="N200" i="26"/>
  <c r="N263" i="26"/>
  <c r="N326" i="26"/>
  <c r="N397" i="26"/>
  <c r="N457" i="26"/>
  <c r="N498" i="26"/>
  <c r="N144" i="26"/>
  <c r="N270" i="26"/>
  <c r="N380" i="26"/>
  <c r="N490" i="26"/>
  <c r="N136" i="26"/>
  <c r="N262" i="26"/>
  <c r="N373" i="26"/>
  <c r="N276" i="26"/>
  <c r="N229" i="26"/>
  <c r="N23" i="26"/>
  <c r="N178" i="26"/>
  <c r="N60" i="26"/>
  <c r="N65" i="26"/>
  <c r="N98" i="26"/>
  <c r="N319" i="26"/>
  <c r="N483" i="26"/>
  <c r="N381" i="26"/>
  <c r="N112" i="26"/>
  <c r="N284" i="26"/>
  <c r="N103" i="26"/>
  <c r="N372" i="26"/>
  <c r="N427" i="26"/>
  <c r="N482" i="26"/>
  <c r="N185" i="26"/>
  <c r="N128" i="26"/>
  <c r="N191" i="26"/>
  <c r="N254" i="26"/>
  <c r="N325" i="26"/>
  <c r="N300" i="26"/>
  <c r="N355" i="26"/>
  <c r="N410" i="26"/>
  <c r="N473" i="26"/>
  <c r="N56" i="26"/>
  <c r="N119" i="26"/>
  <c r="N182" i="26"/>
  <c r="N253" i="26"/>
  <c r="N228" i="26"/>
  <c r="N283" i="26"/>
  <c r="N338" i="26"/>
  <c r="N496" i="26"/>
  <c r="N377" i="26"/>
  <c r="N47" i="26"/>
  <c r="N110" i="26"/>
  <c r="N181" i="26"/>
  <c r="N156" i="26"/>
  <c r="N211" i="26"/>
  <c r="N266" i="26"/>
  <c r="N424" i="26"/>
  <c r="N487" i="26"/>
  <c r="N289" i="26"/>
  <c r="N38" i="26"/>
  <c r="N109" i="26"/>
  <c r="N84" i="26"/>
  <c r="N139" i="26"/>
  <c r="N194" i="26"/>
  <c r="N352" i="26"/>
  <c r="N415" i="26"/>
  <c r="N478" i="26"/>
  <c r="N241" i="26"/>
  <c r="N37" i="26"/>
  <c r="N12" i="26"/>
  <c r="N67" i="26"/>
  <c r="N122" i="26"/>
  <c r="N280" i="26"/>
  <c r="N343" i="26"/>
  <c r="N406" i="26"/>
  <c r="N477" i="26"/>
  <c r="N443" i="26"/>
  <c r="N321" i="26"/>
  <c r="N207" i="26"/>
  <c r="N341" i="26"/>
  <c r="N435" i="26"/>
  <c r="N257" i="26"/>
  <c r="N199" i="26"/>
  <c r="N333" i="26"/>
  <c r="N458" i="26"/>
  <c r="N281" i="26"/>
  <c r="N259" i="26"/>
  <c r="N157" i="26"/>
  <c r="N462" i="26"/>
  <c r="N170" i="26"/>
  <c r="N329" i="26"/>
  <c r="N382" i="26"/>
  <c r="N184" i="26"/>
  <c r="N356" i="26"/>
  <c r="N175" i="26"/>
  <c r="N394" i="26"/>
  <c r="N166" i="26"/>
  <c r="N31" i="26"/>
  <c r="N177" i="26"/>
  <c r="N398" i="26"/>
  <c r="N390" i="26"/>
  <c r="N114" i="26"/>
  <c r="N327" i="26"/>
  <c r="N94" i="26"/>
  <c r="N22" i="26"/>
  <c r="N469" i="26"/>
  <c r="N461" i="26"/>
  <c r="N51" i="26"/>
  <c r="N408" i="26"/>
  <c r="N165" i="26"/>
  <c r="N93" i="26"/>
  <c r="N393" i="26"/>
  <c r="N264" i="26"/>
  <c r="N140" i="26"/>
  <c r="N481" i="26"/>
  <c r="N417" i="26"/>
  <c r="N59" i="26"/>
  <c r="N272" i="26"/>
  <c r="N195" i="26"/>
  <c r="N322" i="26"/>
  <c r="N250" i="26"/>
  <c r="N106" i="26"/>
  <c r="N480" i="26"/>
  <c r="N249" i="26"/>
  <c r="N471" i="26"/>
  <c r="N335" i="26"/>
  <c r="C2" i="28"/>
  <c r="F13" i="28"/>
  <c r="F42" i="28"/>
  <c r="F50" i="28"/>
  <c r="F104" i="28"/>
  <c r="F112" i="28"/>
  <c r="F144" i="28"/>
  <c r="F176" i="28"/>
  <c r="F208" i="28"/>
  <c r="F232" i="28"/>
  <c r="F272" i="28"/>
  <c r="F296" i="28"/>
  <c r="F304" i="28"/>
  <c r="F360" i="28"/>
  <c r="F368" i="28"/>
  <c r="F400" i="28"/>
  <c r="F432" i="28"/>
  <c r="F464" i="28"/>
  <c r="F488" i="28"/>
  <c r="F84" i="28"/>
  <c r="F172" i="28"/>
  <c r="F204" i="28"/>
  <c r="F308" i="28"/>
  <c r="F340" i="28"/>
  <c r="F27" i="28"/>
  <c r="F43" i="28"/>
  <c r="F73" i="28"/>
  <c r="F81" i="28"/>
  <c r="F105" i="28"/>
  <c r="F113" i="28"/>
  <c r="F137" i="28"/>
  <c r="F161" i="28"/>
  <c r="F169" i="28"/>
  <c r="F177" i="28"/>
  <c r="F209" i="28"/>
  <c r="F225" i="28"/>
  <c r="F233" i="28"/>
  <c r="F265" i="28"/>
  <c r="F273" i="28"/>
  <c r="F289" i="28"/>
  <c r="F297" i="28"/>
  <c r="F305" i="28"/>
  <c r="F329" i="28"/>
  <c r="F337" i="28"/>
  <c r="F353" i="28"/>
  <c r="F361" i="28"/>
  <c r="F369" i="28"/>
  <c r="F393" i="28"/>
  <c r="F401" i="28"/>
  <c r="F417" i="28"/>
  <c r="F425" i="28"/>
  <c r="F433" i="28"/>
  <c r="F457" i="28"/>
  <c r="F465" i="28"/>
  <c r="F481" i="28"/>
  <c r="F489" i="28"/>
  <c r="F497" i="28"/>
  <c r="F76" i="28"/>
  <c r="F108" i="28"/>
  <c r="F164" i="28"/>
  <c r="F196" i="28"/>
  <c r="F220" i="28"/>
  <c r="F316" i="28"/>
  <c r="F348" i="28"/>
  <c r="F18" i="28"/>
  <c r="F22" i="28"/>
  <c r="F28" i="28"/>
  <c r="F48" i="28"/>
  <c r="F56" i="28"/>
  <c r="F74" i="28"/>
  <c r="F82" i="28"/>
  <c r="F90" i="28"/>
  <c r="F114" i="28"/>
  <c r="F122" i="28"/>
  <c r="F138" i="28"/>
  <c r="F146" i="28"/>
  <c r="F154" i="28"/>
  <c r="F162" i="28"/>
  <c r="F178" i="28"/>
  <c r="F186" i="28"/>
  <c r="F202" i="28"/>
  <c r="F210" i="28"/>
  <c r="F218" i="28"/>
  <c r="F226" i="28"/>
  <c r="F242" i="28"/>
  <c r="F250" i="28"/>
  <c r="F266" i="28"/>
  <c r="F274" i="28"/>
  <c r="F282" i="28"/>
  <c r="F290" i="28"/>
  <c r="F306" i="28"/>
  <c r="F314" i="28"/>
  <c r="F330" i="28"/>
  <c r="F338" i="28"/>
  <c r="F346" i="28"/>
  <c r="F354" i="28"/>
  <c r="F370" i="28"/>
  <c r="F378" i="28"/>
  <c r="F394" i="28"/>
  <c r="F402" i="28"/>
  <c r="F410" i="28"/>
  <c r="F418" i="28"/>
  <c r="F434" i="28"/>
  <c r="F442" i="28"/>
  <c r="F458" i="28"/>
  <c r="F466" i="28"/>
  <c r="F474" i="28"/>
  <c r="F482" i="28"/>
  <c r="F490" i="28"/>
  <c r="F498" i="28"/>
  <c r="F506" i="28"/>
  <c r="F38" i="28"/>
  <c r="F60" i="28"/>
  <c r="F92" i="28"/>
  <c r="F124" i="28"/>
  <c r="F156" i="28"/>
  <c r="F188" i="28"/>
  <c r="F228" i="28"/>
  <c r="F260" i="28"/>
  <c r="F292" i="28"/>
  <c r="F324" i="28"/>
  <c r="F356" i="28"/>
  <c r="F9" i="28"/>
  <c r="F12" i="28"/>
  <c r="F16" i="28"/>
  <c r="F23" i="28"/>
  <c r="F25" i="28"/>
  <c r="F29" i="28"/>
  <c r="F37" i="28"/>
  <c r="F45" i="28"/>
  <c r="F51" i="28"/>
  <c r="F59" i="28"/>
  <c r="F67" i="28"/>
  <c r="F75" i="28"/>
  <c r="F83" i="28"/>
  <c r="F91" i="28"/>
  <c r="F99" i="28"/>
  <c r="F107" i="28"/>
  <c r="F115" i="28"/>
  <c r="F123" i="28"/>
  <c r="F131" i="28"/>
  <c r="F139" i="28"/>
  <c r="F147" i="28"/>
  <c r="F155" i="28"/>
  <c r="F163" i="28"/>
  <c r="F171" i="28"/>
  <c r="F179" i="28"/>
  <c r="F187" i="28"/>
  <c r="F195" i="28"/>
  <c r="F203" i="28"/>
  <c r="F211" i="28"/>
  <c r="F219" i="28"/>
  <c r="F227" i="28"/>
  <c r="F235" i="28"/>
  <c r="F243" i="28"/>
  <c r="F251" i="28"/>
  <c r="F259" i="28"/>
  <c r="F267" i="28"/>
  <c r="F275" i="28"/>
  <c r="F283" i="28"/>
  <c r="F291" i="28"/>
  <c r="F299" i="28"/>
  <c r="F307" i="28"/>
  <c r="F315" i="28"/>
  <c r="F323" i="28"/>
  <c r="F331" i="28"/>
  <c r="F339" i="28"/>
  <c r="F347" i="28"/>
  <c r="F355" i="28"/>
  <c r="F363" i="28"/>
  <c r="F371" i="28"/>
  <c r="F379" i="28"/>
  <c r="F387" i="28"/>
  <c r="F395" i="28"/>
  <c r="F403" i="28"/>
  <c r="F411" i="28"/>
  <c r="F419" i="28"/>
  <c r="F427" i="28"/>
  <c r="F435" i="28"/>
  <c r="F443" i="28"/>
  <c r="F451" i="28"/>
  <c r="F459" i="28"/>
  <c r="F467" i="28"/>
  <c r="F475" i="28"/>
  <c r="F483" i="28"/>
  <c r="F491" i="28"/>
  <c r="F499" i="28"/>
  <c r="F507" i="28"/>
  <c r="F46" i="28"/>
  <c r="F100" i="28"/>
  <c r="F140" i="28"/>
  <c r="F180" i="28"/>
  <c r="F212" i="28"/>
  <c r="F268" i="28"/>
  <c r="F300" i="28"/>
  <c r="F332" i="28"/>
  <c r="F364" i="28"/>
  <c r="F10" i="28"/>
  <c r="F17" i="28"/>
  <c r="F20" i="28"/>
  <c r="F7" i="28"/>
  <c r="F11" i="28"/>
  <c r="F14" i="28"/>
  <c r="F31" i="28"/>
  <c r="F39" i="28"/>
  <c r="F47" i="28"/>
  <c r="F49" i="28"/>
  <c r="F57" i="28"/>
  <c r="F61" i="28"/>
  <c r="F69" i="28"/>
  <c r="F77" i="28"/>
  <c r="F85" i="28"/>
  <c r="F93" i="28"/>
  <c r="F101" i="28"/>
  <c r="F109" i="28"/>
  <c r="F117" i="28"/>
  <c r="F125" i="28"/>
  <c r="F133" i="28"/>
  <c r="F141" i="28"/>
  <c r="F149" i="28"/>
  <c r="F157" i="28"/>
  <c r="F165" i="28"/>
  <c r="F173" i="28"/>
  <c r="F181" i="28"/>
  <c r="F189" i="28"/>
  <c r="F197" i="28"/>
  <c r="F205" i="28"/>
  <c r="F213" i="28"/>
  <c r="F221" i="28"/>
  <c r="F229" i="28"/>
  <c r="F237" i="28"/>
  <c r="F245" i="28"/>
  <c r="F253" i="28"/>
  <c r="F261" i="28"/>
  <c r="F269" i="28"/>
  <c r="F277" i="28"/>
  <c r="F285" i="28"/>
  <c r="F293" i="28"/>
  <c r="F301" i="28"/>
  <c r="F309" i="28"/>
  <c r="F317" i="28"/>
  <c r="F325" i="28"/>
  <c r="F333" i="28"/>
  <c r="F341" i="28"/>
  <c r="F349" i="28"/>
  <c r="F357" i="28"/>
  <c r="F365" i="28"/>
  <c r="F373" i="28"/>
  <c r="F381" i="28"/>
  <c r="F389" i="28"/>
  <c r="F397" i="28"/>
  <c r="F405" i="28"/>
  <c r="F413" i="28"/>
  <c r="F421" i="28"/>
  <c r="F429" i="28"/>
  <c r="F437" i="28"/>
  <c r="F445" i="28"/>
  <c r="F453" i="28"/>
  <c r="F461" i="28"/>
  <c r="F469" i="28"/>
  <c r="F477" i="28"/>
  <c r="F485" i="28"/>
  <c r="F493" i="28"/>
  <c r="F501" i="28"/>
  <c r="F509" i="28"/>
  <c r="F26" i="28"/>
  <c r="F32" i="28"/>
  <c r="F40" i="28"/>
  <c r="F78" i="28"/>
  <c r="F110" i="28"/>
  <c r="F142" i="28"/>
  <c r="F174" i="28"/>
  <c r="F206" i="28"/>
  <c r="F238" i="28"/>
  <c r="F270" i="28"/>
  <c r="F302" i="28"/>
  <c r="F334" i="28"/>
  <c r="F366" i="28"/>
  <c r="F388" i="28"/>
  <c r="F407" i="28"/>
  <c r="F430" i="28"/>
  <c r="F452" i="28"/>
  <c r="F471" i="28"/>
  <c r="F494" i="28"/>
  <c r="F478" i="28"/>
  <c r="F63" i="28"/>
  <c r="F223" i="28"/>
  <c r="F287" i="28"/>
  <c r="F380" i="28"/>
  <c r="F463" i="28"/>
  <c r="F167" i="28"/>
  <c r="F470" i="28"/>
  <c r="F33" i="28"/>
  <c r="F55" i="28"/>
  <c r="F79" i="28"/>
  <c r="F111" i="28"/>
  <c r="F143" i="28"/>
  <c r="F175" i="28"/>
  <c r="F207" i="28"/>
  <c r="F239" i="28"/>
  <c r="F271" i="28"/>
  <c r="F303" i="28"/>
  <c r="F335" i="28"/>
  <c r="F367" i="28"/>
  <c r="F390" i="28"/>
  <c r="F412" i="28"/>
  <c r="F431" i="28"/>
  <c r="F454" i="28"/>
  <c r="F476" i="28"/>
  <c r="F495" i="28"/>
  <c r="F455" i="28"/>
  <c r="F484" i="28"/>
  <c r="F191" i="28"/>
  <c r="F255" i="28"/>
  <c r="F319" i="28"/>
  <c r="F399" i="28"/>
  <c r="F486" i="28"/>
  <c r="F199" i="28"/>
  <c r="F492" i="28"/>
  <c r="F41" i="28"/>
  <c r="F86" i="28"/>
  <c r="F118" i="28"/>
  <c r="F150" i="28"/>
  <c r="F182" i="28"/>
  <c r="F214" i="28"/>
  <c r="F246" i="28"/>
  <c r="F278" i="28"/>
  <c r="F310" i="28"/>
  <c r="F342" i="28"/>
  <c r="F372" i="28"/>
  <c r="F391" i="28"/>
  <c r="F414" i="28"/>
  <c r="F436" i="28"/>
  <c r="F500" i="28"/>
  <c r="F503" i="28"/>
  <c r="F127" i="28"/>
  <c r="F422" i="28"/>
  <c r="F508" i="28"/>
  <c r="F87" i="28"/>
  <c r="F119" i="28"/>
  <c r="F151" i="28"/>
  <c r="F183" i="28"/>
  <c r="F215" i="28"/>
  <c r="F247" i="28"/>
  <c r="F279" i="28"/>
  <c r="F311" i="28"/>
  <c r="F343" i="28"/>
  <c r="F374" i="28"/>
  <c r="F396" i="28"/>
  <c r="F415" i="28"/>
  <c r="F438" i="28"/>
  <c r="F460" i="28"/>
  <c r="F479" i="28"/>
  <c r="F502" i="28"/>
  <c r="F95" i="28"/>
  <c r="F351" i="28"/>
  <c r="F444" i="28"/>
  <c r="F295" i="28"/>
  <c r="F62" i="28"/>
  <c r="F94" i="28"/>
  <c r="F126" i="28"/>
  <c r="F158" i="28"/>
  <c r="F190" i="28"/>
  <c r="F222" i="28"/>
  <c r="F254" i="28"/>
  <c r="F286" i="28"/>
  <c r="F318" i="28"/>
  <c r="F350" i="28"/>
  <c r="F375" i="28"/>
  <c r="F398" i="28"/>
  <c r="F420" i="28"/>
  <c r="F439" i="28"/>
  <c r="F462" i="28"/>
  <c r="F159" i="28"/>
  <c r="F19" i="28"/>
  <c r="F231" i="28"/>
  <c r="F359" i="28"/>
  <c r="F406" i="28"/>
  <c r="F447" i="28"/>
  <c r="F52" i="28"/>
  <c r="F70" i="28"/>
  <c r="F102" i="28"/>
  <c r="F134" i="28"/>
  <c r="F166" i="28"/>
  <c r="F198" i="28"/>
  <c r="F230" i="28"/>
  <c r="F262" i="28"/>
  <c r="F294" i="28"/>
  <c r="F326" i="28"/>
  <c r="F358" i="28"/>
  <c r="F382" i="28"/>
  <c r="F404" i="28"/>
  <c r="F423" i="28"/>
  <c r="F446" i="28"/>
  <c r="F468" i="28"/>
  <c r="F487" i="28"/>
  <c r="F510" i="28"/>
  <c r="F71" i="28"/>
  <c r="F103" i="28"/>
  <c r="F135" i="28"/>
  <c r="F263" i="28"/>
  <c r="F327" i="28"/>
  <c r="F383" i="28"/>
  <c r="F428" i="28"/>
  <c r="H25" i="13"/>
  <c r="S7" i="13" a="1"/>
  <c r="S10" i="13" s="1"/>
  <c r="Q9" i="13"/>
  <c r="Q8" i="13"/>
  <c r="T4" i="13"/>
  <c r="X3" i="13"/>
  <c r="AB2" i="13"/>
  <c r="T2" i="13"/>
  <c r="X1" i="13"/>
  <c r="W4" i="13"/>
  <c r="AA3" i="13"/>
  <c r="S3" i="13"/>
  <c r="W2" i="13"/>
  <c r="AA1" i="13"/>
  <c r="S1" i="13"/>
  <c r="V4" i="13"/>
  <c r="Z3" i="13"/>
  <c r="R3" i="13"/>
  <c r="V2" i="13"/>
  <c r="Z1" i="13"/>
  <c r="R1" i="13"/>
  <c r="AB4" i="13"/>
  <c r="U4" i="13"/>
  <c r="Y3" i="13"/>
  <c r="Q3" i="13"/>
  <c r="U2" i="13"/>
  <c r="Y1" i="13"/>
  <c r="Q1" i="13"/>
  <c r="AA4" i="13"/>
  <c r="S4" i="13"/>
  <c r="W3" i="13"/>
  <c r="AA2" i="13"/>
  <c r="S2" i="13"/>
  <c r="W1" i="13"/>
  <c r="Z4" i="13"/>
  <c r="R4" i="13"/>
  <c r="V3" i="13"/>
  <c r="Z2" i="13"/>
  <c r="R2" i="13"/>
  <c r="V1" i="13"/>
  <c r="Y4" i="13"/>
  <c r="Q4" i="13"/>
  <c r="U3" i="13"/>
  <c r="Y2" i="13"/>
  <c r="Q2" i="13"/>
  <c r="U1" i="13"/>
  <c r="X4" i="13"/>
  <c r="AB3" i="13"/>
  <c r="T3" i="13"/>
  <c r="X2" i="13"/>
  <c r="AB1" i="13"/>
  <c r="N3" i="12" a="1"/>
  <c r="N3" i="12" s="1"/>
  <c r="R43" i="12"/>
  <c r="O42" i="12"/>
  <c r="L43" i="12"/>
  <c r="K43" i="12"/>
  <c r="L42" i="12"/>
  <c r="R4" i="12"/>
  <c r="Q4" i="12"/>
  <c r="Q6" i="12"/>
  <c r="S5" i="12"/>
  <c r="S4" i="12"/>
  <c r="J31" i="12"/>
  <c r="J25" i="12"/>
  <c r="J29" i="12"/>
  <c r="J33" i="12"/>
  <c r="J27" i="12"/>
  <c r="J23" i="12"/>
  <c r="K32" i="12"/>
  <c r="K30" i="12"/>
  <c r="K28" i="12"/>
  <c r="K26" i="12"/>
  <c r="K24" i="12"/>
  <c r="I33" i="12"/>
  <c r="I31" i="12"/>
  <c r="I29" i="12"/>
  <c r="I27" i="12"/>
  <c r="I25" i="12"/>
  <c r="I23" i="12"/>
  <c r="K34" i="12"/>
  <c r="J34" i="12"/>
  <c r="J32" i="12"/>
  <c r="J30" i="12"/>
  <c r="J28" i="12"/>
  <c r="J26" i="12"/>
  <c r="J24" i="12"/>
  <c r="I34" i="12"/>
  <c r="I32" i="12"/>
  <c r="I30" i="12"/>
  <c r="I28" i="12"/>
  <c r="I26" i="12"/>
  <c r="I24" i="12"/>
  <c r="K33" i="12"/>
  <c r="K31" i="12"/>
  <c r="K29" i="12"/>
  <c r="K27" i="12"/>
  <c r="K25" i="12"/>
  <c r="AN5" i="11"/>
  <c r="AJ6" i="11"/>
  <c r="AR6" i="11"/>
  <c r="AN7" i="11"/>
  <c r="AJ8" i="11"/>
  <c r="AR8" i="11"/>
  <c r="AN9" i="11"/>
  <c r="AJ10" i="11"/>
  <c r="AR10" i="11"/>
  <c r="AN11" i="11"/>
  <c r="AL9" i="11"/>
  <c r="AG7" i="11"/>
  <c r="AP8" i="11"/>
  <c r="AP10" i="11"/>
  <c r="AH5" i="11"/>
  <c r="AP5" i="11"/>
  <c r="AL6" i="11"/>
  <c r="AH7" i="11"/>
  <c r="AP7" i="11"/>
  <c r="AL8" i="11"/>
  <c r="AH9" i="11"/>
  <c r="AP9" i="11"/>
  <c r="AL10" i="11"/>
  <c r="AH11" i="11"/>
  <c r="AP11" i="11"/>
  <c r="AI5" i="11"/>
  <c r="AQ5" i="11"/>
  <c r="AM6" i="11"/>
  <c r="AG14" i="11" s="1" a="1"/>
  <c r="AI7" i="11"/>
  <c r="AQ7" i="11"/>
  <c r="AM8" i="11"/>
  <c r="AI9" i="11"/>
  <c r="AQ9" i="11"/>
  <c r="AM10" i="11"/>
  <c r="AI11" i="11"/>
  <c r="AQ11" i="11"/>
  <c r="AH8" i="11"/>
  <c r="AL11" i="11"/>
  <c r="AO5" i="11"/>
  <c r="AK6" i="11"/>
  <c r="AO7" i="11"/>
  <c r="AK8" i="11"/>
  <c r="AG9" i="11"/>
  <c r="AO9" i="11"/>
  <c r="AK10" i="11"/>
  <c r="AG11" i="11"/>
  <c r="AO11" i="11"/>
  <c r="AJ5" i="11"/>
  <c r="AR5" i="11"/>
  <c r="AN6" i="11"/>
  <c r="AJ7" i="11"/>
  <c r="AR7" i="11"/>
  <c r="AN8" i="11"/>
  <c r="AJ9" i="11"/>
  <c r="AR9" i="11"/>
  <c r="AN10" i="11"/>
  <c r="AJ11" i="11"/>
  <c r="AR11" i="11"/>
  <c r="AK7" i="11"/>
  <c r="AG8" i="11"/>
  <c r="AO8" i="11"/>
  <c r="AK9" i="11"/>
  <c r="AG10" i="11"/>
  <c r="AO10" i="11"/>
  <c r="AK11" i="11"/>
  <c r="AL7" i="11"/>
  <c r="AH10" i="11"/>
  <c r="AO23" i="11" a="1"/>
  <c r="AM5" i="11"/>
  <c r="AI6" i="11"/>
  <c r="AQ6" i="11"/>
  <c r="AM7" i="11"/>
  <c r="AI8" i="11"/>
  <c r="AQ8" i="11"/>
  <c r="AM9" i="11"/>
  <c r="AI10" i="11"/>
  <c r="AQ10" i="11"/>
  <c r="F201" i="28" l="1"/>
  <c r="F97" i="28"/>
  <c r="F236" i="28"/>
  <c r="F424" i="28"/>
  <c r="F240" i="28"/>
  <c r="F80" i="28"/>
  <c r="F241" i="28"/>
  <c r="F145" i="28"/>
  <c r="F35" i="28"/>
  <c r="F496" i="28"/>
  <c r="F336" i="28"/>
  <c r="F6" i="28"/>
  <c r="N2" i="26"/>
  <c r="F450" i="28"/>
  <c r="F386" i="28"/>
  <c r="F322" i="28"/>
  <c r="F258" i="28"/>
  <c r="F194" i="28"/>
  <c r="F130" i="28"/>
  <c r="F66" i="28"/>
  <c r="F15" i="28"/>
  <c r="F132" i="28"/>
  <c r="F473" i="28"/>
  <c r="F409" i="28"/>
  <c r="F345" i="28"/>
  <c r="F281" i="28"/>
  <c r="F217" i="28"/>
  <c r="F153" i="28"/>
  <c r="F89" i="28"/>
  <c r="F21" i="28"/>
  <c r="F148" i="28"/>
  <c r="F480" i="28"/>
  <c r="F416" i="28"/>
  <c r="F352" i="28"/>
  <c r="F288" i="28"/>
  <c r="F224" i="28"/>
  <c r="F160" i="28"/>
  <c r="F96" i="28"/>
  <c r="F34" i="28"/>
  <c r="F116" i="28"/>
  <c r="F472" i="28"/>
  <c r="F408" i="28"/>
  <c r="F344" i="28"/>
  <c r="F280" i="28"/>
  <c r="F216" i="28"/>
  <c r="F152" i="28"/>
  <c r="F88" i="28"/>
  <c r="F24" i="28"/>
  <c r="F426" i="28"/>
  <c r="F362" i="28"/>
  <c r="F298" i="28"/>
  <c r="F234" i="28"/>
  <c r="F170" i="28"/>
  <c r="F106" i="28"/>
  <c r="F44" i="28"/>
  <c r="F276" i="28"/>
  <c r="F54" i="28"/>
  <c r="F449" i="28"/>
  <c r="F385" i="28"/>
  <c r="F321" i="28"/>
  <c r="F257" i="28"/>
  <c r="F193" i="28"/>
  <c r="F129" i="28"/>
  <c r="F65" i="28"/>
  <c r="F284" i="28"/>
  <c r="F68" i="28"/>
  <c r="F456" i="28"/>
  <c r="F392" i="28"/>
  <c r="F328" i="28"/>
  <c r="F264" i="28"/>
  <c r="F200" i="28"/>
  <c r="F136" i="28"/>
  <c r="F72" i="28"/>
  <c r="F8" i="28"/>
  <c r="F98" i="28"/>
  <c r="F36" i="28"/>
  <c r="F244" i="28"/>
  <c r="F505" i="28"/>
  <c r="F441" i="28"/>
  <c r="F377" i="28"/>
  <c r="F313" i="28"/>
  <c r="F249" i="28"/>
  <c r="F185" i="28"/>
  <c r="F121" i="28"/>
  <c r="F53" i="28"/>
  <c r="F252" i="28"/>
  <c r="F30" i="28"/>
  <c r="F448" i="28"/>
  <c r="F384" i="28"/>
  <c r="F320" i="28"/>
  <c r="F256" i="28"/>
  <c r="F192" i="28"/>
  <c r="F128" i="28"/>
  <c r="F64" i="28"/>
  <c r="F2" i="28" s="1"/>
  <c r="F5" i="28"/>
  <c r="F504" i="28"/>
  <c r="F440" i="28"/>
  <c r="F376" i="28"/>
  <c r="F312" i="28"/>
  <c r="F248" i="28"/>
  <c r="F184" i="28"/>
  <c r="F120" i="28"/>
  <c r="F58" i="28"/>
  <c r="S7" i="13"/>
  <c r="S16" i="13"/>
  <c r="S9" i="13"/>
  <c r="S17" i="13"/>
  <c r="S11" i="13"/>
  <c r="S14" i="13"/>
  <c r="S18" i="13"/>
  <c r="S12" i="13"/>
  <c r="S15" i="13"/>
  <c r="S13" i="13"/>
  <c r="S8" i="13"/>
  <c r="N4" i="12"/>
  <c r="N5" i="12"/>
  <c r="H37" i="12" a="1"/>
  <c r="AM20" i="11"/>
  <c r="AL19" i="11"/>
  <c r="AK18" i="11"/>
  <c r="AJ17" i="11"/>
  <c r="AI16" i="11"/>
  <c r="AH15" i="11"/>
  <c r="AG14" i="11"/>
  <c r="AL20" i="11"/>
  <c r="AK19" i="11"/>
  <c r="AJ18" i="11"/>
  <c r="AH16" i="11"/>
  <c r="AG15" i="11"/>
  <c r="AI17" i="11"/>
  <c r="AK20" i="11"/>
  <c r="AJ19" i="11"/>
  <c r="AI18" i="11"/>
  <c r="AH17" i="11"/>
  <c r="AG16" i="11"/>
  <c r="AM14" i="11"/>
  <c r="AJ20" i="11"/>
  <c r="AI19" i="11"/>
  <c r="AH18" i="11"/>
  <c r="AG17" i="11"/>
  <c r="AM15" i="11"/>
  <c r="AL14" i="11"/>
  <c r="AH20" i="11"/>
  <c r="AM17" i="11"/>
  <c r="AK15" i="11"/>
  <c r="AI20" i="11"/>
  <c r="AH19" i="11"/>
  <c r="AG18" i="11"/>
  <c r="AM16" i="11"/>
  <c r="AL15" i="11"/>
  <c r="AK14" i="11"/>
  <c r="AG19" i="11"/>
  <c r="AL16" i="11"/>
  <c r="AJ14" i="11"/>
  <c r="AG20" i="11"/>
  <c r="AM18" i="11"/>
  <c r="AL17" i="11"/>
  <c r="AK16" i="11"/>
  <c r="AJ15" i="11"/>
  <c r="AI14" i="11"/>
  <c r="AM19" i="11"/>
  <c r="AL18" i="11"/>
  <c r="AK17" i="11"/>
  <c r="AJ16" i="11"/>
  <c r="AI15" i="11"/>
  <c r="AH14" i="11"/>
  <c r="AO23" i="11"/>
  <c r="AO29" i="11"/>
  <c r="AO28" i="11"/>
  <c r="AO26" i="11"/>
  <c r="AO27" i="11"/>
  <c r="AO25" i="11"/>
  <c r="AO24" i="11"/>
  <c r="T7" i="13" l="1" a="1"/>
  <c r="T8" i="13" s="1"/>
  <c r="W7" i="13" a="1"/>
  <c r="W7" i="13" s="1"/>
  <c r="T12" i="13"/>
  <c r="T7" i="13"/>
  <c r="T9" i="13"/>
  <c r="K37" i="12"/>
  <c r="Q37" i="12"/>
  <c r="N37" i="12"/>
  <c r="S37" i="12"/>
  <c r="I37" i="12"/>
  <c r="Q38" i="12"/>
  <c r="K38" i="12"/>
  <c r="S38" i="12"/>
  <c r="I38" i="12"/>
  <c r="O38" i="12"/>
  <c r="O37" i="12"/>
  <c r="L38" i="12"/>
  <c r="M37" i="12"/>
  <c r="R37" i="12"/>
  <c r="H38" i="12"/>
  <c r="J37" i="12"/>
  <c r="L37" i="12"/>
  <c r="M38" i="12"/>
  <c r="N38" i="12"/>
  <c r="P37" i="12"/>
  <c r="P38" i="12"/>
  <c r="H37" i="12"/>
  <c r="R38" i="12"/>
  <c r="J38" i="12"/>
  <c r="AG23" i="11" a="1"/>
  <c r="X7" i="13" l="1"/>
  <c r="Q21" i="13" s="1" a="1"/>
  <c r="Q25" i="13" s="1"/>
  <c r="Q23" i="13"/>
  <c r="V23" i="13" s="1"/>
  <c r="Q21" i="13"/>
  <c r="Q28" i="13"/>
  <c r="Q27" i="13"/>
  <c r="V27" i="13" s="1"/>
  <c r="Q30" i="13"/>
  <c r="V30" i="13" s="1"/>
  <c r="Q32" i="13"/>
  <c r="Q26" i="13"/>
  <c r="Q29" i="13"/>
  <c r="Q24" i="13"/>
  <c r="V7" i="13"/>
  <c r="V9" i="13"/>
  <c r="V8" i="13"/>
  <c r="V26" i="13"/>
  <c r="V32" i="13"/>
  <c r="V28" i="13"/>
  <c r="H42" i="12" a="1"/>
  <c r="AG29" i="11"/>
  <c r="AM27" i="11"/>
  <c r="AL26" i="11"/>
  <c r="AK25" i="11"/>
  <c r="AJ24" i="11"/>
  <c r="AI23" i="11"/>
  <c r="AM28" i="11"/>
  <c r="AL27" i="11"/>
  <c r="AK26" i="11"/>
  <c r="AJ25" i="11"/>
  <c r="AH23" i="11"/>
  <c r="AI24" i="11"/>
  <c r="AM29" i="11"/>
  <c r="AL28" i="11"/>
  <c r="AK27" i="11"/>
  <c r="AJ26" i="11"/>
  <c r="AI25" i="11"/>
  <c r="AH24" i="11"/>
  <c r="AG23" i="11"/>
  <c r="AL29" i="11"/>
  <c r="AK28" i="11"/>
  <c r="AJ27" i="11"/>
  <c r="AI26" i="11"/>
  <c r="AH25" i="11"/>
  <c r="AG24" i="11"/>
  <c r="AK29" i="11"/>
  <c r="AJ28" i="11"/>
  <c r="AI27" i="11"/>
  <c r="AH26" i="11"/>
  <c r="AG25" i="11"/>
  <c r="AM23" i="11"/>
  <c r="AJ29" i="11"/>
  <c r="AI28" i="11"/>
  <c r="AH27" i="11"/>
  <c r="AG26" i="11"/>
  <c r="AM24" i="11"/>
  <c r="AL23" i="11"/>
  <c r="AI29" i="11"/>
  <c r="AH28" i="11"/>
  <c r="AG27" i="11"/>
  <c r="AM25" i="11"/>
  <c r="AL24" i="11"/>
  <c r="AK23" i="11"/>
  <c r="AH29" i="11"/>
  <c r="AG28" i="11"/>
  <c r="AM26" i="11"/>
  <c r="AL25" i="11"/>
  <c r="AK24" i="11"/>
  <c r="AJ23" i="11"/>
  <c r="W11" i="13" l="1" a="1"/>
  <c r="W11" i="13" s="1"/>
  <c r="Q31" i="13"/>
  <c r="Q22" i="13"/>
  <c r="V24" i="13"/>
  <c r="V29" i="13"/>
  <c r="V21" i="13"/>
  <c r="V25" i="13"/>
  <c r="R21" i="13" a="1"/>
  <c r="S29" i="13" s="1"/>
  <c r="X11" i="13"/>
  <c r="Y11" i="13"/>
  <c r="I42" i="12"/>
  <c r="H42" i="12"/>
  <c r="H43" i="12"/>
  <c r="I43" i="12"/>
  <c r="AQ23" i="11" a="1"/>
  <c r="V31" i="13" l="1"/>
  <c r="V22" i="13"/>
  <c r="S24" i="13"/>
  <c r="R26" i="13"/>
  <c r="S27" i="13"/>
  <c r="X27" i="13" s="1"/>
  <c r="S21" i="13"/>
  <c r="X21" i="13" s="1"/>
  <c r="R27" i="13"/>
  <c r="W27" i="13" s="1"/>
  <c r="T28" i="13"/>
  <c r="R30" i="13"/>
  <c r="T31" i="13"/>
  <c r="T25" i="13"/>
  <c r="S23" i="13"/>
  <c r="X23" i="13" s="1"/>
  <c r="S30" i="13"/>
  <c r="X30" i="13" s="1"/>
  <c r="S26" i="13"/>
  <c r="X26" i="13" s="1"/>
  <c r="R24" i="13"/>
  <c r="T32" i="13"/>
  <c r="S31" i="13"/>
  <c r="R29" i="13"/>
  <c r="T22" i="13"/>
  <c r="S28" i="13"/>
  <c r="X28" i="13" s="1"/>
  <c r="R21" i="13"/>
  <c r="T27" i="13"/>
  <c r="Y27" i="13" s="1"/>
  <c r="S25" i="13"/>
  <c r="T30" i="13"/>
  <c r="Y30" i="13" s="1"/>
  <c r="T24" i="13"/>
  <c r="Y24" i="13" s="1"/>
  <c r="T26" i="13"/>
  <c r="T21" i="13"/>
  <c r="Y21" i="13" s="1"/>
  <c r="R23" i="13"/>
  <c r="S32" i="13"/>
  <c r="X32" i="13" s="1"/>
  <c r="R28" i="13"/>
  <c r="T29" i="13"/>
  <c r="Y29" i="13" s="1"/>
  <c r="R31" i="13"/>
  <c r="W31" i="13" s="1"/>
  <c r="R25" i="13"/>
  <c r="S22" i="13"/>
  <c r="R32" i="13"/>
  <c r="R22" i="13"/>
  <c r="T23" i="13"/>
  <c r="Y23" i="13" s="1"/>
  <c r="W29" i="13"/>
  <c r="Y26" i="13"/>
  <c r="X24" i="13"/>
  <c r="W32" i="13"/>
  <c r="X29" i="13"/>
  <c r="W24" i="13"/>
  <c r="Y22" i="13"/>
  <c r="W21" i="13"/>
  <c r="X25" i="13"/>
  <c r="W25" i="13"/>
  <c r="W26" i="13"/>
  <c r="X22" i="13"/>
  <c r="W22" i="13"/>
  <c r="W30" i="13"/>
  <c r="Y31" i="13"/>
  <c r="Y25" i="13"/>
  <c r="AQ23" i="11"/>
  <c r="X2" i="11" s="1"/>
  <c r="AQ29" i="11"/>
  <c r="AD2" i="11" s="1"/>
  <c r="AQ28" i="11"/>
  <c r="AC2" i="11" s="1"/>
  <c r="AQ27" i="11"/>
  <c r="AB2" i="11" s="1"/>
  <c r="AQ26" i="11"/>
  <c r="AA2" i="11" s="1"/>
  <c r="AQ25" i="11"/>
  <c r="Z2" i="11" s="1"/>
  <c r="AQ24" i="11"/>
  <c r="Y2" i="11" s="1"/>
  <c r="W28" i="13" l="1"/>
  <c r="X31" i="13"/>
  <c r="Y28" i="13"/>
  <c r="W23" i="13"/>
  <c r="Y32" i="13"/>
  <c r="H4" i="11" a="1"/>
  <c r="M4" i="11" s="1"/>
  <c r="N18" i="10"/>
  <c r="N16" i="10"/>
  <c r="N15" i="10"/>
  <c r="N20" i="10" s="1"/>
  <c r="K7" i="11" l="1"/>
  <c r="O6" i="11"/>
  <c r="S5" i="11"/>
  <c r="K5" i="11"/>
  <c r="O4" i="11"/>
  <c r="P7" i="11"/>
  <c r="H7" i="11"/>
  <c r="L6" i="11"/>
  <c r="P5" i="11"/>
  <c r="H5" i="11"/>
  <c r="L4" i="11"/>
  <c r="O7" i="11"/>
  <c r="S6" i="11"/>
  <c r="K6" i="11"/>
  <c r="O5" i="11"/>
  <c r="S4" i="11"/>
  <c r="K4" i="11"/>
  <c r="N7" i="11"/>
  <c r="R6" i="11"/>
  <c r="J6" i="11"/>
  <c r="N5" i="11"/>
  <c r="R4" i="11"/>
  <c r="J4" i="11"/>
  <c r="M7" i="11"/>
  <c r="Q6" i="11"/>
  <c r="I6" i="11"/>
  <c r="M5" i="11"/>
  <c r="Q4" i="11"/>
  <c r="I4" i="11"/>
  <c r="S7" i="11"/>
  <c r="L7" i="11"/>
  <c r="P6" i="11"/>
  <c r="H6" i="11"/>
  <c r="L5" i="11"/>
  <c r="P4" i="11"/>
  <c r="H4" i="11"/>
  <c r="R7" i="11"/>
  <c r="J7" i="11"/>
  <c r="N6" i="11"/>
  <c r="R5" i="11"/>
  <c r="J5" i="11"/>
  <c r="N4" i="11"/>
  <c r="Q7" i="11"/>
  <c r="I7" i="11"/>
  <c r="M6" i="11"/>
  <c r="Q5" i="11"/>
  <c r="I5" i="11"/>
  <c r="J16" i="10"/>
  <c r="J15" i="10"/>
  <c r="H10" i="23"/>
  <c r="B13" i="23"/>
  <c r="AI6" i="23" s="1"/>
  <c r="C13" i="23"/>
  <c r="AJ11" i="23" s="1"/>
  <c r="D13" i="23"/>
  <c r="AK8" i="23" s="1"/>
  <c r="B14" i="23"/>
  <c r="AI9" i="23" s="1"/>
  <c r="C14" i="23"/>
  <c r="D14" i="23"/>
  <c r="B28" i="23"/>
  <c r="AI22" i="23" s="1"/>
  <c r="C28" i="23"/>
  <c r="D28" i="23"/>
  <c r="D27" i="23"/>
  <c r="AK21" i="23" s="1"/>
  <c r="C27" i="23"/>
  <c r="AJ24" i="23" s="1"/>
  <c r="B27" i="23"/>
  <c r="G22" i="23" s="1"/>
  <c r="H10" i="11" l="1" a="1"/>
  <c r="M17" i="11" a="1"/>
  <c r="J18" i="10"/>
  <c r="I7" i="23"/>
  <c r="AK3" i="23"/>
  <c r="AI19" i="23"/>
  <c r="I24" i="23"/>
  <c r="AJ6" i="23"/>
  <c r="AK11" i="23"/>
  <c r="AK24" i="23"/>
  <c r="G5" i="23"/>
  <c r="H5" i="23"/>
  <c r="G8" i="23"/>
  <c r="I10" i="23"/>
  <c r="I19" i="23"/>
  <c r="H22" i="23"/>
  <c r="G25" i="23"/>
  <c r="AI4" i="23"/>
  <c r="AK6" i="23"/>
  <c r="AJ9" i="23"/>
  <c r="AI17" i="23"/>
  <c r="AK19" i="23"/>
  <c r="AJ22" i="23"/>
  <c r="AI25" i="23"/>
  <c r="G3" i="23"/>
  <c r="I5" i="23"/>
  <c r="H8" i="23"/>
  <c r="G11" i="23"/>
  <c r="H17" i="23"/>
  <c r="H27" i="23" s="1"/>
  <c r="G20" i="23"/>
  <c r="I22" i="23"/>
  <c r="H25" i="23"/>
  <c r="AJ4" i="23"/>
  <c r="AI7" i="23"/>
  <c r="AK9" i="23"/>
  <c r="AJ17" i="23"/>
  <c r="AI20" i="23"/>
  <c r="AK22" i="23"/>
  <c r="AJ25" i="23"/>
  <c r="H3" i="23"/>
  <c r="G6" i="23"/>
  <c r="I8" i="23"/>
  <c r="H11" i="23"/>
  <c r="I17" i="23"/>
  <c r="H20" i="23"/>
  <c r="G23" i="23"/>
  <c r="I25" i="23"/>
  <c r="AK4" i="23"/>
  <c r="AJ7" i="23"/>
  <c r="AI10" i="23"/>
  <c r="AK17" i="23"/>
  <c r="AJ20" i="23"/>
  <c r="AI23" i="23"/>
  <c r="AK25" i="23"/>
  <c r="I3" i="23"/>
  <c r="H6" i="23"/>
  <c r="G9" i="23"/>
  <c r="I11" i="23"/>
  <c r="G18" i="23"/>
  <c r="I20" i="23"/>
  <c r="H23" i="23"/>
  <c r="G26" i="23"/>
  <c r="AI5" i="23"/>
  <c r="AK7" i="23"/>
  <c r="AJ10" i="23"/>
  <c r="AI18" i="23"/>
  <c r="AK20" i="23"/>
  <c r="AJ23" i="23"/>
  <c r="H19" i="23"/>
  <c r="G4" i="23"/>
  <c r="I6" i="23"/>
  <c r="H9" i="23"/>
  <c r="G12" i="23"/>
  <c r="H18" i="23"/>
  <c r="G21" i="23"/>
  <c r="I23" i="23"/>
  <c r="H26" i="23"/>
  <c r="AJ5" i="23"/>
  <c r="AI8" i="23"/>
  <c r="AK10" i="23"/>
  <c r="AJ18" i="23"/>
  <c r="AI21" i="23"/>
  <c r="AK23" i="23"/>
  <c r="H4" i="23"/>
  <c r="G7" i="23"/>
  <c r="I9" i="23"/>
  <c r="H12" i="23"/>
  <c r="I18" i="23"/>
  <c r="I27" i="23" s="1"/>
  <c r="H21" i="23"/>
  <c r="G24" i="23"/>
  <c r="I26" i="23"/>
  <c r="AI3" i="23"/>
  <c r="AK5" i="23"/>
  <c r="AJ8" i="23"/>
  <c r="AI11" i="23"/>
  <c r="AK18" i="23"/>
  <c r="AJ21" i="23"/>
  <c r="AI24" i="23"/>
  <c r="AJ19" i="23"/>
  <c r="I4" i="23"/>
  <c r="H7" i="23"/>
  <c r="G10" i="23"/>
  <c r="I12" i="23"/>
  <c r="G19" i="23"/>
  <c r="I21" i="23"/>
  <c r="H24" i="23"/>
  <c r="AJ3" i="23"/>
  <c r="G13" i="23"/>
  <c r="G19" i="8"/>
  <c r="F19" i="8"/>
  <c r="C19" i="8"/>
  <c r="B19" i="8"/>
  <c r="I10" i="11" l="1"/>
  <c r="J12" i="11"/>
  <c r="H13" i="11"/>
  <c r="H10" i="11"/>
  <c r="H17" i="11" s="1" a="1"/>
  <c r="J10" i="11"/>
  <c r="K13" i="11"/>
  <c r="H11" i="11"/>
  <c r="J11" i="11"/>
  <c r="H12" i="11"/>
  <c r="I11" i="11"/>
  <c r="K10" i="11"/>
  <c r="K11" i="11"/>
  <c r="J13" i="11"/>
  <c r="I12" i="11"/>
  <c r="K12" i="11"/>
  <c r="I13" i="11"/>
  <c r="M18" i="11"/>
  <c r="M19" i="11"/>
  <c r="M17" i="11"/>
  <c r="M20" i="11"/>
  <c r="I14" i="23"/>
  <c r="H13" i="23"/>
  <c r="G27" i="23"/>
  <c r="I13" i="23"/>
  <c r="L3" i="23" a="1"/>
  <c r="H14" i="23"/>
  <c r="I28" i="23"/>
  <c r="G14" i="23"/>
  <c r="L17" i="23" a="1"/>
  <c r="H28" i="23"/>
  <c r="G28" i="23"/>
  <c r="S84" i="16" a="1"/>
  <c r="S84" i="16" s="1"/>
  <c r="U74" i="16"/>
  <c r="T74" i="16"/>
  <c r="S74" i="16"/>
  <c r="U73" i="16"/>
  <c r="T73" i="16"/>
  <c r="S73" i="16"/>
  <c r="U72" i="16"/>
  <c r="T72" i="16"/>
  <c r="S72" i="16"/>
  <c r="P78" i="16" a="1"/>
  <c r="P78" i="16" s="1"/>
  <c r="T57" i="16" a="1"/>
  <c r="T57" i="16" s="1"/>
  <c r="T56" i="16"/>
  <c r="R52" i="16" a="1"/>
  <c r="R52" i="16" s="1"/>
  <c r="H17" i="11" l="1"/>
  <c r="H18" i="11"/>
  <c r="J19" i="11"/>
  <c r="J17" i="11"/>
  <c r="I19" i="11"/>
  <c r="J18" i="11"/>
  <c r="K20" i="11"/>
  <c r="H20" i="11"/>
  <c r="J20" i="11"/>
  <c r="K19" i="11"/>
  <c r="K18" i="11"/>
  <c r="I20" i="11"/>
  <c r="K17" i="11"/>
  <c r="I17" i="11"/>
  <c r="I18" i="11"/>
  <c r="H19" i="11"/>
  <c r="U19" i="23"/>
  <c r="O19" i="23"/>
  <c r="Q19" i="23"/>
  <c r="S19" i="23"/>
  <c r="T17" i="23"/>
  <c r="N18" i="23"/>
  <c r="M17" i="23"/>
  <c r="O17" i="23"/>
  <c r="S17" i="23"/>
  <c r="O18" i="23"/>
  <c r="Q18" i="23"/>
  <c r="S18" i="23"/>
  <c r="U18" i="23"/>
  <c r="M19" i="23"/>
  <c r="L17" i="23"/>
  <c r="N17" i="23"/>
  <c r="P17" i="23"/>
  <c r="L18" i="23"/>
  <c r="Q17" i="23"/>
  <c r="R17" i="23"/>
  <c r="R18" i="23"/>
  <c r="T18" i="23"/>
  <c r="L19" i="23"/>
  <c r="P18" i="23"/>
  <c r="P19" i="23"/>
  <c r="R19" i="23"/>
  <c r="T19" i="23"/>
  <c r="N19" i="23"/>
  <c r="U17" i="23"/>
  <c r="M18" i="23"/>
  <c r="L3" i="23"/>
  <c r="R3" i="23"/>
  <c r="P4" i="23"/>
  <c r="O3" i="23"/>
  <c r="R5" i="23"/>
  <c r="P3" i="23"/>
  <c r="O4" i="23"/>
  <c r="S4" i="23"/>
  <c r="S5" i="23"/>
  <c r="N5" i="23"/>
  <c r="M5" i="23"/>
  <c r="M4" i="23"/>
  <c r="L5" i="23"/>
  <c r="Q3" i="23"/>
  <c r="U5" i="23"/>
  <c r="Q5" i="23"/>
  <c r="T4" i="23"/>
  <c r="L4" i="23"/>
  <c r="U4" i="23"/>
  <c r="U3" i="23"/>
  <c r="T5" i="23"/>
  <c r="T3" i="23"/>
  <c r="N3" i="23"/>
  <c r="P5" i="23"/>
  <c r="N4" i="23"/>
  <c r="Q4" i="23"/>
  <c r="M3" i="23"/>
  <c r="R4" i="23"/>
  <c r="O5" i="23"/>
  <c r="S3" i="23"/>
  <c r="S86" i="16"/>
  <c r="T85" i="16"/>
  <c r="S85" i="16"/>
  <c r="U84" i="16"/>
  <c r="T86" i="16"/>
  <c r="U85" i="16"/>
  <c r="T84" i="16"/>
  <c r="U86" i="16"/>
  <c r="P80" i="16"/>
  <c r="V78" i="16"/>
  <c r="U78" i="16"/>
  <c r="V79" i="16"/>
  <c r="V80" i="16"/>
  <c r="U79" i="16"/>
  <c r="T78" i="16"/>
  <c r="P79" i="16"/>
  <c r="U80" i="16"/>
  <c r="T79" i="16"/>
  <c r="S78" i="16"/>
  <c r="T80" i="16"/>
  <c r="S79" i="16"/>
  <c r="R78" i="16"/>
  <c r="Q80" i="16"/>
  <c r="S80" i="16"/>
  <c r="R79" i="16"/>
  <c r="Q78" i="16"/>
  <c r="R80" i="16"/>
  <c r="Q79" i="16"/>
  <c r="W52" i="16"/>
  <c r="V52" i="16"/>
  <c r="U52" i="16"/>
  <c r="T52" i="16"/>
  <c r="S52" i="16"/>
  <c r="O7" i="3"/>
  <c r="N7" i="3"/>
  <c r="M7" i="3"/>
  <c r="L7" i="3"/>
  <c r="K7" i="3"/>
  <c r="J7" i="3"/>
  <c r="I7" i="3"/>
  <c r="H7" i="3"/>
  <c r="G7" i="3"/>
  <c r="F7" i="3"/>
  <c r="E7" i="3"/>
  <c r="D7" i="3"/>
  <c r="C7" i="3"/>
  <c r="BA27" i="16"/>
  <c r="AZ26" i="16"/>
  <c r="BC26" i="16" s="1" a="1"/>
  <c r="BD29" i="16" s="1"/>
  <c r="AZ21" i="16"/>
  <c r="BA21" i="16"/>
  <c r="BA20" i="16"/>
  <c r="BC20" i="16" s="1" a="1"/>
  <c r="BC23" i="16" s="1"/>
  <c r="BI23" i="16" s="1"/>
  <c r="AZ20" i="16"/>
  <c r="BC14" i="16" a="1"/>
  <c r="BD17" i="16" s="1"/>
  <c r="BC8" i="16" a="1"/>
  <c r="BC8" i="16" s="1"/>
  <c r="BB3" i="16" a="1"/>
  <c r="BC3" i="16" s="1"/>
  <c r="L23" i="23" l="1" a="1"/>
  <c r="P17" i="11" a="1"/>
  <c r="L9" i="23" a="1"/>
  <c r="L11" i="23" s="1"/>
  <c r="AZ32" i="16" a="1"/>
  <c r="AZ32" i="16" s="1"/>
  <c r="BA32" i="16"/>
  <c r="BC26" i="16"/>
  <c r="BD26" i="16"/>
  <c r="BC27" i="16"/>
  <c r="BD27" i="16"/>
  <c r="BC28" i="16"/>
  <c r="BD23" i="16"/>
  <c r="BJ23" i="16" s="1"/>
  <c r="BC20" i="16"/>
  <c r="BI20" i="16" s="1"/>
  <c r="BD20" i="16"/>
  <c r="BJ20" i="16" s="1"/>
  <c r="BC21" i="16"/>
  <c r="BI21" i="16" s="1"/>
  <c r="BD21" i="16"/>
  <c r="BJ21" i="16" s="1"/>
  <c r="BC22" i="16"/>
  <c r="BI22" i="16" s="1"/>
  <c r="BD22" i="16"/>
  <c r="BJ22" i="16" s="1"/>
  <c r="BD28" i="16"/>
  <c r="BC29" i="16"/>
  <c r="BC14" i="16"/>
  <c r="BD14" i="16"/>
  <c r="BC15" i="16"/>
  <c r="BD15" i="16"/>
  <c r="BC16" i="16"/>
  <c r="BD16" i="16"/>
  <c r="BC17" i="16"/>
  <c r="BC11" i="16"/>
  <c r="BC10" i="16"/>
  <c r="BD11" i="16"/>
  <c r="BD10" i="16"/>
  <c r="BD9" i="16"/>
  <c r="BC9" i="16"/>
  <c r="BD8" i="16"/>
  <c r="BB3" i="16"/>
  <c r="BE3" i="16" s="1" a="1"/>
  <c r="BE3" i="16" s="1"/>
  <c r="BC4" i="16"/>
  <c r="BB4" i="16"/>
  <c r="AI26" i="16" a="1"/>
  <c r="AI26" i="16" s="1"/>
  <c r="AJ20" i="16" a="1"/>
  <c r="AL22" i="16" s="1"/>
  <c r="AF20" i="16" a="1"/>
  <c r="AF20" i="16" s="1"/>
  <c r="AN15" i="16" a="1"/>
  <c r="AP15" i="16" s="1"/>
  <c r="AJ9" i="16" a="1"/>
  <c r="AL9" i="16" s="1"/>
  <c r="AJ3" i="16" a="1"/>
  <c r="AJ3" i="16" s="1"/>
  <c r="H39" i="16" a="1"/>
  <c r="H39" i="16" s="1"/>
  <c r="H33" i="16" a="1"/>
  <c r="H33" i="16" s="1"/>
  <c r="H26" i="16" a="1"/>
  <c r="H26" i="16" s="1"/>
  <c r="H19" i="16" a="1"/>
  <c r="H19" i="16" s="1"/>
  <c r="E3" i="16" a="1"/>
  <c r="F3" i="16" s="1"/>
  <c r="AB3" i="16" a="1"/>
  <c r="AB3" i="16" s="1"/>
  <c r="X3" i="16" a="1"/>
  <c r="X3" i="16" s="1"/>
  <c r="T45" i="16" a="1"/>
  <c r="T45" i="16" s="1"/>
  <c r="P45" i="16" a="1"/>
  <c r="P45" i="16" s="1"/>
  <c r="T35" i="16" a="1"/>
  <c r="T35" i="16" s="1"/>
  <c r="P35" i="16" a="1"/>
  <c r="P35" i="16" s="1"/>
  <c r="P19" i="16" a="1"/>
  <c r="P19" i="16" s="1"/>
  <c r="P14" i="16" a="1"/>
  <c r="P14" i="16" s="1"/>
  <c r="N24" i="23" l="1"/>
  <c r="L24" i="23"/>
  <c r="M23" i="23"/>
  <c r="M24" i="23"/>
  <c r="N23" i="23"/>
  <c r="N25" i="23"/>
  <c r="L23" i="23"/>
  <c r="M25" i="23"/>
  <c r="L25" i="23"/>
  <c r="P18" i="11"/>
  <c r="D2" i="11" s="1"/>
  <c r="P17" i="11"/>
  <c r="C2" i="11" s="1"/>
  <c r="P20" i="11"/>
  <c r="F2" i="11" s="1"/>
  <c r="P19" i="11"/>
  <c r="E2" i="11" s="1"/>
  <c r="M9" i="23"/>
  <c r="N10" i="23"/>
  <c r="L9" i="23"/>
  <c r="M11" i="23"/>
  <c r="L10" i="23"/>
  <c r="N9" i="23"/>
  <c r="R9" i="23" s="1" a="1"/>
  <c r="N11" i="23"/>
  <c r="M10" i="23"/>
  <c r="BA33" i="16"/>
  <c r="AZ33" i="16"/>
  <c r="BC32" i="16" s="1" a="1"/>
  <c r="Q16" i="16"/>
  <c r="X30" i="16" a="1"/>
  <c r="X30" i="16" s="1"/>
  <c r="X40" i="16" a="1"/>
  <c r="X40" i="16" s="1"/>
  <c r="BE4" i="16"/>
  <c r="AJ27" i="16"/>
  <c r="AI27" i="16"/>
  <c r="AJ26" i="16"/>
  <c r="AL21" i="16"/>
  <c r="AK20" i="16"/>
  <c r="AL20" i="16"/>
  <c r="AJ22" i="16"/>
  <c r="AJ21" i="16"/>
  <c r="AK21" i="16"/>
  <c r="AK22" i="16"/>
  <c r="AJ20" i="16"/>
  <c r="AF22" i="16"/>
  <c r="AH21" i="16"/>
  <c r="AG21" i="16"/>
  <c r="AF21" i="16"/>
  <c r="AH20" i="16"/>
  <c r="AG20" i="16"/>
  <c r="AG22" i="16"/>
  <c r="AH22" i="16"/>
  <c r="AP16" i="16"/>
  <c r="AO16" i="16"/>
  <c r="AN17" i="16"/>
  <c r="AO17" i="16"/>
  <c r="AN16" i="16"/>
  <c r="AN15" i="16"/>
  <c r="AP17" i="16"/>
  <c r="AO15" i="16"/>
  <c r="AJ11" i="16"/>
  <c r="AL10" i="16"/>
  <c r="AK10" i="16"/>
  <c r="AJ10" i="16"/>
  <c r="AK9" i="16"/>
  <c r="AL11" i="16"/>
  <c r="AJ9" i="16"/>
  <c r="AK11" i="16"/>
  <c r="AK5" i="16"/>
  <c r="AJ5" i="16"/>
  <c r="AL4" i="16"/>
  <c r="AK4" i="16"/>
  <c r="AJ4" i="16"/>
  <c r="AL3" i="16"/>
  <c r="AK3" i="16"/>
  <c r="AL5" i="16"/>
  <c r="H40" i="16"/>
  <c r="I34" i="16"/>
  <c r="H34" i="16"/>
  <c r="J34" i="16"/>
  <c r="J33" i="16"/>
  <c r="I35" i="16"/>
  <c r="I33" i="16"/>
  <c r="H35" i="16"/>
  <c r="J35" i="16"/>
  <c r="H27" i="16"/>
  <c r="I27" i="16"/>
  <c r="I26" i="16"/>
  <c r="I20" i="16"/>
  <c r="H20" i="16"/>
  <c r="I19" i="16"/>
  <c r="F4" i="16"/>
  <c r="E4" i="16"/>
  <c r="H5" i="16"/>
  <c r="H3" i="16"/>
  <c r="F5" i="16"/>
  <c r="E5" i="16"/>
  <c r="E3" i="16"/>
  <c r="H4" i="16"/>
  <c r="G4" i="16"/>
  <c r="G5" i="16"/>
  <c r="G3" i="16"/>
  <c r="R16" i="16"/>
  <c r="AC4" i="16"/>
  <c r="AB4" i="16"/>
  <c r="AB5" i="16"/>
  <c r="AD3" i="16"/>
  <c r="AC5" i="16"/>
  <c r="AD4" i="16"/>
  <c r="AC3" i="16"/>
  <c r="AD5" i="16"/>
  <c r="Y5" i="16"/>
  <c r="X5" i="16"/>
  <c r="Z4" i="16"/>
  <c r="Y4" i="16"/>
  <c r="X4" i="16"/>
  <c r="Z3" i="16"/>
  <c r="Y3" i="16"/>
  <c r="Z5" i="16"/>
  <c r="V46" i="16"/>
  <c r="U46" i="16"/>
  <c r="T46" i="16"/>
  <c r="V45" i="16"/>
  <c r="T47" i="16"/>
  <c r="U45" i="16"/>
  <c r="U47" i="16"/>
  <c r="V47" i="16"/>
  <c r="Q47" i="16"/>
  <c r="Q46" i="16"/>
  <c r="P46" i="16"/>
  <c r="P47" i="16"/>
  <c r="R45" i="16"/>
  <c r="Q45" i="16"/>
  <c r="R46" i="16"/>
  <c r="R47" i="16"/>
  <c r="U36" i="16"/>
  <c r="U37" i="16"/>
  <c r="V35" i="16"/>
  <c r="T37" i="16"/>
  <c r="T36" i="16"/>
  <c r="U35" i="16"/>
  <c r="V36" i="16"/>
  <c r="V37" i="16"/>
  <c r="P36" i="16"/>
  <c r="P37" i="16"/>
  <c r="R35" i="16"/>
  <c r="Q36" i="16"/>
  <c r="Q35" i="16"/>
  <c r="Q37" i="16"/>
  <c r="R36" i="16"/>
  <c r="R37" i="16"/>
  <c r="R20" i="16"/>
  <c r="Q21" i="16"/>
  <c r="Q20" i="16"/>
  <c r="Q19" i="16"/>
  <c r="P21" i="16"/>
  <c r="P20" i="16"/>
  <c r="R19" i="16"/>
  <c r="R21" i="16"/>
  <c r="P16" i="16"/>
  <c r="R15" i="16"/>
  <c r="Q15" i="16"/>
  <c r="P15" i="16"/>
  <c r="R14" i="16"/>
  <c r="Q14" i="16"/>
  <c r="X32" i="16" l="1"/>
  <c r="A12" i="11"/>
  <c r="A6" i="11"/>
  <c r="A5" i="11"/>
  <c r="A7" i="11"/>
  <c r="A15" i="11"/>
  <c r="A9" i="11"/>
  <c r="A10" i="11"/>
  <c r="A11" i="11"/>
  <c r="A13" i="11"/>
  <c r="A14" i="11"/>
  <c r="A8" i="11"/>
  <c r="A16" i="11"/>
  <c r="R23" i="23" a="1"/>
  <c r="R10" i="23"/>
  <c r="R9" i="23"/>
  <c r="S10" i="23"/>
  <c r="T11" i="23"/>
  <c r="R11" i="23"/>
  <c r="T10" i="23"/>
  <c r="S9" i="23"/>
  <c r="T9" i="23"/>
  <c r="S11" i="23"/>
  <c r="BC35" i="16"/>
  <c r="BD34" i="16"/>
  <c r="BD33" i="16"/>
  <c r="BC33" i="16"/>
  <c r="BD32" i="16"/>
  <c r="BD35" i="16"/>
  <c r="BC32" i="16"/>
  <c r="BC34" i="16"/>
  <c r="Y42" i="16"/>
  <c r="Y30" i="16"/>
  <c r="X31" i="16"/>
  <c r="Z30" i="16"/>
  <c r="Z32" i="16"/>
  <c r="Z40" i="16"/>
  <c r="Y31" i="16"/>
  <c r="X42" i="16"/>
  <c r="Z31" i="16"/>
  <c r="Y32" i="16"/>
  <c r="Z41" i="16"/>
  <c r="Y40" i="16"/>
  <c r="AR20" i="16" a="1"/>
  <c r="X41" i="16"/>
  <c r="AN3" i="16" a="1"/>
  <c r="AN9" i="16" a="1"/>
  <c r="Y41" i="16"/>
  <c r="Z42" i="16"/>
  <c r="AR15" i="16" a="1"/>
  <c r="AR15" i="16" s="1"/>
  <c r="T14" i="16" a="1"/>
  <c r="T15" i="16" s="1"/>
  <c r="T19" i="16" a="1"/>
  <c r="T19" i="16" s="1"/>
  <c r="Q29" i="15"/>
  <c r="Q30" i="15" s="1"/>
  <c r="R29" i="15"/>
  <c r="S29" i="15"/>
  <c r="T29" i="15"/>
  <c r="U29" i="15"/>
  <c r="V29" i="15"/>
  <c r="W29" i="15"/>
  <c r="X29" i="15"/>
  <c r="Y29" i="15"/>
  <c r="Z29" i="15"/>
  <c r="AA29" i="15"/>
  <c r="AB29" i="15"/>
  <c r="AC29" i="15"/>
  <c r="AD28" i="15"/>
  <c r="N23" i="15"/>
  <c r="M23" i="15"/>
  <c r="L23" i="15"/>
  <c r="K23" i="15"/>
  <c r="J23" i="15"/>
  <c r="I23" i="15"/>
  <c r="H23" i="15"/>
  <c r="G23" i="15"/>
  <c r="F23" i="15"/>
  <c r="E23" i="15"/>
  <c r="D23" i="15"/>
  <c r="C23" i="15"/>
  <c r="N22" i="15"/>
  <c r="M22" i="15"/>
  <c r="L22" i="15"/>
  <c r="K22" i="15"/>
  <c r="J22" i="15"/>
  <c r="I22" i="15"/>
  <c r="H22" i="15"/>
  <c r="G22" i="15"/>
  <c r="F22" i="15"/>
  <c r="E22" i="15"/>
  <c r="D22" i="15"/>
  <c r="C22" i="15"/>
  <c r="B22" i="15"/>
  <c r="B18" i="11" l="1"/>
  <c r="W8" i="23" a="1"/>
  <c r="W7" i="23" a="1"/>
  <c r="W5" i="23" a="1"/>
  <c r="W3" i="23" a="1"/>
  <c r="W12" i="23" a="1"/>
  <c r="W4" i="23" a="1"/>
  <c r="W10" i="23" a="1"/>
  <c r="W9" i="23" a="1"/>
  <c r="W6" i="23" a="1"/>
  <c r="W11" i="23" a="1"/>
  <c r="R23" i="23"/>
  <c r="S23" i="23"/>
  <c r="T25" i="23"/>
  <c r="R24" i="23"/>
  <c r="S24" i="23"/>
  <c r="T24" i="23"/>
  <c r="R25" i="23"/>
  <c r="T23" i="23"/>
  <c r="S25" i="23"/>
  <c r="I36" i="15"/>
  <c r="I40" i="15"/>
  <c r="I29" i="15"/>
  <c r="I31" i="15"/>
  <c r="I33" i="15"/>
  <c r="I35" i="15"/>
  <c r="I37" i="15"/>
  <c r="I39" i="15"/>
  <c r="I41" i="15"/>
  <c r="I43" i="15"/>
  <c r="I45" i="15"/>
  <c r="I47" i="15"/>
  <c r="I34" i="15"/>
  <c r="I46" i="15"/>
  <c r="I44" i="15"/>
  <c r="I28" i="15"/>
  <c r="I30" i="15"/>
  <c r="I32" i="15"/>
  <c r="I38" i="15"/>
  <c r="I42" i="15"/>
  <c r="M28" i="15"/>
  <c r="M30" i="15"/>
  <c r="M32" i="15"/>
  <c r="M34" i="15"/>
  <c r="M36" i="15"/>
  <c r="M38" i="15"/>
  <c r="M40" i="15"/>
  <c r="M42" i="15"/>
  <c r="M44" i="15"/>
  <c r="M46" i="15"/>
  <c r="M37" i="15"/>
  <c r="M43" i="15"/>
  <c r="M47" i="15"/>
  <c r="M35" i="15"/>
  <c r="M41" i="15"/>
  <c r="M39" i="15"/>
  <c r="M29" i="15"/>
  <c r="M31" i="15"/>
  <c r="M33" i="15"/>
  <c r="M45" i="15"/>
  <c r="F28" i="15"/>
  <c r="F30" i="15"/>
  <c r="F32" i="15"/>
  <c r="F34" i="15"/>
  <c r="F36" i="15"/>
  <c r="F38" i="15"/>
  <c r="F40" i="15"/>
  <c r="F42" i="15"/>
  <c r="F44" i="15"/>
  <c r="F46" i="15"/>
  <c r="F29" i="15"/>
  <c r="F31" i="15"/>
  <c r="F33" i="15"/>
  <c r="F35" i="15"/>
  <c r="F37" i="15"/>
  <c r="F39" i="15"/>
  <c r="F41" i="15"/>
  <c r="F43" i="15"/>
  <c r="F45" i="15"/>
  <c r="F47" i="15"/>
  <c r="N28" i="15"/>
  <c r="N30" i="15"/>
  <c r="N32" i="15"/>
  <c r="N34" i="15"/>
  <c r="N36" i="15"/>
  <c r="N38" i="15"/>
  <c r="N40" i="15"/>
  <c r="N42" i="15"/>
  <c r="N44" i="15"/>
  <c r="N46" i="15"/>
  <c r="N29" i="15"/>
  <c r="N31" i="15"/>
  <c r="N33" i="15"/>
  <c r="N35" i="15"/>
  <c r="N37" i="15"/>
  <c r="N39" i="15"/>
  <c r="N41" i="15"/>
  <c r="N43" i="15"/>
  <c r="N45" i="15"/>
  <c r="N47" i="15"/>
  <c r="G28" i="15"/>
  <c r="G30" i="15"/>
  <c r="G32" i="15"/>
  <c r="G34" i="15"/>
  <c r="G36" i="15"/>
  <c r="G38" i="15"/>
  <c r="G40" i="15"/>
  <c r="G42" i="15"/>
  <c r="G44" i="15"/>
  <c r="G46" i="15"/>
  <c r="G29" i="15"/>
  <c r="G31" i="15"/>
  <c r="G33" i="15"/>
  <c r="G35" i="15"/>
  <c r="G37" i="15"/>
  <c r="G39" i="15"/>
  <c r="G41" i="15"/>
  <c r="G43" i="15"/>
  <c r="G45" i="15"/>
  <c r="G47" i="15"/>
  <c r="E45" i="15"/>
  <c r="E28" i="15"/>
  <c r="E30" i="15"/>
  <c r="E32" i="15"/>
  <c r="E34" i="15"/>
  <c r="E36" i="15"/>
  <c r="E38" i="15"/>
  <c r="E40" i="15"/>
  <c r="E42" i="15"/>
  <c r="E44" i="15"/>
  <c r="E46" i="15"/>
  <c r="E43" i="15"/>
  <c r="E39" i="15"/>
  <c r="E37" i="15"/>
  <c r="E29" i="15"/>
  <c r="E31" i="15"/>
  <c r="E33" i="15"/>
  <c r="E47" i="15"/>
  <c r="E35" i="15"/>
  <c r="E41" i="15"/>
  <c r="H39" i="15"/>
  <c r="H28" i="15"/>
  <c r="H30" i="15"/>
  <c r="H32" i="15"/>
  <c r="H34" i="15"/>
  <c r="H36" i="15"/>
  <c r="H38" i="15"/>
  <c r="H40" i="15"/>
  <c r="H42" i="15"/>
  <c r="H44" i="15"/>
  <c r="H29" i="15"/>
  <c r="H31" i="15"/>
  <c r="H33" i="15"/>
  <c r="H35" i="15"/>
  <c r="H37" i="15"/>
  <c r="H41" i="15"/>
  <c r="H43" i="15"/>
  <c r="H45" i="15"/>
  <c r="H47" i="15"/>
  <c r="H46" i="15"/>
  <c r="J29" i="15"/>
  <c r="J31" i="15"/>
  <c r="J33" i="15"/>
  <c r="J35" i="15"/>
  <c r="J37" i="15"/>
  <c r="J39" i="15"/>
  <c r="J41" i="15"/>
  <c r="J43" i="15"/>
  <c r="J45" i="15"/>
  <c r="J47" i="15"/>
  <c r="J28" i="15"/>
  <c r="J30" i="15"/>
  <c r="J32" i="15"/>
  <c r="J34" i="15"/>
  <c r="J36" i="15"/>
  <c r="J38" i="15"/>
  <c r="J40" i="15"/>
  <c r="J42" i="15"/>
  <c r="J44" i="15"/>
  <c r="J46" i="15"/>
  <c r="K29" i="15"/>
  <c r="K31" i="15"/>
  <c r="K33" i="15"/>
  <c r="K35" i="15"/>
  <c r="K37" i="15"/>
  <c r="K39" i="15"/>
  <c r="K41" i="15"/>
  <c r="K43" i="15"/>
  <c r="K45" i="15"/>
  <c r="K47" i="15"/>
  <c r="K28" i="15"/>
  <c r="K30" i="15"/>
  <c r="K32" i="15"/>
  <c r="K34" i="15"/>
  <c r="K36" i="15"/>
  <c r="K38" i="15"/>
  <c r="K40" i="15"/>
  <c r="K42" i="15"/>
  <c r="K44" i="15"/>
  <c r="K46" i="15"/>
  <c r="B28" i="15"/>
  <c r="B95" i="15" s="1"/>
  <c r="B32" i="15"/>
  <c r="B99" i="15" s="1"/>
  <c r="B40" i="15"/>
  <c r="B107" i="15" s="1"/>
  <c r="B44" i="15"/>
  <c r="B111" i="15" s="1"/>
  <c r="B29" i="15"/>
  <c r="B96" i="15" s="1"/>
  <c r="B33" i="15"/>
  <c r="B100" i="15" s="1"/>
  <c r="B41" i="15"/>
  <c r="B108" i="15" s="1"/>
  <c r="B37" i="15"/>
  <c r="B104" i="15" s="1"/>
  <c r="B34" i="15"/>
  <c r="B101" i="15" s="1"/>
  <c r="B42" i="15"/>
  <c r="B109" i="15" s="1"/>
  <c r="B35" i="15"/>
  <c r="B102" i="15" s="1"/>
  <c r="B43" i="15"/>
  <c r="B110" i="15" s="1"/>
  <c r="B45" i="15"/>
  <c r="B112" i="15" s="1"/>
  <c r="B30" i="15"/>
  <c r="B97" i="15" s="1"/>
  <c r="B38" i="15"/>
  <c r="B105" i="15" s="1"/>
  <c r="B46" i="15"/>
  <c r="B113" i="15" s="1"/>
  <c r="B36" i="15"/>
  <c r="B103" i="15" s="1"/>
  <c r="B31" i="15"/>
  <c r="B98" i="15" s="1"/>
  <c r="B39" i="15"/>
  <c r="B106" i="15" s="1"/>
  <c r="B47" i="15"/>
  <c r="B114" i="15" s="1"/>
  <c r="C29" i="15"/>
  <c r="C31" i="15"/>
  <c r="C33" i="15"/>
  <c r="C35" i="15"/>
  <c r="C37" i="15"/>
  <c r="C39" i="15"/>
  <c r="C41" i="15"/>
  <c r="C43" i="15"/>
  <c r="C45" i="15"/>
  <c r="C47" i="15"/>
  <c r="C28" i="15"/>
  <c r="C30" i="15"/>
  <c r="C32" i="15"/>
  <c r="C34" i="15"/>
  <c r="C36" i="15"/>
  <c r="C38" i="15"/>
  <c r="C40" i="15"/>
  <c r="C42" i="15"/>
  <c r="C44" i="15"/>
  <c r="C46" i="15"/>
  <c r="D44" i="15"/>
  <c r="D45" i="15"/>
  <c r="D43" i="15"/>
  <c r="D29" i="15"/>
  <c r="D31" i="15"/>
  <c r="D33" i="15"/>
  <c r="D35" i="15"/>
  <c r="D37" i="15"/>
  <c r="D39" i="15"/>
  <c r="D41" i="15"/>
  <c r="D47" i="15"/>
  <c r="D28" i="15"/>
  <c r="D30" i="15"/>
  <c r="D32" i="15"/>
  <c r="D34" i="15"/>
  <c r="D36" i="15"/>
  <c r="D38" i="15"/>
  <c r="D40" i="15"/>
  <c r="D42" i="15"/>
  <c r="D46" i="15"/>
  <c r="L46" i="15"/>
  <c r="L45" i="15"/>
  <c r="L43" i="15"/>
  <c r="L47" i="15"/>
  <c r="L29" i="15"/>
  <c r="L31" i="15"/>
  <c r="L33" i="15"/>
  <c r="L35" i="15"/>
  <c r="L37" i="15"/>
  <c r="L39" i="15"/>
  <c r="L28" i="15"/>
  <c r="L30" i="15"/>
  <c r="L32" i="15"/>
  <c r="L34" i="15"/>
  <c r="L36" i="15"/>
  <c r="L38" i="15"/>
  <c r="L40" i="15"/>
  <c r="L42" i="15"/>
  <c r="L44" i="15"/>
  <c r="L41" i="15"/>
  <c r="R30" i="15"/>
  <c r="S30" i="15" s="1"/>
  <c r="T30" i="15" s="1"/>
  <c r="U30" i="15" s="1"/>
  <c r="V30" i="15" s="1"/>
  <c r="W30" i="15" s="1"/>
  <c r="X30" i="15" s="1"/>
  <c r="Y30" i="15" s="1"/>
  <c r="Z30" i="15" s="1"/>
  <c r="AA30" i="15" s="1"/>
  <c r="AB30" i="15" s="1"/>
  <c r="AC30" i="15" s="1"/>
  <c r="AO5" i="16"/>
  <c r="AP3" i="16"/>
  <c r="AN5" i="16"/>
  <c r="AN3" i="16"/>
  <c r="AN4" i="16"/>
  <c r="AO4" i="16"/>
  <c r="AO3" i="16"/>
  <c r="AP5" i="16"/>
  <c r="AP4" i="16"/>
  <c r="AR20" i="16"/>
  <c r="AS21" i="16"/>
  <c r="AR21" i="16"/>
  <c r="AT20" i="16"/>
  <c r="AS20" i="16"/>
  <c r="AT22" i="16"/>
  <c r="AR22" i="16"/>
  <c r="AT21" i="16"/>
  <c r="AS22" i="16"/>
  <c r="AN9" i="16"/>
  <c r="AO11" i="16"/>
  <c r="AN10" i="16"/>
  <c r="AP11" i="16"/>
  <c r="AP9" i="16"/>
  <c r="AO9" i="16"/>
  <c r="AN11" i="16"/>
  <c r="AP10" i="16"/>
  <c r="AO10" i="16"/>
  <c r="AT16" i="16"/>
  <c r="AS17" i="16"/>
  <c r="AS16" i="16"/>
  <c r="AT15" i="16"/>
  <c r="AS15" i="16"/>
  <c r="AR17" i="16"/>
  <c r="AR16" i="16"/>
  <c r="AT17" i="16"/>
  <c r="U21" i="16"/>
  <c r="V16" i="16"/>
  <c r="U20" i="16"/>
  <c r="T16" i="16"/>
  <c r="V20" i="16"/>
  <c r="U15" i="16"/>
  <c r="U19" i="16"/>
  <c r="V15" i="16"/>
  <c r="V19" i="16"/>
  <c r="T14" i="16"/>
  <c r="V21" i="16"/>
  <c r="U14" i="16"/>
  <c r="V14" i="16"/>
  <c r="T21" i="16"/>
  <c r="U16" i="16"/>
  <c r="T20" i="16"/>
  <c r="AM23" i="23" l="1" a="1"/>
  <c r="AM20" i="23" a="1"/>
  <c r="AM24" i="23" a="1"/>
  <c r="AM25" i="23" a="1"/>
  <c r="AM21" i="23" a="1"/>
  <c r="AM22" i="23" a="1"/>
  <c r="AM18" i="23" a="1"/>
  <c r="AM17" i="23" a="1"/>
  <c r="AM19" i="23" a="1"/>
  <c r="B118" i="15" a="1"/>
  <c r="Y10" i="23"/>
  <c r="W10" i="23"/>
  <c r="X10" i="23"/>
  <c r="Y4" i="23"/>
  <c r="X4" i="23"/>
  <c r="W4" i="23"/>
  <c r="AA4" i="23" s="1"/>
  <c r="AB4" i="23" s="1"/>
  <c r="Y12" i="23"/>
  <c r="W12" i="23"/>
  <c r="X12" i="23"/>
  <c r="W22" i="23" a="1"/>
  <c r="W20" i="23" a="1"/>
  <c r="W19" i="23" a="1"/>
  <c r="W24" i="23" a="1"/>
  <c r="W25" i="23" a="1"/>
  <c r="W23" i="23" a="1"/>
  <c r="W17" i="23" a="1"/>
  <c r="W26" i="23" a="1"/>
  <c r="W18" i="23" a="1"/>
  <c r="W21" i="23" a="1"/>
  <c r="W3" i="23"/>
  <c r="X3" i="23"/>
  <c r="Y3" i="23"/>
  <c r="Y5" i="23"/>
  <c r="X5" i="23"/>
  <c r="W5" i="23"/>
  <c r="AA5" i="23" s="1"/>
  <c r="AB5" i="23" s="1"/>
  <c r="Y11" i="23"/>
  <c r="W11" i="23"/>
  <c r="X11" i="23"/>
  <c r="Y7" i="23"/>
  <c r="W7" i="23"/>
  <c r="X7" i="23"/>
  <c r="Y6" i="23"/>
  <c r="W6" i="23"/>
  <c r="X6" i="23"/>
  <c r="Y9" i="23"/>
  <c r="X9" i="23"/>
  <c r="W9" i="23"/>
  <c r="Y8" i="23"/>
  <c r="W8" i="23"/>
  <c r="X8" i="23"/>
  <c r="C48" i="15"/>
  <c r="D49" i="15"/>
  <c r="I48" i="15"/>
  <c r="J48" i="15"/>
  <c r="B49" i="15"/>
  <c r="E48" i="15"/>
  <c r="Q53" i="15" s="1" a="1"/>
  <c r="E49" i="15"/>
  <c r="J49" i="15"/>
  <c r="N49" i="15"/>
  <c r="N48" i="15"/>
  <c r="M49" i="15"/>
  <c r="M48" i="15"/>
  <c r="L49" i="15"/>
  <c r="L48" i="15"/>
  <c r="K49" i="15"/>
  <c r="K48" i="15"/>
  <c r="I49" i="15"/>
  <c r="B48" i="15"/>
  <c r="H49" i="15"/>
  <c r="H48" i="15"/>
  <c r="D48" i="15"/>
  <c r="C49" i="15"/>
  <c r="G49" i="15"/>
  <c r="G48" i="15"/>
  <c r="F48" i="15"/>
  <c r="F49" i="15"/>
  <c r="K53" i="15"/>
  <c r="N61" i="15"/>
  <c r="C53" i="15"/>
  <c r="L61" i="15"/>
  <c r="J58" i="15"/>
  <c r="I61" i="15"/>
  <c r="B58" i="15"/>
  <c r="D61" i="15"/>
  <c r="H53" i="15"/>
  <c r="G53" i="15"/>
  <c r="E53" i="15"/>
  <c r="C61" i="15"/>
  <c r="E61" i="15"/>
  <c r="B53" i="15"/>
  <c r="M65" i="15"/>
  <c r="E65" i="15"/>
  <c r="L65" i="15"/>
  <c r="D65" i="15"/>
  <c r="K65" i="15"/>
  <c r="C65" i="15"/>
  <c r="J65" i="15"/>
  <c r="B65" i="15"/>
  <c r="I65" i="15"/>
  <c r="H65" i="15"/>
  <c r="G65" i="15"/>
  <c r="N65" i="15"/>
  <c r="F65" i="15"/>
  <c r="M57" i="15"/>
  <c r="E57" i="15"/>
  <c r="L57" i="15"/>
  <c r="D57" i="15"/>
  <c r="K57" i="15"/>
  <c r="C57" i="15"/>
  <c r="J57" i="15"/>
  <c r="B57" i="15"/>
  <c r="I57" i="15"/>
  <c r="H57" i="15"/>
  <c r="G57" i="15"/>
  <c r="N57" i="15"/>
  <c r="F57" i="15"/>
  <c r="K61" i="15"/>
  <c r="M61" i="15"/>
  <c r="J53" i="15"/>
  <c r="D53" i="15"/>
  <c r="G60" i="15"/>
  <c r="N60" i="15"/>
  <c r="F60" i="15"/>
  <c r="M60" i="15"/>
  <c r="E60" i="15"/>
  <c r="L60" i="15"/>
  <c r="D60" i="15"/>
  <c r="K60" i="15"/>
  <c r="C60" i="15"/>
  <c r="J60" i="15"/>
  <c r="B60" i="15"/>
  <c r="I60" i="15"/>
  <c r="H60" i="15"/>
  <c r="F58" i="15"/>
  <c r="G61" i="15"/>
  <c r="L53" i="15"/>
  <c r="D58" i="15"/>
  <c r="N58" i="15"/>
  <c r="C58" i="15"/>
  <c r="B61" i="15"/>
  <c r="H58" i="15"/>
  <c r="L58" i="15"/>
  <c r="I58" i="15"/>
  <c r="J61" i="15"/>
  <c r="F53" i="15"/>
  <c r="I59" i="15"/>
  <c r="H59" i="15"/>
  <c r="G59" i="15"/>
  <c r="N59" i="15"/>
  <c r="F59" i="15"/>
  <c r="M59" i="15"/>
  <c r="E59" i="15"/>
  <c r="L59" i="15"/>
  <c r="D59" i="15"/>
  <c r="K59" i="15"/>
  <c r="C59" i="15"/>
  <c r="J59" i="15"/>
  <c r="B59" i="15"/>
  <c r="G58" i="15"/>
  <c r="H61" i="15"/>
  <c r="N53" i="15"/>
  <c r="I53" i="15"/>
  <c r="I55" i="15"/>
  <c r="H55" i="15"/>
  <c r="G55" i="15"/>
  <c r="N55" i="15"/>
  <c r="F55" i="15"/>
  <c r="M55" i="15"/>
  <c r="E55" i="15"/>
  <c r="L55" i="15"/>
  <c r="D55" i="15"/>
  <c r="K55" i="15"/>
  <c r="C55" i="15"/>
  <c r="J55" i="15"/>
  <c r="B55" i="15"/>
  <c r="K58" i="15"/>
  <c r="G64" i="15"/>
  <c r="N64" i="15"/>
  <c r="F64" i="15"/>
  <c r="M64" i="15"/>
  <c r="E64" i="15"/>
  <c r="L64" i="15"/>
  <c r="D64" i="15"/>
  <c r="K64" i="15"/>
  <c r="C64" i="15"/>
  <c r="J64" i="15"/>
  <c r="B64" i="15"/>
  <c r="I64" i="15"/>
  <c r="H64" i="15"/>
  <c r="G56" i="15"/>
  <c r="N56" i="15"/>
  <c r="F56" i="15"/>
  <c r="M56" i="15"/>
  <c r="E56" i="15"/>
  <c r="L56" i="15"/>
  <c r="D56" i="15"/>
  <c r="K56" i="15"/>
  <c r="C56" i="15"/>
  <c r="J56" i="15"/>
  <c r="B56" i="15"/>
  <c r="I56" i="15"/>
  <c r="H56" i="15"/>
  <c r="E58" i="15"/>
  <c r="M53" i="15"/>
  <c r="K54" i="15"/>
  <c r="C54" i="15"/>
  <c r="J54" i="15"/>
  <c r="B54" i="15"/>
  <c r="I54" i="15"/>
  <c r="H54" i="15"/>
  <c r="G54" i="15"/>
  <c r="N54" i="15"/>
  <c r="F54" i="15"/>
  <c r="M54" i="15"/>
  <c r="E54" i="15"/>
  <c r="L54" i="15"/>
  <c r="D54" i="15"/>
  <c r="I63" i="15"/>
  <c r="H63" i="15"/>
  <c r="G63" i="15"/>
  <c r="N63" i="15"/>
  <c r="F63" i="15"/>
  <c r="M63" i="15"/>
  <c r="E63" i="15"/>
  <c r="L63" i="15"/>
  <c r="D63" i="15"/>
  <c r="K63" i="15"/>
  <c r="C63" i="15"/>
  <c r="J63" i="15"/>
  <c r="B63" i="15"/>
  <c r="K62" i="15"/>
  <c r="C62" i="15"/>
  <c r="J62" i="15"/>
  <c r="B62" i="15"/>
  <c r="I62" i="15"/>
  <c r="H62" i="15"/>
  <c r="G62" i="15"/>
  <c r="N62" i="15"/>
  <c r="F62" i="15"/>
  <c r="M62" i="15"/>
  <c r="E62" i="15"/>
  <c r="L62" i="15"/>
  <c r="D62" i="15"/>
  <c r="M58" i="15"/>
  <c r="F61" i="15"/>
  <c r="AM17" i="23" l="1"/>
  <c r="AN17" i="23"/>
  <c r="AO17" i="23"/>
  <c r="AN18" i="23"/>
  <c r="AM18" i="23"/>
  <c r="AO18" i="23"/>
  <c r="AN22" i="23"/>
  <c r="AM22" i="23"/>
  <c r="AO22" i="23"/>
  <c r="AN21" i="23"/>
  <c r="AQ21" i="23" s="1"/>
  <c r="AR21" i="23" s="1"/>
  <c r="AM21" i="23"/>
  <c r="AO21" i="23"/>
  <c r="AN25" i="23"/>
  <c r="AM25" i="23"/>
  <c r="AO25" i="23"/>
  <c r="AN24" i="23"/>
  <c r="AM24" i="23"/>
  <c r="AO24" i="23"/>
  <c r="AN20" i="23"/>
  <c r="AM20" i="23"/>
  <c r="AO20" i="23"/>
  <c r="AQ20" i="23" s="1"/>
  <c r="AR20" i="23" s="1"/>
  <c r="AN19" i="23"/>
  <c r="AQ19" i="23" s="1"/>
  <c r="AR19" i="23" s="1"/>
  <c r="AM19" i="23"/>
  <c r="AO19" i="23"/>
  <c r="AN23" i="23"/>
  <c r="AM23" i="23"/>
  <c r="AO23" i="23"/>
  <c r="B118" i="15"/>
  <c r="G125" i="15"/>
  <c r="F119" i="15"/>
  <c r="I120" i="15"/>
  <c r="H128" i="15"/>
  <c r="D125" i="15"/>
  <c r="T121" i="15"/>
  <c r="P118" i="15"/>
  <c r="F129" i="15"/>
  <c r="M125" i="15"/>
  <c r="S129" i="15"/>
  <c r="O126" i="15"/>
  <c r="K123" i="15"/>
  <c r="G120" i="15"/>
  <c r="G123" i="15"/>
  <c r="R122" i="15"/>
  <c r="E119" i="15"/>
  <c r="R127" i="15"/>
  <c r="N124" i="15"/>
  <c r="J121" i="15"/>
  <c r="F118" i="15"/>
  <c r="J128" i="15"/>
  <c r="M119" i="15"/>
  <c r="E128" i="15"/>
  <c r="U124" i="15"/>
  <c r="Q121" i="15"/>
  <c r="M118" i="15"/>
  <c r="O121" i="15"/>
  <c r="J122" i="15"/>
  <c r="D130" i="15"/>
  <c r="T126" i="15"/>
  <c r="P123" i="15"/>
  <c r="L120" i="15"/>
  <c r="Q119" i="15"/>
  <c r="P121" i="15"/>
  <c r="Q126" i="15"/>
  <c r="N118" i="15"/>
  <c r="N123" i="15"/>
  <c r="K122" i="15"/>
  <c r="I130" i="15"/>
  <c r="I118" i="15"/>
  <c r="T127" i="15"/>
  <c r="P124" i="15"/>
  <c r="L121" i="15"/>
  <c r="H118" i="15"/>
  <c r="R126" i="15"/>
  <c r="U123" i="15"/>
  <c r="K129" i="15"/>
  <c r="G126" i="15"/>
  <c r="C123" i="15"/>
  <c r="S119" i="15"/>
  <c r="G121" i="15"/>
  <c r="N121" i="15"/>
  <c r="N130" i="15"/>
  <c r="J127" i="15"/>
  <c r="F124" i="15"/>
  <c r="B121" i="15"/>
  <c r="O129" i="15"/>
  <c r="R124" i="15"/>
  <c r="U130" i="15"/>
  <c r="Q127" i="15"/>
  <c r="M124" i="15"/>
  <c r="I121" i="15"/>
  <c r="E118" i="15"/>
  <c r="K120" i="15"/>
  <c r="J120" i="15"/>
  <c r="P129" i="15"/>
  <c r="L126" i="15"/>
  <c r="H123" i="15"/>
  <c r="D120" i="15"/>
  <c r="I129" i="15"/>
  <c r="U119" i="15"/>
  <c r="M121" i="15"/>
  <c r="G130" i="15"/>
  <c r="U121" i="15"/>
  <c r="R130" i="15"/>
  <c r="U118" i="15"/>
  <c r="C118" i="15"/>
  <c r="S118" i="15"/>
  <c r="Q128" i="15"/>
  <c r="P130" i="15"/>
  <c r="L127" i="15"/>
  <c r="H124" i="15"/>
  <c r="D121" i="15"/>
  <c r="C130" i="15"/>
  <c r="B124" i="15"/>
  <c r="I122" i="15"/>
  <c r="C129" i="15"/>
  <c r="S125" i="15"/>
  <c r="O122" i="15"/>
  <c r="K119" i="15"/>
  <c r="C120" i="15"/>
  <c r="B120" i="15"/>
  <c r="F130" i="15"/>
  <c r="B127" i="15"/>
  <c r="R123" i="15"/>
  <c r="N120" i="15"/>
  <c r="O127" i="15"/>
  <c r="B122" i="15"/>
  <c r="M130" i="15"/>
  <c r="I127" i="15"/>
  <c r="E124" i="15"/>
  <c r="U120" i="15"/>
  <c r="K130" i="15"/>
  <c r="K118" i="15"/>
  <c r="J118" i="15"/>
  <c r="H129" i="15"/>
  <c r="D126" i="15"/>
  <c r="T122" i="15"/>
  <c r="P119" i="15"/>
  <c r="E126" i="15"/>
  <c r="T124" i="15"/>
  <c r="S123" i="15"/>
  <c r="O123" i="15"/>
  <c r="B130" i="15"/>
  <c r="E127" i="15"/>
  <c r="H130" i="15"/>
  <c r="D127" i="15"/>
  <c r="T123" i="15"/>
  <c r="P120" i="15"/>
  <c r="S126" i="15"/>
  <c r="F121" i="15"/>
  <c r="E121" i="15"/>
  <c r="O128" i="15"/>
  <c r="K125" i="15"/>
  <c r="G122" i="15"/>
  <c r="C119" i="15"/>
  <c r="J130" i="15"/>
  <c r="U129" i="15"/>
  <c r="R129" i="15"/>
  <c r="N126" i="15"/>
  <c r="J123" i="15"/>
  <c r="F120" i="15"/>
  <c r="O125" i="15"/>
  <c r="N119" i="15"/>
  <c r="E130" i="15"/>
  <c r="U126" i="15"/>
  <c r="Q123" i="15"/>
  <c r="M120" i="15"/>
  <c r="G129" i="15"/>
  <c r="N129" i="15"/>
  <c r="M129" i="15"/>
  <c r="T128" i="15"/>
  <c r="P125" i="15"/>
  <c r="L122" i="15"/>
  <c r="H119" i="15"/>
  <c r="C122" i="15"/>
  <c r="K126" i="15"/>
  <c r="D128" i="15"/>
  <c r="L118" i="15"/>
  <c r="P128" i="15"/>
  <c r="G119" i="15"/>
  <c r="C126" i="15"/>
  <c r="B125" i="15"/>
  <c r="I125" i="15"/>
  <c r="T120" i="15"/>
  <c r="B128" i="15"/>
  <c r="E125" i="15"/>
  <c r="T129" i="15"/>
  <c r="P126" i="15"/>
  <c r="L123" i="15"/>
  <c r="H120" i="15"/>
  <c r="K124" i="15"/>
  <c r="R118" i="15"/>
  <c r="Q120" i="15"/>
  <c r="G128" i="15"/>
  <c r="C125" i="15"/>
  <c r="S121" i="15"/>
  <c r="O118" i="15"/>
  <c r="R128" i="15"/>
  <c r="U127" i="15"/>
  <c r="J129" i="15"/>
  <c r="F126" i="15"/>
  <c r="B123" i="15"/>
  <c r="R119" i="15"/>
  <c r="C124" i="15"/>
  <c r="E129" i="15"/>
  <c r="Q129" i="15"/>
  <c r="M126" i="15"/>
  <c r="I123" i="15"/>
  <c r="E120" i="15"/>
  <c r="C128" i="15"/>
  <c r="N127" i="15"/>
  <c r="Q124" i="15"/>
  <c r="L128" i="15"/>
  <c r="H125" i="15"/>
  <c r="D122" i="15"/>
  <c r="T118" i="15"/>
  <c r="L125" i="15"/>
  <c r="C127" i="15"/>
  <c r="F128" i="15"/>
  <c r="M128" i="15"/>
  <c r="H127" i="15"/>
  <c r="S130" i="15"/>
  <c r="N125" i="15"/>
  <c r="M123" i="15"/>
  <c r="L129" i="15"/>
  <c r="H126" i="15"/>
  <c r="D123" i="15"/>
  <c r="T119" i="15"/>
  <c r="S122" i="15"/>
  <c r="Q130" i="15"/>
  <c r="Q118" i="15"/>
  <c r="S127" i="15"/>
  <c r="O124" i="15"/>
  <c r="K121" i="15"/>
  <c r="G118" i="15"/>
  <c r="F127" i="15"/>
  <c r="I126" i="15"/>
  <c r="B129" i="15"/>
  <c r="R125" i="15"/>
  <c r="N122" i="15"/>
  <c r="J119" i="15"/>
  <c r="M127" i="15"/>
  <c r="U122" i="15"/>
  <c r="J126" i="15"/>
  <c r="G127" i="15"/>
  <c r="H122" i="15"/>
  <c r="J124" i="15"/>
  <c r="E123" i="15"/>
  <c r="L130" i="15"/>
  <c r="S128" i="15"/>
  <c r="F123" i="15"/>
  <c r="Q122" i="15"/>
  <c r="D129" i="15"/>
  <c r="T125" i="15"/>
  <c r="P122" i="15"/>
  <c r="L119" i="15"/>
  <c r="S120" i="15"/>
  <c r="I128" i="15"/>
  <c r="O130" i="15"/>
  <c r="K127" i="15"/>
  <c r="G124" i="15"/>
  <c r="C121" i="15"/>
  <c r="K128" i="15"/>
  <c r="B126" i="15"/>
  <c r="I124" i="15"/>
  <c r="N128" i="15"/>
  <c r="J125" i="15"/>
  <c r="F122" i="15"/>
  <c r="B119" i="15"/>
  <c r="O119" i="15"/>
  <c r="U125" i="15"/>
  <c r="U128" i="15"/>
  <c r="Q125" i="15"/>
  <c r="M122" i="15"/>
  <c r="I119" i="15"/>
  <c r="S124" i="15"/>
  <c r="F125" i="15"/>
  <c r="T130" i="15"/>
  <c r="P127" i="15"/>
  <c r="L124" i="15"/>
  <c r="H121" i="15"/>
  <c r="D118" i="15"/>
  <c r="R120" i="15"/>
  <c r="D119" i="15"/>
  <c r="O120" i="15"/>
  <c r="R121" i="15"/>
  <c r="E122" i="15"/>
  <c r="D124" i="15"/>
  <c r="AQ5" i="23"/>
  <c r="AR5" i="23" s="1"/>
  <c r="AQ9" i="23"/>
  <c r="AR9" i="23" s="1"/>
  <c r="AA6" i="23"/>
  <c r="AB6" i="23" s="1"/>
  <c r="AA10" i="23"/>
  <c r="AB10" i="23" s="1"/>
  <c r="AQ3" i="23"/>
  <c r="AR3" i="23" s="1"/>
  <c r="AA12" i="23"/>
  <c r="AB12" i="23" s="1"/>
  <c r="AQ7" i="23"/>
  <c r="AR7" i="23" s="1"/>
  <c r="Y23" i="23"/>
  <c r="W23" i="23"/>
  <c r="X23" i="23"/>
  <c r="AQ4" i="23"/>
  <c r="AR4" i="23" s="1"/>
  <c r="AA7" i="23"/>
  <c r="AB7" i="23" s="1"/>
  <c r="Y25" i="23"/>
  <c r="X25" i="23"/>
  <c r="W25" i="23"/>
  <c r="AA8" i="23"/>
  <c r="AB8" i="23" s="1"/>
  <c r="AA3" i="23"/>
  <c r="AB3" i="23" s="1"/>
  <c r="Y24" i="23"/>
  <c r="X24" i="23"/>
  <c r="W24" i="23"/>
  <c r="AQ8" i="23"/>
  <c r="AR8" i="23" s="1"/>
  <c r="AA11" i="23"/>
  <c r="AB11" i="23" s="1"/>
  <c r="Y21" i="23"/>
  <c r="W21" i="23"/>
  <c r="X21" i="23"/>
  <c r="Y19" i="23"/>
  <c r="X19" i="23"/>
  <c r="W19" i="23"/>
  <c r="AA9" i="23"/>
  <c r="AB9" i="23" s="1"/>
  <c r="AQ6" i="23"/>
  <c r="AR6" i="23" s="1"/>
  <c r="Y18" i="23"/>
  <c r="W18" i="23"/>
  <c r="X18" i="23"/>
  <c r="Y20" i="23"/>
  <c r="W20" i="23"/>
  <c r="X20" i="23"/>
  <c r="Y26" i="23"/>
  <c r="X26" i="23"/>
  <c r="W26" i="23"/>
  <c r="Y22" i="23"/>
  <c r="X22" i="23"/>
  <c r="W22" i="23"/>
  <c r="AQ11" i="23"/>
  <c r="AR11" i="23" s="1"/>
  <c r="AQ10" i="23"/>
  <c r="AR10" i="23" s="1"/>
  <c r="W17" i="23"/>
  <c r="Y17" i="23"/>
  <c r="X17" i="23"/>
  <c r="W72" i="15"/>
  <c r="V72" i="15"/>
  <c r="AC72" i="15"/>
  <c r="U72" i="15"/>
  <c r="Z71" i="15"/>
  <c r="R71" i="15"/>
  <c r="W70" i="15"/>
  <c r="AB72" i="15"/>
  <c r="AA72" i="15"/>
  <c r="Z72" i="15"/>
  <c r="Y72" i="15"/>
  <c r="Q72" i="15"/>
  <c r="V71" i="15"/>
  <c r="AA70" i="15"/>
  <c r="S70" i="15"/>
  <c r="X72" i="15"/>
  <c r="R72" i="15"/>
  <c r="T71" i="15"/>
  <c r="V70" i="15"/>
  <c r="Z69" i="15"/>
  <c r="R69" i="15"/>
  <c r="W68" i="15"/>
  <c r="AB67" i="15"/>
  <c r="T67" i="15"/>
  <c r="Y66" i="15"/>
  <c r="Q66" i="15"/>
  <c r="V65" i="15"/>
  <c r="AA64" i="15"/>
  <c r="S64" i="15"/>
  <c r="X63" i="15"/>
  <c r="AC62" i="15"/>
  <c r="U62" i="15"/>
  <c r="Z61" i="15"/>
  <c r="R61" i="15"/>
  <c r="W60" i="15"/>
  <c r="AB59" i="15"/>
  <c r="T59" i="15"/>
  <c r="Y58" i="15"/>
  <c r="Q58" i="15"/>
  <c r="V57" i="15"/>
  <c r="AA56" i="15"/>
  <c r="S56" i="15"/>
  <c r="X55" i="15"/>
  <c r="AC54" i="15"/>
  <c r="U54" i="15"/>
  <c r="Z53" i="15"/>
  <c r="R53" i="15"/>
  <c r="AC71" i="15"/>
  <c r="S71" i="15"/>
  <c r="U70" i="15"/>
  <c r="Y69" i="15"/>
  <c r="Q69" i="15"/>
  <c r="V68" i="15"/>
  <c r="AA67" i="15"/>
  <c r="S67" i="15"/>
  <c r="X66" i="15"/>
  <c r="AC65" i="15"/>
  <c r="U65" i="15"/>
  <c r="Z64" i="15"/>
  <c r="R64" i="15"/>
  <c r="W63" i="15"/>
  <c r="AB62" i="15"/>
  <c r="T62" i="15"/>
  <c r="Y61" i="15"/>
  <c r="Q61" i="15"/>
  <c r="V60" i="15"/>
  <c r="AA59" i="15"/>
  <c r="S59" i="15"/>
  <c r="X58" i="15"/>
  <c r="AC57" i="15"/>
  <c r="U57" i="15"/>
  <c r="Z56" i="15"/>
  <c r="R56" i="15"/>
  <c r="W55" i="15"/>
  <c r="AB54" i="15"/>
  <c r="T54" i="15"/>
  <c r="Y53" i="15"/>
  <c r="Q53" i="15"/>
  <c r="AB71" i="15"/>
  <c r="Q71" i="15"/>
  <c r="T70" i="15"/>
  <c r="X69" i="15"/>
  <c r="AC68" i="15"/>
  <c r="U68" i="15"/>
  <c r="Z67" i="15"/>
  <c r="R67" i="15"/>
  <c r="W66" i="15"/>
  <c r="AB65" i="15"/>
  <c r="T65" i="15"/>
  <c r="Y64" i="15"/>
  <c r="Q64" i="15"/>
  <c r="V63" i="15"/>
  <c r="AA62" i="15"/>
  <c r="S62" i="15"/>
  <c r="X61" i="15"/>
  <c r="AC60" i="15"/>
  <c r="U60" i="15"/>
  <c r="Z59" i="15"/>
  <c r="R59" i="15"/>
  <c r="W58" i="15"/>
  <c r="AB57" i="15"/>
  <c r="T57" i="15"/>
  <c r="Y56" i="15"/>
  <c r="Q56" i="15"/>
  <c r="V55" i="15"/>
  <c r="AA54" i="15"/>
  <c r="S54" i="15"/>
  <c r="X53" i="15"/>
  <c r="AA71" i="15"/>
  <c r="AC70" i="15"/>
  <c r="R70" i="15"/>
  <c r="W69" i="15"/>
  <c r="AB68" i="15"/>
  <c r="T68" i="15"/>
  <c r="Y67" i="15"/>
  <c r="Q67" i="15"/>
  <c r="V66" i="15"/>
  <c r="AA65" i="15"/>
  <c r="S65" i="15"/>
  <c r="X64" i="15"/>
  <c r="AC63" i="15"/>
  <c r="U63" i="15"/>
  <c r="Z62" i="15"/>
  <c r="R62" i="15"/>
  <c r="W61" i="15"/>
  <c r="AB60" i="15"/>
  <c r="T60" i="15"/>
  <c r="Y59" i="15"/>
  <c r="Q59" i="15"/>
  <c r="V58" i="15"/>
  <c r="AA57" i="15"/>
  <c r="S57" i="15"/>
  <c r="X56" i="15"/>
  <c r="AC55" i="15"/>
  <c r="U55" i="15"/>
  <c r="Z54" i="15"/>
  <c r="R54" i="15"/>
  <c r="W53" i="15"/>
  <c r="Y71" i="15"/>
  <c r="AB70" i="15"/>
  <c r="Q70" i="15"/>
  <c r="V69" i="15"/>
  <c r="AA68" i="15"/>
  <c r="S68" i="15"/>
  <c r="X67" i="15"/>
  <c r="AC66" i="15"/>
  <c r="U66" i="15"/>
  <c r="Z65" i="15"/>
  <c r="R65" i="15"/>
  <c r="W64" i="15"/>
  <c r="AB63" i="15"/>
  <c r="T63" i="15"/>
  <c r="Y62" i="15"/>
  <c r="Q62" i="15"/>
  <c r="V61" i="15"/>
  <c r="AA60" i="15"/>
  <c r="S60" i="15"/>
  <c r="X59" i="15"/>
  <c r="AC58" i="15"/>
  <c r="U58" i="15"/>
  <c r="Z57" i="15"/>
  <c r="R57" i="15"/>
  <c r="W56" i="15"/>
  <c r="AB55" i="15"/>
  <c r="T55" i="15"/>
  <c r="Y54" i="15"/>
  <c r="Q54" i="15"/>
  <c r="V53" i="15"/>
  <c r="X71" i="15"/>
  <c r="Z70" i="15"/>
  <c r="AC69" i="15"/>
  <c r="U69" i="15"/>
  <c r="Z68" i="15"/>
  <c r="R68" i="15"/>
  <c r="W67" i="15"/>
  <c r="AB66" i="15"/>
  <c r="T66" i="15"/>
  <c r="Y65" i="15"/>
  <c r="Q65" i="15"/>
  <c r="V64" i="15"/>
  <c r="AA63" i="15"/>
  <c r="S63" i="15"/>
  <c r="X62" i="15"/>
  <c r="AC61" i="15"/>
  <c r="U61" i="15"/>
  <c r="Z60" i="15"/>
  <c r="R60" i="15"/>
  <c r="W59" i="15"/>
  <c r="AB58" i="15"/>
  <c r="T58" i="15"/>
  <c r="Y57" i="15"/>
  <c r="Q57" i="15"/>
  <c r="V56" i="15"/>
  <c r="AA55" i="15"/>
  <c r="S55" i="15"/>
  <c r="X54" i="15"/>
  <c r="AC53" i="15"/>
  <c r="U53" i="15"/>
  <c r="T72" i="15"/>
  <c r="W71" i="15"/>
  <c r="Y70" i="15"/>
  <c r="AB69" i="15"/>
  <c r="T69" i="15"/>
  <c r="Y68" i="15"/>
  <c r="Q68" i="15"/>
  <c r="V67" i="15"/>
  <c r="AA66" i="15"/>
  <c r="S66" i="15"/>
  <c r="X65" i="15"/>
  <c r="AC64" i="15"/>
  <c r="U64" i="15"/>
  <c r="Z63" i="15"/>
  <c r="R63" i="15"/>
  <c r="W62" i="15"/>
  <c r="AB61" i="15"/>
  <c r="T61" i="15"/>
  <c r="Y60" i="15"/>
  <c r="Q60" i="15"/>
  <c r="V59" i="15"/>
  <c r="AA58" i="15"/>
  <c r="S58" i="15"/>
  <c r="X57" i="15"/>
  <c r="AC56" i="15"/>
  <c r="U56" i="15"/>
  <c r="Z55" i="15"/>
  <c r="R55" i="15"/>
  <c r="W54" i="15"/>
  <c r="AB53" i="15"/>
  <c r="T53" i="15"/>
  <c r="S72" i="15"/>
  <c r="U71" i="15"/>
  <c r="X70" i="15"/>
  <c r="AA69" i="15"/>
  <c r="S69" i="15"/>
  <c r="X68" i="15"/>
  <c r="AC67" i="15"/>
  <c r="U67" i="15"/>
  <c r="Z66" i="15"/>
  <c r="R66" i="15"/>
  <c r="W65" i="15"/>
  <c r="AB64" i="15"/>
  <c r="T64" i="15"/>
  <c r="Y63" i="15"/>
  <c r="Q63" i="15"/>
  <c r="V62" i="15"/>
  <c r="AA61" i="15"/>
  <c r="S61" i="15"/>
  <c r="X60" i="15"/>
  <c r="AC59" i="15"/>
  <c r="U59" i="15"/>
  <c r="Z58" i="15"/>
  <c r="R58" i="15"/>
  <c r="W57" i="15"/>
  <c r="AB56" i="15"/>
  <c r="T56" i="15"/>
  <c r="Y55" i="15"/>
  <c r="Q55" i="15"/>
  <c r="V54" i="15"/>
  <c r="AA53" i="15"/>
  <c r="S53" i="15"/>
  <c r="AA23" i="23" l="1"/>
  <c r="AB23" i="23" s="1"/>
  <c r="B134" i="15" a="1"/>
  <c r="N144" i="15" s="1"/>
  <c r="AA17" i="23"/>
  <c r="AB17" i="23" s="1"/>
  <c r="AA19" i="23"/>
  <c r="AB19" i="23" s="1"/>
  <c r="AA24" i="23"/>
  <c r="AB24" i="23" s="1"/>
  <c r="AA25" i="23"/>
  <c r="AB25" i="23" s="1"/>
  <c r="AQ25" i="23"/>
  <c r="AR25" i="23" s="1"/>
  <c r="AA20" i="23"/>
  <c r="AB20" i="23" s="1"/>
  <c r="AA22" i="23"/>
  <c r="AB22" i="23" s="1"/>
  <c r="AA18" i="23"/>
  <c r="AB18" i="23" s="1"/>
  <c r="AA21" i="23"/>
  <c r="AB21" i="23" s="1"/>
  <c r="AQ18" i="23"/>
  <c r="AR18" i="23" s="1"/>
  <c r="AQ23" i="23"/>
  <c r="AR23" i="23" s="1"/>
  <c r="AA26" i="23"/>
  <c r="AB26" i="23" s="1"/>
  <c r="AQ17" i="23"/>
  <c r="AR17" i="23" s="1"/>
  <c r="AQ24" i="23"/>
  <c r="AR24" i="23" s="1"/>
  <c r="AQ22" i="23"/>
  <c r="AR22" i="23" s="1"/>
  <c r="R88" i="15"/>
  <c r="R85" i="15"/>
  <c r="R86" i="15"/>
  <c r="R87" i="15"/>
  <c r="R90" i="15"/>
  <c r="R89" i="15"/>
  <c r="U86" i="15"/>
  <c r="U89" i="15"/>
  <c r="U88" i="15"/>
  <c r="U87" i="15"/>
  <c r="U85" i="15"/>
  <c r="U90" i="15"/>
  <c r="Q85" i="15"/>
  <c r="Q86" i="15"/>
  <c r="Q87" i="15"/>
  <c r="Q90" i="15"/>
  <c r="Q89" i="15"/>
  <c r="Q88" i="15"/>
  <c r="T88" i="15"/>
  <c r="T87" i="15"/>
  <c r="T85" i="15"/>
  <c r="T90" i="15"/>
  <c r="T89" i="15"/>
  <c r="T86" i="15"/>
  <c r="S88" i="15"/>
  <c r="S85" i="15"/>
  <c r="S86" i="15"/>
  <c r="S87" i="15"/>
  <c r="S90" i="15"/>
  <c r="S89" i="15"/>
  <c r="V73" i="15"/>
  <c r="V86" i="15"/>
  <c r="V83" i="15"/>
  <c r="V78" i="15"/>
  <c r="V87" i="15"/>
  <c r="V85" i="15"/>
  <c r="V89" i="15"/>
  <c r="V82" i="15"/>
  <c r="V79" i="15"/>
  <c r="V80" i="15"/>
  <c r="V84" i="15"/>
  <c r="V81" i="15"/>
  <c r="V90" i="15"/>
  <c r="V88" i="15"/>
  <c r="R73" i="15"/>
  <c r="R78" i="15"/>
  <c r="R83" i="15"/>
  <c r="R80" i="15"/>
  <c r="R82" i="15"/>
  <c r="R81" i="15"/>
  <c r="R84" i="15"/>
  <c r="R79" i="15"/>
  <c r="U73" i="15"/>
  <c r="U78" i="15"/>
  <c r="U83" i="15"/>
  <c r="U84" i="15"/>
  <c r="U81" i="15"/>
  <c r="U79" i="15"/>
  <c r="U82" i="15"/>
  <c r="U80" i="15"/>
  <c r="Q73" i="15"/>
  <c r="Q83" i="15"/>
  <c r="Q78" i="15"/>
  <c r="Q84" i="15"/>
  <c r="Q79" i="15"/>
  <c r="Q80" i="15"/>
  <c r="Q82" i="15"/>
  <c r="Q81" i="15"/>
  <c r="Z73" i="15"/>
  <c r="Z86" i="15"/>
  <c r="Z78" i="15"/>
  <c r="Z83" i="15"/>
  <c r="Z85" i="15"/>
  <c r="Z89" i="15"/>
  <c r="Z82" i="15"/>
  <c r="Z88" i="15"/>
  <c r="Z81" i="15"/>
  <c r="Z90" i="15"/>
  <c r="Z84" i="15"/>
  <c r="Z79" i="15"/>
  <c r="Z87" i="15"/>
  <c r="Z80" i="15"/>
  <c r="T73" i="15"/>
  <c r="T83" i="15"/>
  <c r="T78" i="15"/>
  <c r="T82" i="15"/>
  <c r="T84" i="15"/>
  <c r="T80" i="15"/>
  <c r="T81" i="15"/>
  <c r="T79" i="15"/>
  <c r="AC73" i="15"/>
  <c r="AC83" i="15"/>
  <c r="AC86" i="15"/>
  <c r="AC78" i="15"/>
  <c r="AC81" i="15"/>
  <c r="AC90" i="15"/>
  <c r="AC88" i="15"/>
  <c r="AC79" i="15"/>
  <c r="AC87" i="15"/>
  <c r="AC89" i="15"/>
  <c r="AC82" i="15"/>
  <c r="AC85" i="15"/>
  <c r="AC80" i="15"/>
  <c r="AC84" i="15"/>
  <c r="Y73" i="15"/>
  <c r="Y83" i="15"/>
  <c r="Y86" i="15"/>
  <c r="Y78" i="15"/>
  <c r="Y90" i="15"/>
  <c r="Y89" i="15"/>
  <c r="Y84" i="15"/>
  <c r="Y79" i="15"/>
  <c r="Y87" i="15"/>
  <c r="Y80" i="15"/>
  <c r="Y82" i="15"/>
  <c r="Y81" i="15"/>
  <c r="Y88" i="15"/>
  <c r="Y85" i="15"/>
  <c r="S73" i="15"/>
  <c r="S78" i="15"/>
  <c r="S83" i="15"/>
  <c r="S81" i="15"/>
  <c r="S84" i="15"/>
  <c r="S80" i="15"/>
  <c r="S79" i="15"/>
  <c r="S82" i="15"/>
  <c r="AB73" i="15"/>
  <c r="AB86" i="15"/>
  <c r="AB78" i="15"/>
  <c r="AB83" i="15"/>
  <c r="AB89" i="15"/>
  <c r="AB82" i="15"/>
  <c r="AB85" i="15"/>
  <c r="AB84" i="15"/>
  <c r="AB80" i="15"/>
  <c r="AB81" i="15"/>
  <c r="AB90" i="15"/>
  <c r="AB79" i="15"/>
  <c r="AB88" i="15"/>
  <c r="AB87" i="15"/>
  <c r="X73" i="15"/>
  <c r="X78" i="15"/>
  <c r="X83" i="15"/>
  <c r="X86" i="15"/>
  <c r="X82" i="15"/>
  <c r="X88" i="15"/>
  <c r="X85" i="15"/>
  <c r="X89" i="15"/>
  <c r="X90" i="15"/>
  <c r="X79" i="15"/>
  <c r="X87" i="15"/>
  <c r="X84" i="15"/>
  <c r="X80" i="15"/>
  <c r="X81" i="15"/>
  <c r="AA73" i="15"/>
  <c r="AA78" i="15"/>
  <c r="AA83" i="15"/>
  <c r="AA86" i="15"/>
  <c r="AA90" i="15"/>
  <c r="AA81" i="15"/>
  <c r="AA84" i="15"/>
  <c r="AA80" i="15"/>
  <c r="AA79" i="15"/>
  <c r="AA87" i="15"/>
  <c r="AA82" i="15"/>
  <c r="AA85" i="15"/>
  <c r="AA89" i="15"/>
  <c r="AA88" i="15"/>
  <c r="W73" i="15"/>
  <c r="W78" i="15"/>
  <c r="W83" i="15"/>
  <c r="W86" i="15"/>
  <c r="W84" i="15"/>
  <c r="W80" i="15"/>
  <c r="W81" i="15"/>
  <c r="W90" i="15"/>
  <c r="W88" i="15"/>
  <c r="W87" i="15"/>
  <c r="W85" i="15"/>
  <c r="W89" i="15"/>
  <c r="W82" i="15"/>
  <c r="W79" i="15"/>
  <c r="D145" i="15" l="1"/>
  <c r="K134" i="15"/>
  <c r="K143" i="15"/>
  <c r="I141" i="15"/>
  <c r="G145" i="15"/>
  <c r="B139" i="15"/>
  <c r="N145" i="15"/>
  <c r="H134" i="15"/>
  <c r="E143" i="15"/>
  <c r="G137" i="15"/>
  <c r="G146" i="15"/>
  <c r="F142" i="15"/>
  <c r="B144" i="15"/>
  <c r="B143" i="15"/>
  <c r="C134" i="15"/>
  <c r="H144" i="15"/>
  <c r="E142" i="15"/>
  <c r="C139" i="15"/>
  <c r="J143" i="15"/>
  <c r="K142" i="15"/>
  <c r="E145" i="15"/>
  <c r="B138" i="15"/>
  <c r="G135" i="15"/>
  <c r="G134" i="15"/>
  <c r="F140" i="15"/>
  <c r="D140" i="15"/>
  <c r="L143" i="15"/>
  <c r="I140" i="15"/>
  <c r="L145" i="15"/>
  <c r="G138" i="15"/>
  <c r="E135" i="15"/>
  <c r="E146" i="15"/>
  <c r="C144" i="15"/>
  <c r="M139" i="15"/>
  <c r="D146" i="15"/>
  <c r="I135" i="15"/>
  <c r="L141" i="15"/>
  <c r="C141" i="15"/>
  <c r="M143" i="15"/>
  <c r="G142" i="15"/>
  <c r="L135" i="15"/>
  <c r="F146" i="15"/>
  <c r="D136" i="15"/>
  <c r="N136" i="15"/>
  <c r="E141" i="15"/>
  <c r="H137" i="15"/>
  <c r="G144" i="15"/>
  <c r="B136" i="15"/>
  <c r="I137" i="15"/>
  <c r="B145" i="15"/>
  <c r="L134" i="15"/>
  <c r="M136" i="15"/>
  <c r="J141" i="15"/>
  <c r="C145" i="15"/>
  <c r="B140" i="15"/>
  <c r="L138" i="15"/>
  <c r="L136" i="15"/>
  <c r="N142" i="15"/>
  <c r="K136" i="15"/>
  <c r="M146" i="15"/>
  <c r="G136" i="15"/>
  <c r="F139" i="15"/>
  <c r="H143" i="15"/>
  <c r="E144" i="15"/>
  <c r="B135" i="15"/>
  <c r="B146" i="15"/>
  <c r="M140" i="15"/>
  <c r="I138" i="15"/>
  <c r="D144" i="15"/>
  <c r="L144" i="15"/>
  <c r="J136" i="15"/>
  <c r="H140" i="15"/>
  <c r="C137" i="15"/>
  <c r="B141" i="15"/>
  <c r="C135" i="15"/>
  <c r="E140" i="15"/>
  <c r="K137" i="15"/>
  <c r="G143" i="15"/>
  <c r="K139" i="15"/>
  <c r="B142" i="15"/>
  <c r="F135" i="15"/>
  <c r="F141" i="15"/>
  <c r="H138" i="15"/>
  <c r="N141" i="15"/>
  <c r="D134" i="15"/>
  <c r="K138" i="15"/>
  <c r="L137" i="15"/>
  <c r="F143" i="15"/>
  <c r="C138" i="15"/>
  <c r="K146" i="15"/>
  <c r="I139" i="15"/>
  <c r="J137" i="15"/>
  <c r="M135" i="15"/>
  <c r="N139" i="15"/>
  <c r="F144" i="15"/>
  <c r="K141" i="15"/>
  <c r="J134" i="15"/>
  <c r="H136" i="15"/>
  <c r="H142" i="15"/>
  <c r="F136" i="15"/>
  <c r="J140" i="15"/>
  <c r="N134" i="15"/>
  <c r="H146" i="15"/>
  <c r="J135" i="15"/>
  <c r="B134" i="15"/>
  <c r="J138" i="15"/>
  <c r="M142" i="15"/>
  <c r="C146" i="15"/>
  <c r="L140" i="15"/>
  <c r="E139" i="15"/>
  <c r="M144" i="15"/>
  <c r="E134" i="15"/>
  <c r="D142" i="15"/>
  <c r="N137" i="15"/>
  <c r="D141" i="15"/>
  <c r="K140" i="15"/>
  <c r="H145" i="15"/>
  <c r="D139" i="15"/>
  <c r="K144" i="15"/>
  <c r="M137" i="15"/>
  <c r="E137" i="15"/>
  <c r="I144" i="15"/>
  <c r="E136" i="15"/>
  <c r="N135" i="15"/>
  <c r="F145" i="15"/>
  <c r="L142" i="15"/>
  <c r="L139" i="15"/>
  <c r="I146" i="15"/>
  <c r="I134" i="15"/>
  <c r="J139" i="15"/>
  <c r="C136" i="15"/>
  <c r="N138" i="15"/>
  <c r="G140" i="15"/>
  <c r="K135" i="15"/>
  <c r="M134" i="15"/>
  <c r="C140" i="15"/>
  <c r="F138" i="15"/>
  <c r="J142" i="15"/>
  <c r="E138" i="15"/>
  <c r="F137" i="15"/>
  <c r="H135" i="15"/>
  <c r="M145" i="15"/>
  <c r="H141" i="15"/>
  <c r="G139" i="15"/>
  <c r="L146" i="15"/>
  <c r="D143" i="15"/>
  <c r="N146" i="15"/>
  <c r="J144" i="15"/>
  <c r="N140" i="15"/>
  <c r="C142" i="15"/>
  <c r="N143" i="15"/>
  <c r="I136" i="15"/>
  <c r="B137" i="15"/>
  <c r="D138" i="15"/>
  <c r="M138" i="15"/>
  <c r="I142" i="15"/>
  <c r="M141" i="15"/>
  <c r="D137" i="15"/>
  <c r="G141" i="15"/>
  <c r="D135" i="15"/>
  <c r="I143" i="15"/>
  <c r="I145" i="15"/>
  <c r="J146" i="15"/>
  <c r="K145" i="15"/>
  <c r="J145" i="15"/>
  <c r="H139" i="15"/>
  <c r="C143" i="15"/>
  <c r="F134" i="15"/>
  <c r="B19" i="13"/>
  <c r="C19" i="13"/>
  <c r="D19" i="13"/>
  <c r="E19" i="13"/>
  <c r="B20" i="13"/>
  <c r="C20" i="13"/>
  <c r="D20" i="13"/>
  <c r="E20" i="13"/>
  <c r="H14" i="13"/>
  <c r="J12" i="13"/>
  <c r="I8" i="13"/>
  <c r="J16" i="13" l="1"/>
  <c r="K18" i="13"/>
  <c r="I14" i="13"/>
  <c r="I9" i="13"/>
  <c r="I16" i="13"/>
  <c r="I15" i="13"/>
  <c r="I10" i="13"/>
  <c r="I11" i="13"/>
  <c r="I18" i="13"/>
  <c r="I17" i="13"/>
  <c r="K12" i="13"/>
  <c r="I13" i="13"/>
  <c r="I7" i="13"/>
  <c r="K9" i="13"/>
  <c r="K13" i="13"/>
  <c r="K17" i="13"/>
  <c r="J18" i="13"/>
  <c r="J10" i="13"/>
  <c r="J8" i="13"/>
  <c r="J14" i="13"/>
  <c r="K11" i="13"/>
  <c r="J15" i="13"/>
  <c r="H18" i="13"/>
  <c r="H17" i="13"/>
  <c r="H13" i="13"/>
  <c r="H10" i="13"/>
  <c r="H16" i="13"/>
  <c r="H8" i="13"/>
  <c r="H11" i="13"/>
  <c r="K16" i="13"/>
  <c r="K10" i="13"/>
  <c r="K15" i="13"/>
  <c r="K8" i="13"/>
  <c r="K7" i="13"/>
  <c r="K14" i="13"/>
  <c r="J7" i="13"/>
  <c r="H15" i="13"/>
  <c r="H7" i="13"/>
  <c r="J13" i="13"/>
  <c r="J11" i="13"/>
  <c r="J17" i="13"/>
  <c r="J9" i="13"/>
  <c r="H9" i="13"/>
  <c r="H12" i="13"/>
  <c r="I12" i="13"/>
  <c r="K76" i="12"/>
  <c r="J76" i="12"/>
  <c r="I76" i="12"/>
  <c r="I77" i="12" s="1"/>
  <c r="E65" i="12"/>
  <c r="D65" i="12"/>
  <c r="J57" i="12" s="1"/>
  <c r="C65" i="12"/>
  <c r="I61" i="12" s="1"/>
  <c r="B65" i="12"/>
  <c r="H53" i="12" s="1"/>
  <c r="H88" i="12" s="1"/>
  <c r="E64" i="12"/>
  <c r="D64" i="12"/>
  <c r="C64" i="12"/>
  <c r="B64" i="12"/>
  <c r="E18" i="12"/>
  <c r="D18" i="12"/>
  <c r="C18" i="12"/>
  <c r="B18" i="12"/>
  <c r="E17" i="12"/>
  <c r="D17" i="12"/>
  <c r="C17" i="12"/>
  <c r="B17" i="12"/>
  <c r="J54" i="12" l="1"/>
  <c r="J77" i="12"/>
  <c r="K77" i="12" s="1"/>
  <c r="J61" i="12"/>
  <c r="J52" i="12"/>
  <c r="J62" i="12"/>
  <c r="J58" i="12"/>
  <c r="I62" i="12"/>
  <c r="J53" i="12"/>
  <c r="I54" i="12"/>
  <c r="I58" i="12"/>
  <c r="K52" i="12"/>
  <c r="H19" i="13"/>
  <c r="H20" i="13"/>
  <c r="J19" i="13"/>
  <c r="J20" i="13"/>
  <c r="I19" i="13"/>
  <c r="K20" i="13"/>
  <c r="K19" i="13"/>
  <c r="I20" i="13"/>
  <c r="K53" i="12"/>
  <c r="K54" i="12"/>
  <c r="K58" i="12"/>
  <c r="K62" i="12"/>
  <c r="K59" i="12"/>
  <c r="K57" i="12"/>
  <c r="K63" i="12"/>
  <c r="K56" i="12"/>
  <c r="K60" i="12"/>
  <c r="H62" i="12"/>
  <c r="H97" i="12" s="1"/>
  <c r="K61" i="12"/>
  <c r="K55" i="12"/>
  <c r="I53" i="12"/>
  <c r="I57" i="12"/>
  <c r="I59" i="12"/>
  <c r="J63" i="12"/>
  <c r="H52" i="12"/>
  <c r="H56" i="12"/>
  <c r="H91" i="12" s="1"/>
  <c r="H60" i="12"/>
  <c r="H95" i="12" s="1"/>
  <c r="I52" i="12"/>
  <c r="I56" i="12"/>
  <c r="I60" i="12"/>
  <c r="H57" i="12"/>
  <c r="H92" i="12" s="1"/>
  <c r="H61" i="12"/>
  <c r="H96" i="12" s="1"/>
  <c r="H55" i="12"/>
  <c r="H90" i="12" s="1"/>
  <c r="J56" i="12"/>
  <c r="H59" i="12"/>
  <c r="H94" i="12" s="1"/>
  <c r="J60" i="12"/>
  <c r="H63" i="12"/>
  <c r="H98" i="12" s="1"/>
  <c r="I63" i="12"/>
  <c r="I55" i="12"/>
  <c r="H54" i="12"/>
  <c r="H89" i="12" s="1"/>
  <c r="J55" i="12"/>
  <c r="H58" i="12"/>
  <c r="H93" i="12" s="1"/>
  <c r="J59" i="12"/>
  <c r="K70" i="12" l="1"/>
  <c r="K65" i="12"/>
  <c r="K71" i="12"/>
  <c r="K64" i="12"/>
  <c r="J64" i="12"/>
  <c r="J71" i="12"/>
  <c r="J65" i="12"/>
  <c r="I70" i="12"/>
  <c r="I65" i="12"/>
  <c r="I64" i="12"/>
  <c r="K69" i="12"/>
  <c r="J69" i="12"/>
  <c r="I87" i="12" a="1"/>
  <c r="I69" i="12"/>
  <c r="I71" i="12"/>
  <c r="J70" i="12"/>
  <c r="H65" i="12"/>
  <c r="H64" i="12"/>
  <c r="H87" i="12"/>
  <c r="B17" i="10"/>
  <c r="C16" i="10"/>
  <c r="B16" i="10"/>
  <c r="C15" i="10"/>
  <c r="B15" i="10"/>
  <c r="B19" i="10" l="1"/>
  <c r="B20" i="10" s="1"/>
  <c r="F12" i="10" s="1"/>
  <c r="K98" i="12"/>
  <c r="I96" i="12"/>
  <c r="J93" i="12"/>
  <c r="K90" i="12"/>
  <c r="I88" i="12"/>
  <c r="J98" i="12"/>
  <c r="K95" i="12"/>
  <c r="I93" i="12"/>
  <c r="J90" i="12"/>
  <c r="K87" i="12"/>
  <c r="I98" i="12"/>
  <c r="J95" i="12"/>
  <c r="K92" i="12"/>
  <c r="I90" i="12"/>
  <c r="J87" i="12"/>
  <c r="K97" i="12"/>
  <c r="I95" i="12"/>
  <c r="J92" i="12"/>
  <c r="K89" i="12"/>
  <c r="I87" i="12"/>
  <c r="J97" i="12"/>
  <c r="K94" i="12"/>
  <c r="I92" i="12"/>
  <c r="J89" i="12"/>
  <c r="I97" i="12"/>
  <c r="J94" i="12"/>
  <c r="K91" i="12"/>
  <c r="I89" i="12"/>
  <c r="K96" i="12"/>
  <c r="I94" i="12"/>
  <c r="J91" i="12"/>
  <c r="K88" i="12"/>
  <c r="J96" i="12"/>
  <c r="K93" i="12"/>
  <c r="I91" i="12"/>
  <c r="J88" i="12"/>
  <c r="C18" i="8"/>
  <c r="B18" i="8"/>
  <c r="F13" i="8"/>
  <c r="F8" i="8"/>
  <c r="F5" i="8"/>
  <c r="F3" i="8"/>
  <c r="G12" i="10" l="1"/>
  <c r="G10" i="8"/>
  <c r="F23" i="8"/>
  <c r="G25" i="8"/>
  <c r="W25" i="8" s="1"/>
  <c r="H101" i="12" a="1"/>
  <c r="S103" i="12" s="1"/>
  <c r="F6" i="10"/>
  <c r="F10" i="10"/>
  <c r="F5" i="10"/>
  <c r="F9" i="10"/>
  <c r="F3" i="10"/>
  <c r="F13" i="10"/>
  <c r="F7" i="10"/>
  <c r="F4" i="10"/>
  <c r="F11" i="10"/>
  <c r="F8" i="10"/>
  <c r="F2" i="10"/>
  <c r="G6" i="8"/>
  <c r="F9" i="8"/>
  <c r="G14" i="8"/>
  <c r="F17" i="8"/>
  <c r="G23" i="8"/>
  <c r="G24" i="8"/>
  <c r="W24" i="8" s="1"/>
  <c r="G9" i="8"/>
  <c r="F12" i="8"/>
  <c r="G17" i="8"/>
  <c r="F26" i="8"/>
  <c r="V26" i="8" s="1"/>
  <c r="F7" i="8"/>
  <c r="G12" i="8"/>
  <c r="F15" i="8"/>
  <c r="G26" i="8"/>
  <c r="W26" i="8" s="1"/>
  <c r="G3" i="8"/>
  <c r="G7" i="8"/>
  <c r="F10" i="8"/>
  <c r="G15" i="8"/>
  <c r="F24" i="8"/>
  <c r="V24" i="8" s="1"/>
  <c r="G5" i="8"/>
  <c r="G13" i="8"/>
  <c r="F16" i="8"/>
  <c r="F4" i="8"/>
  <c r="G8" i="8"/>
  <c r="F11" i="8"/>
  <c r="G16" i="8"/>
  <c r="F25" i="8"/>
  <c r="V25" i="8" s="1"/>
  <c r="G4" i="8"/>
  <c r="F6" i="8"/>
  <c r="G11" i="8"/>
  <c r="F14" i="8"/>
  <c r="G13" i="10" l="1"/>
  <c r="G3" i="10"/>
  <c r="G9" i="10"/>
  <c r="G5" i="10"/>
  <c r="G8" i="10"/>
  <c r="G10" i="10"/>
  <c r="G11" i="10"/>
  <c r="G6" i="10"/>
  <c r="G4" i="10"/>
  <c r="G7" i="10"/>
  <c r="G2" i="10"/>
  <c r="G19" i="10"/>
  <c r="G17" i="10"/>
  <c r="G18" i="10" s="1"/>
  <c r="F29" i="8"/>
  <c r="V23" i="8"/>
  <c r="F28" i="8"/>
  <c r="G28" i="8"/>
  <c r="W23" i="8"/>
  <c r="G29" i="8"/>
  <c r="J3" i="8"/>
  <c r="M101" i="12"/>
  <c r="N102" i="12"/>
  <c r="I102" i="12"/>
  <c r="I101" i="12"/>
  <c r="R103" i="12"/>
  <c r="M103" i="12"/>
  <c r="O103" i="12"/>
  <c r="M102" i="12"/>
  <c r="K101" i="12"/>
  <c r="P103" i="12"/>
  <c r="J103" i="12"/>
  <c r="S102" i="12"/>
  <c r="L101" i="12"/>
  <c r="N101" i="12"/>
  <c r="H101" i="12"/>
  <c r="I103" i="12"/>
  <c r="S101" i="12"/>
  <c r="O101" i="12"/>
  <c r="K102" i="12"/>
  <c r="Q102" i="12"/>
  <c r="Q101" i="12"/>
  <c r="H102" i="12"/>
  <c r="J102" i="12"/>
  <c r="P101" i="12"/>
  <c r="Q103" i="12"/>
  <c r="O102" i="12"/>
  <c r="P102" i="12"/>
  <c r="R102" i="12"/>
  <c r="L102" i="12"/>
  <c r="J101" i="12"/>
  <c r="K103" i="12"/>
  <c r="L103" i="12"/>
  <c r="N103" i="12"/>
  <c r="H103" i="12"/>
  <c r="R101" i="12"/>
  <c r="K3" i="8"/>
  <c r="N3" i="8" a="1"/>
  <c r="K4" i="8"/>
  <c r="G18" i="8"/>
  <c r="J4" i="8"/>
  <c r="F18" i="8"/>
  <c r="C57" i="5"/>
  <c r="G55" i="5"/>
  <c r="F55" i="5"/>
  <c r="G54" i="5"/>
  <c r="F54" i="5"/>
  <c r="G53" i="5"/>
  <c r="F53" i="5"/>
  <c r="G52" i="5"/>
  <c r="F52" i="5"/>
  <c r="G51" i="5"/>
  <c r="F51" i="5"/>
  <c r="G50" i="5"/>
  <c r="F50" i="5"/>
  <c r="G49" i="5"/>
  <c r="F49" i="5"/>
  <c r="G48" i="5"/>
  <c r="F48" i="5"/>
  <c r="G47" i="5"/>
  <c r="F47" i="5"/>
  <c r="G46" i="5"/>
  <c r="F46" i="5"/>
  <c r="G45" i="5"/>
  <c r="F45" i="5"/>
  <c r="G44" i="5"/>
  <c r="F44" i="5"/>
  <c r="G43" i="5"/>
  <c r="F43" i="5"/>
  <c r="G42" i="5"/>
  <c r="F42" i="5"/>
  <c r="G41" i="5"/>
  <c r="F41" i="5"/>
  <c r="G40" i="5"/>
  <c r="F40" i="5"/>
  <c r="G39" i="5"/>
  <c r="F39" i="5"/>
  <c r="G38" i="5"/>
  <c r="F38" i="5"/>
  <c r="G37" i="5"/>
  <c r="F37" i="5"/>
  <c r="G36" i="5"/>
  <c r="F36" i="5"/>
  <c r="H25" i="5"/>
  <c r="C22" i="5"/>
  <c r="G17" i="5" s="1"/>
  <c r="B22" i="5"/>
  <c r="F20" i="5" s="1"/>
  <c r="H20" i="5" s="1"/>
  <c r="G20" i="5"/>
  <c r="G19" i="5"/>
  <c r="F18" i="5"/>
  <c r="F17" i="5"/>
  <c r="G16" i="5"/>
  <c r="G15" i="5"/>
  <c r="G14" i="5"/>
  <c r="F14" i="5"/>
  <c r="H14" i="5" s="1"/>
  <c r="G13" i="5"/>
  <c r="F13" i="5"/>
  <c r="G12" i="5"/>
  <c r="G11" i="5"/>
  <c r="G10" i="5"/>
  <c r="F9" i="5"/>
  <c r="G8" i="5"/>
  <c r="F8" i="5"/>
  <c r="H8" i="5" s="1"/>
  <c r="G7" i="5"/>
  <c r="F7" i="5"/>
  <c r="H7" i="5" s="1"/>
  <c r="G6" i="5"/>
  <c r="G5" i="5"/>
  <c r="G4" i="5"/>
  <c r="G3" i="5"/>
  <c r="G2" i="5"/>
  <c r="C57" i="4"/>
  <c r="G55" i="4"/>
  <c r="F55" i="4"/>
  <c r="G54" i="4"/>
  <c r="F54" i="4"/>
  <c r="G53" i="4"/>
  <c r="F53" i="4"/>
  <c r="G52" i="4"/>
  <c r="F52" i="4"/>
  <c r="G51" i="4"/>
  <c r="F51" i="4"/>
  <c r="G50" i="4"/>
  <c r="F50" i="4"/>
  <c r="G49" i="4"/>
  <c r="F49" i="4"/>
  <c r="G48" i="4"/>
  <c r="F48" i="4"/>
  <c r="G47" i="4"/>
  <c r="F47" i="4"/>
  <c r="G46" i="4"/>
  <c r="F46" i="4"/>
  <c r="G45" i="4"/>
  <c r="F45" i="4"/>
  <c r="G44" i="4"/>
  <c r="F44" i="4"/>
  <c r="G43" i="4"/>
  <c r="F43" i="4"/>
  <c r="G42" i="4"/>
  <c r="F42" i="4"/>
  <c r="G41" i="4"/>
  <c r="F41" i="4"/>
  <c r="G40" i="4"/>
  <c r="F40" i="4"/>
  <c r="G39" i="4"/>
  <c r="F39" i="4"/>
  <c r="G38" i="4"/>
  <c r="F38" i="4"/>
  <c r="G37" i="4"/>
  <c r="F37" i="4"/>
  <c r="G36" i="4"/>
  <c r="F36" i="4"/>
  <c r="C23" i="4"/>
  <c r="B23" i="4"/>
  <c r="C22" i="4"/>
  <c r="G14" i="4" s="1"/>
  <c r="B22" i="4"/>
  <c r="G15" i="10" l="1"/>
  <c r="G18" i="5"/>
  <c r="H18" i="5" s="1"/>
  <c r="F17" i="4"/>
  <c r="F5" i="5"/>
  <c r="H5" i="5" s="1"/>
  <c r="F16" i="5"/>
  <c r="H16" i="5" s="1"/>
  <c r="P106" i="12" a="1"/>
  <c r="P106" i="12" s="1"/>
  <c r="G57" i="5"/>
  <c r="F10" i="5"/>
  <c r="H10" i="5" s="1"/>
  <c r="F19" i="5"/>
  <c r="H19" i="5" s="1"/>
  <c r="F15" i="5"/>
  <c r="H15" i="5" s="1"/>
  <c r="F6" i="5"/>
  <c r="H6" i="5" s="1"/>
  <c r="F2" i="5"/>
  <c r="H2" i="5" s="1"/>
  <c r="F11" i="5"/>
  <c r="G6" i="4"/>
  <c r="F3" i="5"/>
  <c r="H106" i="12" a="1"/>
  <c r="I107" i="12" s="1"/>
  <c r="P108" i="12"/>
  <c r="O15" i="8"/>
  <c r="O11" i="8"/>
  <c r="O7" i="8"/>
  <c r="O3" i="8"/>
  <c r="N15" i="8"/>
  <c r="N11" i="8"/>
  <c r="N7" i="8"/>
  <c r="N3" i="8"/>
  <c r="O10" i="8"/>
  <c r="O6" i="8"/>
  <c r="N10" i="8"/>
  <c r="O17" i="8"/>
  <c r="O13" i="8"/>
  <c r="O9" i="8"/>
  <c r="O5" i="8"/>
  <c r="N17" i="8"/>
  <c r="N13" i="8"/>
  <c r="N5" i="8"/>
  <c r="N14" i="8"/>
  <c r="N9" i="8"/>
  <c r="O14" i="8"/>
  <c r="O16" i="8"/>
  <c r="O12" i="8"/>
  <c r="O8" i="8"/>
  <c r="O4" i="8"/>
  <c r="N6" i="8"/>
  <c r="R6" i="8" s="1"/>
  <c r="N16" i="8"/>
  <c r="N12" i="8"/>
  <c r="N8" i="8"/>
  <c r="N4" i="8"/>
  <c r="R24" i="8"/>
  <c r="G10" i="4"/>
  <c r="F9" i="4"/>
  <c r="G11" i="4"/>
  <c r="F16" i="4"/>
  <c r="H11" i="5"/>
  <c r="F5" i="4"/>
  <c r="G16" i="4"/>
  <c r="F21" i="5"/>
  <c r="G7" i="4"/>
  <c r="G15" i="4"/>
  <c r="F12" i="4"/>
  <c r="G5" i="4"/>
  <c r="H3" i="5"/>
  <c r="G21" i="5"/>
  <c r="H13" i="5"/>
  <c r="H17" i="5"/>
  <c r="G57" i="4"/>
  <c r="G17" i="4"/>
  <c r="H17" i="4" s="1"/>
  <c r="G2" i="4"/>
  <c r="F8" i="4"/>
  <c r="F13" i="4"/>
  <c r="G18" i="4"/>
  <c r="F3" i="4"/>
  <c r="G8" i="4"/>
  <c r="G13" i="4"/>
  <c r="G21" i="4"/>
  <c r="G12" i="4"/>
  <c r="H12" i="4" s="1"/>
  <c r="G3" i="4"/>
  <c r="F18" i="4"/>
  <c r="G4" i="4"/>
  <c r="G9" i="4"/>
  <c r="G19" i="4"/>
  <c r="F21" i="4"/>
  <c r="H21" i="4" s="1"/>
  <c r="F4" i="4"/>
  <c r="F6" i="4"/>
  <c r="F14" i="4"/>
  <c r="H14" i="4" s="1"/>
  <c r="F20" i="4"/>
  <c r="F2" i="4"/>
  <c r="F10" i="4"/>
  <c r="F19" i="4"/>
  <c r="H19" i="4" s="1"/>
  <c r="G20" i="4"/>
  <c r="F7" i="4"/>
  <c r="F11" i="4"/>
  <c r="H11" i="4" s="1"/>
  <c r="F15" i="4"/>
  <c r="F4" i="5"/>
  <c r="H4" i="5" s="1"/>
  <c r="G9" i="5"/>
  <c r="H9" i="5" s="1"/>
  <c r="F12" i="5"/>
  <c r="H12" i="5" s="1"/>
  <c r="O8" i="3"/>
  <c r="N8" i="3"/>
  <c r="M8" i="3"/>
  <c r="L8" i="3"/>
  <c r="K8" i="3"/>
  <c r="J8" i="3"/>
  <c r="I8" i="3"/>
  <c r="H8" i="3"/>
  <c r="G8" i="3"/>
  <c r="F8" i="3"/>
  <c r="E8" i="3"/>
  <c r="D8" i="3"/>
  <c r="C8" i="3"/>
  <c r="O6" i="3"/>
  <c r="N6" i="3"/>
  <c r="M6" i="3"/>
  <c r="L6" i="3"/>
  <c r="K6" i="3"/>
  <c r="J6" i="3"/>
  <c r="I6" i="3"/>
  <c r="H6" i="3"/>
  <c r="G6" i="3"/>
  <c r="F6" i="3"/>
  <c r="E6" i="3"/>
  <c r="D6" i="3"/>
  <c r="C6" i="3"/>
  <c r="O5" i="3"/>
  <c r="N5" i="3"/>
  <c r="M5" i="3"/>
  <c r="L5" i="3"/>
  <c r="K5" i="3"/>
  <c r="J5" i="3"/>
  <c r="I5" i="3"/>
  <c r="H5" i="3"/>
  <c r="G5" i="3"/>
  <c r="F5" i="3"/>
  <c r="E5" i="3"/>
  <c r="D5" i="3"/>
  <c r="C5" i="3"/>
  <c r="O4" i="3"/>
  <c r="N4" i="3"/>
  <c r="M4" i="3"/>
  <c r="L4" i="3"/>
  <c r="K4" i="3"/>
  <c r="J4" i="3"/>
  <c r="I4" i="3"/>
  <c r="H4" i="3"/>
  <c r="G4" i="3"/>
  <c r="F4" i="3"/>
  <c r="E4" i="3"/>
  <c r="D4" i="3"/>
  <c r="C4" i="3"/>
  <c r="O3" i="3"/>
  <c r="N3" i="3"/>
  <c r="M3" i="3"/>
  <c r="L3" i="3"/>
  <c r="K3" i="3"/>
  <c r="J3" i="3"/>
  <c r="I3" i="3"/>
  <c r="H3" i="3"/>
  <c r="G3" i="3"/>
  <c r="F3" i="3"/>
  <c r="E3" i="3"/>
  <c r="D3" i="3"/>
  <c r="C3" i="3"/>
  <c r="O2" i="3"/>
  <c r="N2" i="3"/>
  <c r="M2" i="3"/>
  <c r="L2" i="3"/>
  <c r="K2" i="3"/>
  <c r="J2" i="3"/>
  <c r="I2" i="3"/>
  <c r="H2" i="3"/>
  <c r="G2" i="3"/>
  <c r="F2" i="3"/>
  <c r="E2" i="3"/>
  <c r="D2" i="3"/>
  <c r="C2" i="3"/>
  <c r="O1" i="3"/>
  <c r="N1" i="3"/>
  <c r="M1" i="3"/>
  <c r="L1" i="3"/>
  <c r="K1" i="3"/>
  <c r="J1" i="3"/>
  <c r="I1" i="3"/>
  <c r="H1" i="3"/>
  <c r="G1" i="3"/>
  <c r="F1" i="3"/>
  <c r="E1" i="3"/>
  <c r="D1" i="3"/>
  <c r="C1" i="3"/>
  <c r="E58" i="1"/>
  <c r="E54" i="1"/>
  <c r="G48" i="1"/>
  <c r="F48" i="1"/>
  <c r="E48" i="1"/>
  <c r="G47" i="1"/>
  <c r="F47" i="1"/>
  <c r="E47" i="1"/>
  <c r="G46" i="1"/>
  <c r="F46" i="1"/>
  <c r="E46" i="1"/>
  <c r="C24" i="1"/>
  <c r="B24" i="1"/>
  <c r="C23" i="1"/>
  <c r="B23" i="1"/>
  <c r="R25" i="8" l="1"/>
  <c r="R26" i="8"/>
  <c r="R5" i="8"/>
  <c r="R23" i="8"/>
  <c r="P107" i="12"/>
  <c r="R4" i="8"/>
  <c r="R11" i="8"/>
  <c r="J107" i="12"/>
  <c r="R12" i="8"/>
  <c r="H16" i="4"/>
  <c r="R14" i="8"/>
  <c r="H6" i="4"/>
  <c r="R9" i="8"/>
  <c r="I108" i="12"/>
  <c r="F4" i="1"/>
  <c r="F12" i="1"/>
  <c r="F20" i="1"/>
  <c r="F5" i="1"/>
  <c r="F13" i="1"/>
  <c r="F21" i="1"/>
  <c r="F6" i="1"/>
  <c r="F14" i="1"/>
  <c r="F22" i="1"/>
  <c r="F7" i="1"/>
  <c r="F15" i="1"/>
  <c r="F10" i="1"/>
  <c r="F18" i="1"/>
  <c r="F11" i="1"/>
  <c r="F19" i="1"/>
  <c r="F8" i="1"/>
  <c r="F16" i="1"/>
  <c r="F9" i="1"/>
  <c r="F17" i="1"/>
  <c r="G9" i="1"/>
  <c r="G17" i="1"/>
  <c r="G10" i="1"/>
  <c r="G18" i="1"/>
  <c r="G3" i="1"/>
  <c r="G11" i="1"/>
  <c r="G19" i="1"/>
  <c r="G4" i="1"/>
  <c r="G12" i="1"/>
  <c r="G20" i="1"/>
  <c r="G8" i="1"/>
  <c r="G16" i="1"/>
  <c r="G5" i="1"/>
  <c r="G13" i="1"/>
  <c r="G21" i="1"/>
  <c r="G6" i="1"/>
  <c r="G14" i="1"/>
  <c r="G22" i="1"/>
  <c r="G7" i="1"/>
  <c r="G15" i="1"/>
  <c r="H7" i="4"/>
  <c r="R10" i="8"/>
  <c r="H106" i="12"/>
  <c r="H108" i="12"/>
  <c r="H10" i="4"/>
  <c r="H9" i="4"/>
  <c r="R17" i="8"/>
  <c r="R3" i="8"/>
  <c r="H2" i="4"/>
  <c r="H21" i="5"/>
  <c r="H5" i="4"/>
  <c r="R7" i="8"/>
  <c r="J6" i="2"/>
  <c r="I6" i="2"/>
  <c r="H15" i="4"/>
  <c r="R15" i="8"/>
  <c r="J108" i="12"/>
  <c r="I106" i="12"/>
  <c r="J106" i="12"/>
  <c r="H107" i="12"/>
  <c r="L106" i="12" a="1"/>
  <c r="R8" i="8"/>
  <c r="R16" i="8"/>
  <c r="R13" i="8"/>
  <c r="H22" i="5"/>
  <c r="H23" i="5" s="1"/>
  <c r="H20" i="4"/>
  <c r="H18" i="4"/>
  <c r="H13" i="4"/>
  <c r="H3" i="4"/>
  <c r="H8" i="4"/>
  <c r="H4" i="4"/>
  <c r="F3" i="1"/>
  <c r="Q4" i="2" l="1"/>
  <c r="G23" i="1"/>
  <c r="G24" i="1"/>
  <c r="V3" i="8"/>
  <c r="F24" i="1"/>
  <c r="F23" i="1"/>
  <c r="Q5" i="2"/>
  <c r="Q3" i="2"/>
  <c r="M107" i="12"/>
  <c r="L107" i="12"/>
  <c r="N106" i="12"/>
  <c r="M106" i="12"/>
  <c r="N108" i="12"/>
  <c r="L106" i="12"/>
  <c r="M108" i="12"/>
  <c r="L108" i="12"/>
  <c r="N107" i="12"/>
  <c r="V2" i="8"/>
  <c r="V4" i="8"/>
  <c r="H22" i="4"/>
  <c r="H24" i="4" s="1"/>
  <c r="S106" i="12" l="1" a="1"/>
  <c r="S108" i="12" l="1"/>
  <c r="S107" i="12"/>
  <c r="S106" i="12"/>
  <c r="Q34" i="13" l="1" a="1"/>
  <c r="K49" i="12" a="1"/>
  <c r="K49" i="12" s="1"/>
  <c r="E49" i="12" s="1"/>
  <c r="J49" i="12" a="1"/>
  <c r="J49" i="12" s="1"/>
  <c r="D49" i="12" s="1"/>
  <c r="I49" i="12"/>
  <c r="V34" i="13" l="1"/>
  <c r="Z34" i="13"/>
  <c r="R34" i="13"/>
  <c r="Y34" i="13"/>
  <c r="X34" i="13"/>
  <c r="W34" i="13"/>
  <c r="U34" i="13"/>
  <c r="T34" i="13"/>
  <c r="S34" i="13"/>
  <c r="AB34" i="13"/>
  <c r="Q34" i="13"/>
  <c r="AA34" i="13"/>
  <c r="G62" i="12"/>
  <c r="G54" i="12"/>
  <c r="G58" i="12"/>
  <c r="G63" i="12"/>
  <c r="G59" i="12"/>
  <c r="G55" i="12"/>
  <c r="C49" i="12"/>
  <c r="G60" i="12"/>
  <c r="G52" i="12"/>
  <c r="G56" i="12"/>
  <c r="G61" i="12"/>
  <c r="G57" i="12"/>
  <c r="G53" i="12"/>
  <c r="B49" i="12" l="1"/>
  <c r="A61" i="12" s="1"/>
  <c r="G66" i="12"/>
  <c r="Q35" i="13" l="1" a="1"/>
  <c r="A52" i="12"/>
  <c r="A54" i="12"/>
  <c r="A58" i="12"/>
  <c r="A62" i="12"/>
  <c r="A60" i="12"/>
  <c r="A56" i="12"/>
  <c r="A55" i="12"/>
  <c r="A53" i="12"/>
  <c r="A66" i="12" s="1"/>
  <c r="A59" i="12"/>
  <c r="A57" i="12"/>
  <c r="A63" i="12"/>
  <c r="X37" i="13" l="1"/>
  <c r="AB36" i="13"/>
  <c r="T36" i="13"/>
  <c r="X35" i="13"/>
  <c r="AB37" i="13"/>
  <c r="T37" i="13"/>
  <c r="X36" i="13"/>
  <c r="AB35" i="13"/>
  <c r="T35" i="13"/>
  <c r="S37" i="13"/>
  <c r="U36" i="13"/>
  <c r="V35" i="13"/>
  <c r="R37" i="13"/>
  <c r="S36" i="13"/>
  <c r="U35" i="13"/>
  <c r="AA37" i="13"/>
  <c r="Q37" i="13"/>
  <c r="R36" i="13"/>
  <c r="S35" i="13"/>
  <c r="Z37" i="13"/>
  <c r="Q36" i="13"/>
  <c r="AA36" i="13"/>
  <c r="R35" i="13"/>
  <c r="Y37" i="13"/>
  <c r="Z36" i="13"/>
  <c r="AA35" i="13"/>
  <c r="Q35" i="13"/>
  <c r="W37" i="13"/>
  <c r="Y36" i="13"/>
  <c r="Z35" i="13"/>
  <c r="V37" i="13"/>
  <c r="W36" i="13"/>
  <c r="Y35" i="13"/>
  <c r="W35" i="13"/>
  <c r="U37" i="13"/>
  <c r="V36" i="13"/>
  <c r="Q40" i="13" l="1" a="1"/>
  <c r="Q41" i="13" l="1"/>
  <c r="Q42" i="13"/>
  <c r="Q40" i="13"/>
  <c r="Q45" i="13" l="1"/>
  <c r="R40" i="13" s="1"/>
  <c r="I25" i="13" l="1"/>
  <c r="J25" i="13"/>
  <c r="R42" i="13"/>
  <c r="R41" i="13"/>
  <c r="I27" i="13" l="1"/>
  <c r="J27" i="13"/>
  <c r="I26" i="13"/>
  <c r="J26" i="13"/>
  <c r="I30" i="13" a="1"/>
  <c r="S40" i="13" a="1"/>
  <c r="S41" i="13" s="1"/>
  <c r="I32" i="13" l="1"/>
  <c r="J36" i="13"/>
  <c r="K37" i="13"/>
  <c r="J33" i="13"/>
  <c r="I31" i="13"/>
  <c r="J30" i="13"/>
  <c r="J34" i="13"/>
  <c r="J32" i="13"/>
  <c r="K35" i="13"/>
  <c r="J31" i="13"/>
  <c r="K40" i="13"/>
  <c r="I40" i="13"/>
  <c r="K33" i="13"/>
  <c r="K38" i="13"/>
  <c r="I38" i="13"/>
  <c r="I36" i="13"/>
  <c r="K31" i="13"/>
  <c r="I41" i="13"/>
  <c r="K36" i="13"/>
  <c r="I34" i="13"/>
  <c r="J41" i="13"/>
  <c r="I39" i="13"/>
  <c r="K34" i="13"/>
  <c r="J37" i="13"/>
  <c r="K30" i="13"/>
  <c r="I30" i="13"/>
  <c r="J39" i="13"/>
  <c r="I37" i="13"/>
  <c r="K32" i="13"/>
  <c r="I35" i="13"/>
  <c r="K41" i="13"/>
  <c r="J40" i="13"/>
  <c r="K39" i="13"/>
  <c r="J35" i="13"/>
  <c r="I33" i="13"/>
  <c r="J38" i="13"/>
  <c r="S44" i="13"/>
  <c r="S40" i="13"/>
  <c r="S48" i="13"/>
  <c r="S51" i="13"/>
  <c r="S42" i="13"/>
  <c r="S43" i="13"/>
  <c r="S45" i="13"/>
  <c r="S46" i="13"/>
  <c r="S47" i="13"/>
  <c r="S49" i="13"/>
  <c r="S50" i="13"/>
  <c r="B44" i="13" l="1" a="1"/>
  <c r="T40" i="13" a="1"/>
  <c r="T42" i="13" s="1"/>
  <c r="T45" i="13"/>
  <c r="W40" i="13" a="1"/>
  <c r="W40" i="13" s="1"/>
  <c r="X40" i="13" s="1"/>
  <c r="Q54" i="13" s="1" a="1"/>
  <c r="Q54" i="13" s="1"/>
  <c r="V54" i="13" s="1"/>
  <c r="H44" i="13" l="1"/>
  <c r="M44" i="13"/>
  <c r="D44" i="13"/>
  <c r="B45" i="13"/>
  <c r="C45" i="13"/>
  <c r="I45" i="13"/>
  <c r="E44" i="13"/>
  <c r="J45" i="13"/>
  <c r="F44" i="13"/>
  <c r="K45" i="13"/>
  <c r="L44" i="13"/>
  <c r="G44" i="13"/>
  <c r="C44" i="13"/>
  <c r="M45" i="13"/>
  <c r="E45" i="13"/>
  <c r="J44" i="13"/>
  <c r="D45" i="13"/>
  <c r="I44" i="13"/>
  <c r="B44" i="13"/>
  <c r="G45" i="13"/>
  <c r="H45" i="13"/>
  <c r="L45" i="13"/>
  <c r="K44" i="13"/>
  <c r="F45" i="13"/>
  <c r="V42" i="13"/>
  <c r="T40" i="13"/>
  <c r="V40" i="13" s="1"/>
  <c r="T41" i="13"/>
  <c r="V41" i="13" s="1"/>
  <c r="Q64" i="13"/>
  <c r="V64" i="13" s="1"/>
  <c r="Q58" i="13"/>
  <c r="V58" i="13" s="1"/>
  <c r="Q56" i="13"/>
  <c r="V56" i="13" s="1"/>
  <c r="Q59" i="13"/>
  <c r="V59" i="13" s="1"/>
  <c r="Q55" i="13"/>
  <c r="V55" i="13" s="1"/>
  <c r="Q57" i="13"/>
  <c r="V57" i="13" s="1"/>
  <c r="Q60" i="13"/>
  <c r="V60" i="13" s="1"/>
  <c r="Q65" i="13"/>
  <c r="V65" i="13" s="1"/>
  <c r="Q62" i="13"/>
  <c r="V62" i="13" s="1"/>
  <c r="Q61" i="13"/>
  <c r="V61" i="13" s="1"/>
  <c r="Q63" i="13"/>
  <c r="V63" i="13" s="1"/>
  <c r="H48" i="13" l="1" a="1"/>
  <c r="A48" i="13" a="1"/>
  <c r="W44" i="13" a="1"/>
  <c r="X44" i="13" s="1"/>
  <c r="B48" i="13" l="1"/>
  <c r="A48" i="13"/>
  <c r="B49" i="13"/>
  <c r="A49" i="13"/>
  <c r="W44" i="13"/>
  <c r="Y44" i="13"/>
  <c r="H49" i="13"/>
  <c r="H48" i="13"/>
  <c r="R54" i="13" l="1" a="1"/>
  <c r="S65" i="13" s="1"/>
  <c r="X65" i="13" s="1"/>
  <c r="D48" i="13" a="1"/>
  <c r="R60" i="13"/>
  <c r="W60" i="13" s="1"/>
  <c r="S57" i="13"/>
  <c r="X57" i="13" s="1"/>
  <c r="T54" i="13"/>
  <c r="Y54" i="13" s="1"/>
  <c r="R64" i="13"/>
  <c r="W64" i="13" s="1"/>
  <c r="S61" i="13"/>
  <c r="X61" i="13" s="1"/>
  <c r="T58" i="13"/>
  <c r="Y58" i="13" s="1"/>
  <c r="R56" i="13"/>
  <c r="W56" i="13" s="1"/>
  <c r="R61" i="13"/>
  <c r="W61" i="13" s="1"/>
  <c r="T57" i="13"/>
  <c r="Y57" i="13" s="1"/>
  <c r="R54" i="13"/>
  <c r="W54" i="13" s="1"/>
  <c r="S64" i="13"/>
  <c r="X64" i="13" s="1"/>
  <c r="T60" i="13"/>
  <c r="Y60" i="13" s="1"/>
  <c r="R57" i="13"/>
  <c r="W57" i="13" s="1"/>
  <c r="T63" i="13"/>
  <c r="Y63" i="13" s="1"/>
  <c r="T56" i="13"/>
  <c r="Y56" i="13" s="1"/>
  <c r="S63" i="13"/>
  <c r="X63" i="13" s="1"/>
  <c r="T59" i="13"/>
  <c r="Y59" i="13" s="1"/>
  <c r="S56" i="13"/>
  <c r="X56" i="13" s="1"/>
  <c r="R63" i="13"/>
  <c r="W63" i="13" s="1"/>
  <c r="S59" i="13"/>
  <c r="X59" i="13" s="1"/>
  <c r="T55" i="13"/>
  <c r="Y55" i="13" s="1"/>
  <c r="R59" i="13"/>
  <c r="W59" i="13" s="1"/>
  <c r="S55" i="13"/>
  <c r="X55" i="13" s="1"/>
  <c r="T65" i="13"/>
  <c r="Y65" i="13" s="1"/>
  <c r="R62" i="13"/>
  <c r="W62" i="13" s="1"/>
  <c r="S58" i="13"/>
  <c r="X58" i="13" s="1"/>
  <c r="R55" i="13"/>
  <c r="W55" i="13" s="1"/>
  <c r="R65" i="13"/>
  <c r="W65" i="13" s="1"/>
  <c r="R58" i="13"/>
  <c r="W58" i="13" s="1"/>
  <c r="S54" i="13"/>
  <c r="X54" i="13" s="1"/>
  <c r="T61" i="13" l="1"/>
  <c r="Y61" i="13" s="1"/>
  <c r="S62" i="13"/>
  <c r="X62" i="13" s="1"/>
  <c r="S60" i="13"/>
  <c r="X60" i="13" s="1"/>
  <c r="T64" i="13"/>
  <c r="Y64" i="13" s="1"/>
  <c r="T62" i="13"/>
  <c r="Y62" i="13" s="1"/>
  <c r="Q67" i="13" s="1" a="1"/>
  <c r="D48" i="13"/>
  <c r="E49" i="13"/>
  <c r="D49" i="13"/>
  <c r="E48" i="13"/>
  <c r="K48" i="13" l="1" a="1"/>
  <c r="Z70" i="13"/>
  <c r="R70" i="13"/>
  <c r="V69" i="13"/>
  <c r="Z68" i="13"/>
  <c r="R68" i="13"/>
  <c r="V67" i="13"/>
  <c r="V70" i="13"/>
  <c r="Z69" i="13"/>
  <c r="R69" i="13"/>
  <c r="V68" i="13"/>
  <c r="Z67" i="13"/>
  <c r="R67" i="13"/>
  <c r="X70" i="13"/>
  <c r="Y69" i="13"/>
  <c r="AA68" i="13"/>
  <c r="AB67" i="13"/>
  <c r="Q67" i="13"/>
  <c r="W70" i="13"/>
  <c r="X69" i="13"/>
  <c r="Y68" i="13"/>
  <c r="AA67" i="13"/>
  <c r="U70" i="13"/>
  <c r="W69" i="13"/>
  <c r="X68" i="13"/>
  <c r="Y67" i="13"/>
  <c r="T70" i="13"/>
  <c r="U69" i="13"/>
  <c r="W68" i="13"/>
  <c r="X67" i="13"/>
  <c r="S70" i="13"/>
  <c r="T69" i="13"/>
  <c r="U68" i="13"/>
  <c r="W67" i="13"/>
  <c r="AB70" i="13"/>
  <c r="Q70" i="13"/>
  <c r="S69" i="13"/>
  <c r="T68" i="13"/>
  <c r="U67" i="13"/>
  <c r="AA70" i="13"/>
  <c r="AB69" i="13"/>
  <c r="Q69" i="13"/>
  <c r="S68" i="13"/>
  <c r="T67" i="13"/>
  <c r="Y70" i="13"/>
  <c r="AA69" i="13"/>
  <c r="AB68" i="13"/>
  <c r="Q68" i="13"/>
  <c r="S67" i="13"/>
  <c r="K49" i="13" l="1"/>
  <c r="K48" i="13"/>
  <c r="K2" i="13" a="1"/>
  <c r="Q73" i="13" a="1"/>
  <c r="K2" i="13" l="1"/>
  <c r="C4" i="13" s="1"/>
  <c r="K4" i="13"/>
  <c r="E4" i="13" s="1"/>
  <c r="K3" i="13"/>
  <c r="D4" i="13" s="1"/>
  <c r="Q73" i="13"/>
  <c r="Q75" i="13"/>
  <c r="Q74" i="13"/>
  <c r="B4" i="13" l="1"/>
  <c r="G7" i="13" a="1"/>
  <c r="Q78" i="13"/>
  <c r="R74" i="13" s="1"/>
  <c r="A8" i="13" l="1"/>
  <c r="A16" i="13"/>
  <c r="A9" i="13"/>
  <c r="A17" i="13"/>
  <c r="A10" i="13"/>
  <c r="A18" i="13"/>
  <c r="A11" i="13"/>
  <c r="A15" i="13"/>
  <c r="A12" i="13"/>
  <c r="A13" i="13"/>
  <c r="A14" i="13"/>
  <c r="A7" i="13"/>
  <c r="G7" i="13"/>
  <c r="G14" i="13"/>
  <c r="G16" i="13"/>
  <c r="G13" i="13"/>
  <c r="G8" i="13"/>
  <c r="G15" i="13"/>
  <c r="G12" i="13"/>
  <c r="G11" i="13"/>
  <c r="G18" i="13"/>
  <c r="G10" i="13"/>
  <c r="G17" i="13"/>
  <c r="G9" i="13"/>
  <c r="R73" i="13"/>
  <c r="R75" i="13"/>
  <c r="B22" i="13" l="1"/>
  <c r="H22" i="13"/>
  <c r="S73" i="13" a="1"/>
  <c r="S80" i="13" s="1"/>
  <c r="S79" i="13" l="1"/>
  <c r="S82" i="13"/>
  <c r="S74" i="13"/>
  <c r="S83" i="13"/>
  <c r="S77" i="13"/>
  <c r="S81" i="13"/>
  <c r="S73" i="13"/>
  <c r="S75" i="13"/>
  <c r="W73" i="13" s="1" a="1"/>
  <c r="W73" i="13" s="1"/>
  <c r="S76" i="13"/>
  <c r="S84" i="13"/>
  <c r="S78" i="13"/>
  <c r="T78" i="13" l="1"/>
  <c r="X73" i="13" s="1"/>
  <c r="Q87" i="13" s="1" a="1"/>
  <c r="Q95" i="13" s="1"/>
  <c r="V95" i="13" s="1"/>
  <c r="T73" i="13" a="1"/>
  <c r="T75" i="13" s="1"/>
  <c r="V75" i="13" s="1"/>
  <c r="T73" i="13" l="1"/>
  <c r="V73" i="13" s="1"/>
  <c r="T74" i="13"/>
  <c r="V74" i="13" s="1"/>
  <c r="Q96" i="13"/>
  <c r="V96" i="13" s="1"/>
  <c r="Q97" i="13"/>
  <c r="V97" i="13" s="1"/>
  <c r="Q94" i="13"/>
  <c r="V94" i="13" s="1"/>
  <c r="Q90" i="13"/>
  <c r="V90" i="13" s="1"/>
  <c r="Q88" i="13"/>
  <c r="V88" i="13" s="1"/>
  <c r="Q89" i="13"/>
  <c r="V89" i="13" s="1"/>
  <c r="Q98" i="13"/>
  <c r="V98" i="13" s="1"/>
  <c r="Q91" i="13"/>
  <c r="V91" i="13" s="1"/>
  <c r="Q92" i="13"/>
  <c r="V92" i="13" s="1"/>
  <c r="Q87" i="13"/>
  <c r="V87" i="13" s="1"/>
  <c r="Q93" i="13"/>
  <c r="V93" i="13" s="1"/>
  <c r="W77" i="13" l="1" a="1"/>
  <c r="X77" i="13" s="1"/>
  <c r="W77" i="13" l="1"/>
  <c r="Y77" i="13"/>
  <c r="R87" i="13" l="1" a="1"/>
  <c r="R96" i="13" l="1"/>
  <c r="W96" i="13" s="1"/>
  <c r="R93" i="13"/>
  <c r="W93" i="13" s="1"/>
  <c r="T88" i="13"/>
  <c r="Y88" i="13" s="1"/>
  <c r="T87" i="13"/>
  <c r="Y87" i="13" s="1"/>
  <c r="S93" i="13"/>
  <c r="X93" i="13" s="1"/>
  <c r="R97" i="13"/>
  <c r="W97" i="13" s="1"/>
  <c r="S97" i="13"/>
  <c r="X97" i="13" s="1"/>
  <c r="T96" i="13"/>
  <c r="Y96" i="13" s="1"/>
  <c r="S92" i="13"/>
  <c r="X92" i="13" s="1"/>
  <c r="R94" i="13"/>
  <c r="W94" i="13" s="1"/>
  <c r="S87" i="13"/>
  <c r="X87" i="13" s="1"/>
  <c r="S91" i="13"/>
  <c r="X91" i="13" s="1"/>
  <c r="R91" i="13"/>
  <c r="W91" i="13" s="1"/>
  <c r="S98" i="13"/>
  <c r="X98" i="13" s="1"/>
  <c r="R88" i="13"/>
  <c r="W88" i="13" s="1"/>
  <c r="R90" i="13"/>
  <c r="W90" i="13" s="1"/>
  <c r="R95" i="13"/>
  <c r="W95" i="13" s="1"/>
  <c r="R89" i="13"/>
  <c r="W89" i="13" s="1"/>
  <c r="S90" i="13"/>
  <c r="X90" i="13" s="1"/>
  <c r="T91" i="13"/>
  <c r="Y91" i="13" s="1"/>
  <c r="S89" i="13"/>
  <c r="X89" i="13" s="1"/>
  <c r="T97" i="13"/>
  <c r="Y97" i="13" s="1"/>
  <c r="T90" i="13"/>
  <c r="Y90" i="13" s="1"/>
  <c r="T92" i="13"/>
  <c r="Y92" i="13" s="1"/>
  <c r="T98" i="13"/>
  <c r="Y98" i="13" s="1"/>
  <c r="T89" i="13"/>
  <c r="Y89" i="13" s="1"/>
  <c r="T94" i="13"/>
  <c r="Y94" i="13" s="1"/>
  <c r="S96" i="13"/>
  <c r="X96" i="13" s="1"/>
  <c r="S94" i="13"/>
  <c r="X94" i="13" s="1"/>
  <c r="R92" i="13"/>
  <c r="W92" i="13" s="1"/>
  <c r="S88" i="13"/>
  <c r="X88" i="13" s="1"/>
  <c r="T95" i="13"/>
  <c r="Y95" i="13" s="1"/>
  <c r="S95" i="13"/>
  <c r="X95" i="13" s="1"/>
  <c r="R98" i="13"/>
  <c r="W98" i="13" s="1"/>
  <c r="R87" i="13"/>
  <c r="W87" i="13" s="1"/>
  <c r="T93" i="13"/>
  <c r="Y93" i="13" s="1"/>
</calcChain>
</file>

<file path=xl/sharedStrings.xml><?xml version="1.0" encoding="utf-8"?>
<sst xmlns="http://schemas.openxmlformats.org/spreadsheetml/2006/main" count="1722" uniqueCount="651">
  <si>
    <t>표준화전 데이터</t>
    <phoneticPr fontId="1" type="noConversion"/>
  </si>
  <si>
    <t>표준화후 데이터</t>
    <phoneticPr fontId="1" type="noConversion"/>
  </si>
  <si>
    <t>선수</t>
    <phoneticPr fontId="1" type="noConversion"/>
  </si>
  <si>
    <t>키</t>
    <phoneticPr fontId="1" type="noConversion"/>
  </si>
  <si>
    <t>몸무게</t>
    <phoneticPr fontId="1" type="noConversion"/>
  </si>
  <si>
    <t>김선빈</t>
    <phoneticPr fontId="1" type="noConversion"/>
  </si>
  <si>
    <t>박건우</t>
    <phoneticPr fontId="1" type="noConversion"/>
  </si>
  <si>
    <t>순위</t>
  </si>
  <si>
    <t>선수</t>
    <phoneticPr fontId="1" type="noConversion"/>
  </si>
  <si>
    <t>키</t>
    <phoneticPr fontId="1" type="noConversion"/>
  </si>
  <si>
    <t>몸무게</t>
    <phoneticPr fontId="1" type="noConversion"/>
  </si>
  <si>
    <t>안타</t>
  </si>
  <si>
    <t>2타</t>
  </si>
  <si>
    <t>3타</t>
  </si>
  <si>
    <t>홈런</t>
  </si>
  <si>
    <t>타점</t>
  </si>
  <si>
    <t>득점</t>
  </si>
  <si>
    <t>도루</t>
  </si>
  <si>
    <t>사사구</t>
  </si>
  <si>
    <t>삼진</t>
  </si>
  <si>
    <t>타율</t>
  </si>
  <si>
    <t>출루율</t>
  </si>
  <si>
    <t>장타율</t>
  </si>
  <si>
    <t>OPS</t>
  </si>
  <si>
    <t>박민우</t>
    <phoneticPr fontId="1" type="noConversion"/>
  </si>
  <si>
    <t>김선빈</t>
    <phoneticPr fontId="1" type="noConversion"/>
  </si>
  <si>
    <t>나성범</t>
    <phoneticPr fontId="1" type="noConversion"/>
  </si>
  <si>
    <t>박용택</t>
    <phoneticPr fontId="1" type="noConversion"/>
  </si>
  <si>
    <t>최형우</t>
    <phoneticPr fontId="1" type="noConversion"/>
  </si>
  <si>
    <t>김재환</t>
    <phoneticPr fontId="1" type="noConversion"/>
  </si>
  <si>
    <t>로사리오</t>
    <phoneticPr fontId="1" type="noConversion"/>
  </si>
  <si>
    <t>손아섭</t>
    <phoneticPr fontId="1" type="noConversion"/>
  </si>
  <si>
    <t>서건창</t>
    <phoneticPr fontId="1" type="noConversion"/>
  </si>
  <si>
    <t>이명기</t>
    <phoneticPr fontId="1" type="noConversion"/>
  </si>
  <si>
    <t>송광민</t>
    <phoneticPr fontId="1" type="noConversion"/>
  </si>
  <si>
    <t>이정후</t>
    <phoneticPr fontId="1" type="noConversion"/>
  </si>
  <si>
    <t>전준우</t>
    <phoneticPr fontId="1" type="noConversion"/>
  </si>
  <si>
    <t>이대호</t>
    <phoneticPr fontId="1" type="noConversion"/>
  </si>
  <si>
    <t>버나디나</t>
    <phoneticPr fontId="1" type="noConversion"/>
  </si>
  <si>
    <t>최정</t>
    <phoneticPr fontId="1" type="noConversion"/>
  </si>
  <si>
    <t>안치홍</t>
    <phoneticPr fontId="1" type="noConversion"/>
  </si>
  <si>
    <t>러프</t>
    <phoneticPr fontId="1" type="noConversion"/>
  </si>
  <si>
    <t>윤석민</t>
    <phoneticPr fontId="1" type="noConversion"/>
  </si>
  <si>
    <t>평균</t>
    <phoneticPr fontId="1" type="noConversion"/>
  </si>
  <si>
    <t>표준편차</t>
    <phoneticPr fontId="1" type="noConversion"/>
  </si>
  <si>
    <t>1시그마</t>
    <phoneticPr fontId="1" type="noConversion"/>
  </si>
  <si>
    <t>2시그마</t>
    <phoneticPr fontId="1" type="noConversion"/>
  </si>
  <si>
    <t>3시그마</t>
    <phoneticPr fontId="1" type="noConversion"/>
  </si>
  <si>
    <t>김선빈</t>
  </si>
  <si>
    <t>박건우</t>
  </si>
  <si>
    <t>박민우</t>
  </si>
  <si>
    <t>나성범</t>
  </si>
  <si>
    <t>박용택</t>
  </si>
  <si>
    <t>최형우</t>
  </si>
  <si>
    <t>김재환</t>
  </si>
  <si>
    <t>로사리오</t>
  </si>
  <si>
    <t>손아섭</t>
  </si>
  <si>
    <t>서건창</t>
  </si>
  <si>
    <t>이명기</t>
  </si>
  <si>
    <t>송광민</t>
  </si>
  <si>
    <t>이정후</t>
  </si>
  <si>
    <t>전준우</t>
  </si>
  <si>
    <t>이대호</t>
  </si>
  <si>
    <t>버나디나</t>
  </si>
  <si>
    <t>최정</t>
  </si>
  <si>
    <t>안치홍</t>
  </si>
  <si>
    <t>러프</t>
  </si>
  <si>
    <t>윤석민</t>
  </si>
  <si>
    <t>모창민</t>
  </si>
  <si>
    <t>고종욱</t>
  </si>
  <si>
    <t>구자욱</t>
  </si>
  <si>
    <t>김주찬</t>
  </si>
  <si>
    <t>오재일</t>
  </si>
  <si>
    <t>유한준</t>
  </si>
  <si>
    <t>민병헌</t>
  </si>
  <si>
    <t>강한울</t>
  </si>
  <si>
    <t>번즈</t>
  </si>
  <si>
    <t>김하성</t>
  </si>
  <si>
    <t>최주환</t>
  </si>
  <si>
    <t>나지완</t>
  </si>
  <si>
    <t>스크럭스</t>
  </si>
  <si>
    <t>에반스</t>
  </si>
  <si>
    <t>김문호</t>
  </si>
  <si>
    <t>나주환</t>
  </si>
  <si>
    <t>최준석</t>
  </si>
  <si>
    <t>권희동</t>
  </si>
  <si>
    <t>강민호</t>
  </si>
  <si>
    <t>하주석</t>
  </si>
  <si>
    <t>중앙값</t>
    <phoneticPr fontId="1" type="noConversion"/>
  </si>
  <si>
    <t>최빈값</t>
    <phoneticPr fontId="1" type="noConversion"/>
  </si>
  <si>
    <t>최대값</t>
    <phoneticPr fontId="1" type="noConversion"/>
  </si>
  <si>
    <t>최소값</t>
    <phoneticPr fontId="1" type="noConversion"/>
  </si>
  <si>
    <t>범위</t>
    <phoneticPr fontId="1" type="noConversion"/>
  </si>
  <si>
    <t>선수</t>
    <phoneticPr fontId="1" type="noConversion"/>
  </si>
  <si>
    <t>키</t>
    <phoneticPr fontId="1" type="noConversion"/>
  </si>
  <si>
    <t>몸무게</t>
    <phoneticPr fontId="1" type="noConversion"/>
  </si>
  <si>
    <t>키 표준화</t>
    <phoneticPr fontId="1" type="noConversion"/>
  </si>
  <si>
    <t>몸무게 표준화</t>
    <phoneticPr fontId="1" type="noConversion"/>
  </si>
  <si>
    <t>표준화 데이터간 곱</t>
    <phoneticPr fontId="1" type="noConversion"/>
  </si>
  <si>
    <t>김선빈</t>
    <phoneticPr fontId="1" type="noConversion"/>
  </si>
  <si>
    <t>박건우</t>
    <phoneticPr fontId="1" type="noConversion"/>
  </si>
  <si>
    <t>박민우</t>
    <phoneticPr fontId="1" type="noConversion"/>
  </si>
  <si>
    <t>나성범</t>
    <phoneticPr fontId="1" type="noConversion"/>
  </si>
  <si>
    <t>박용택</t>
    <phoneticPr fontId="1" type="noConversion"/>
  </si>
  <si>
    <t>최형우</t>
    <phoneticPr fontId="1" type="noConversion"/>
  </si>
  <si>
    <t>김재환</t>
    <phoneticPr fontId="1" type="noConversion"/>
  </si>
  <si>
    <t>김재환</t>
    <phoneticPr fontId="1" type="noConversion"/>
  </si>
  <si>
    <t>로사리오</t>
    <phoneticPr fontId="1" type="noConversion"/>
  </si>
  <si>
    <t>로사리오</t>
    <phoneticPr fontId="1" type="noConversion"/>
  </si>
  <si>
    <t>손아섭</t>
    <phoneticPr fontId="1" type="noConversion"/>
  </si>
  <si>
    <t>손아섭</t>
    <phoneticPr fontId="1" type="noConversion"/>
  </si>
  <si>
    <t>서건창</t>
    <phoneticPr fontId="1" type="noConversion"/>
  </si>
  <si>
    <t>서건창</t>
    <phoneticPr fontId="1" type="noConversion"/>
  </si>
  <si>
    <t>이명기</t>
    <phoneticPr fontId="1" type="noConversion"/>
  </si>
  <si>
    <t>이명기</t>
    <phoneticPr fontId="1" type="noConversion"/>
  </si>
  <si>
    <t>송광민</t>
    <phoneticPr fontId="1" type="noConversion"/>
  </si>
  <si>
    <t>송광민</t>
    <phoneticPr fontId="1" type="noConversion"/>
  </si>
  <si>
    <t>이정후</t>
    <phoneticPr fontId="1" type="noConversion"/>
  </si>
  <si>
    <t>이정후</t>
    <phoneticPr fontId="1" type="noConversion"/>
  </si>
  <si>
    <t>전준우</t>
    <phoneticPr fontId="1" type="noConversion"/>
  </si>
  <si>
    <t>전준우</t>
    <phoneticPr fontId="1" type="noConversion"/>
  </si>
  <si>
    <t>이대호</t>
    <phoneticPr fontId="1" type="noConversion"/>
  </si>
  <si>
    <t>이대호</t>
    <phoneticPr fontId="1" type="noConversion"/>
  </si>
  <si>
    <t>버나디나</t>
    <phoneticPr fontId="1" type="noConversion"/>
  </si>
  <si>
    <t>버나디나</t>
    <phoneticPr fontId="1" type="noConversion"/>
  </si>
  <si>
    <t>최정</t>
    <phoneticPr fontId="1" type="noConversion"/>
  </si>
  <si>
    <t>최정</t>
    <phoneticPr fontId="1" type="noConversion"/>
  </si>
  <si>
    <t>안치홍</t>
    <phoneticPr fontId="1" type="noConversion"/>
  </si>
  <si>
    <t>안치홍</t>
    <phoneticPr fontId="1" type="noConversion"/>
  </si>
  <si>
    <t>러프</t>
    <phoneticPr fontId="1" type="noConversion"/>
  </si>
  <si>
    <t>러프</t>
    <phoneticPr fontId="1" type="noConversion"/>
  </si>
  <si>
    <t>윤석민</t>
    <phoneticPr fontId="1" type="noConversion"/>
  </si>
  <si>
    <t>윤석민</t>
    <phoneticPr fontId="1" type="noConversion"/>
  </si>
  <si>
    <t>평균</t>
    <phoneticPr fontId="1" type="noConversion"/>
  </si>
  <si>
    <t>편차간 곱의 합</t>
    <phoneticPr fontId="1" type="noConversion"/>
  </si>
  <si>
    <t>표준편차</t>
    <phoneticPr fontId="1" type="noConversion"/>
  </si>
  <si>
    <t>상관계수</t>
    <phoneticPr fontId="1" type="noConversion"/>
  </si>
  <si>
    <t>상관계수</t>
    <phoneticPr fontId="1" type="noConversion"/>
  </si>
  <si>
    <t>선수</t>
    <phoneticPr fontId="1" type="noConversion"/>
  </si>
  <si>
    <t>키(cm)</t>
    <phoneticPr fontId="1" type="noConversion"/>
  </si>
  <si>
    <t>몸무게(Kg)</t>
    <phoneticPr fontId="1" type="noConversion"/>
  </si>
  <si>
    <t>키(m)</t>
    <phoneticPr fontId="1" type="noConversion"/>
  </si>
  <si>
    <t>몸무게(g)</t>
    <phoneticPr fontId="1" type="noConversion"/>
  </si>
  <si>
    <t>김선빈</t>
    <phoneticPr fontId="1" type="noConversion"/>
  </si>
  <si>
    <t>박용택</t>
    <phoneticPr fontId="1" type="noConversion"/>
  </si>
  <si>
    <t>최형우</t>
    <phoneticPr fontId="1" type="noConversion"/>
  </si>
  <si>
    <t>손아섭</t>
    <phoneticPr fontId="1" type="noConversion"/>
  </si>
  <si>
    <t>서건창</t>
    <phoneticPr fontId="1" type="noConversion"/>
  </si>
  <si>
    <t>이정후</t>
    <phoneticPr fontId="1" type="noConversion"/>
  </si>
  <si>
    <t>러프</t>
    <phoneticPr fontId="1" type="noConversion"/>
  </si>
  <si>
    <t>윤석민</t>
    <phoneticPr fontId="1" type="noConversion"/>
  </si>
  <si>
    <t>선수</t>
    <phoneticPr fontId="1" type="noConversion"/>
  </si>
  <si>
    <t>키</t>
    <phoneticPr fontId="1" type="noConversion"/>
  </si>
  <si>
    <t>몸무게</t>
    <phoneticPr fontId="1" type="noConversion"/>
  </si>
  <si>
    <t>키 편차</t>
    <phoneticPr fontId="1" type="noConversion"/>
  </si>
  <si>
    <t>몸무게 편차</t>
    <phoneticPr fontId="1" type="noConversion"/>
  </si>
  <si>
    <t>편차간 곱</t>
    <phoneticPr fontId="1" type="noConversion"/>
  </si>
  <si>
    <t>김선빈</t>
    <phoneticPr fontId="1" type="noConversion"/>
  </si>
  <si>
    <t>박건우</t>
    <phoneticPr fontId="1" type="noConversion"/>
  </si>
  <si>
    <t>박민우</t>
    <phoneticPr fontId="1" type="noConversion"/>
  </si>
  <si>
    <t>나성범</t>
    <phoneticPr fontId="1" type="noConversion"/>
  </si>
  <si>
    <t>박용택</t>
    <phoneticPr fontId="1" type="noConversion"/>
  </si>
  <si>
    <t>최형우</t>
    <phoneticPr fontId="1" type="noConversion"/>
  </si>
  <si>
    <t>김재환</t>
    <phoneticPr fontId="1" type="noConversion"/>
  </si>
  <si>
    <t>로사리오</t>
    <phoneticPr fontId="1" type="noConversion"/>
  </si>
  <si>
    <t>손아섭</t>
    <phoneticPr fontId="1" type="noConversion"/>
  </si>
  <si>
    <t>서건창</t>
    <phoneticPr fontId="1" type="noConversion"/>
  </si>
  <si>
    <t>이명기</t>
    <phoneticPr fontId="1" type="noConversion"/>
  </si>
  <si>
    <t>송광민</t>
    <phoneticPr fontId="1" type="noConversion"/>
  </si>
  <si>
    <t>이정후</t>
    <phoneticPr fontId="1" type="noConversion"/>
  </si>
  <si>
    <t>전준우</t>
    <phoneticPr fontId="1" type="noConversion"/>
  </si>
  <si>
    <t>이대호</t>
    <phoneticPr fontId="1" type="noConversion"/>
  </si>
  <si>
    <t>버나디나</t>
    <phoneticPr fontId="1" type="noConversion"/>
  </si>
  <si>
    <t>최정</t>
    <phoneticPr fontId="1" type="noConversion"/>
  </si>
  <si>
    <t>안치홍</t>
    <phoneticPr fontId="1" type="noConversion"/>
  </si>
  <si>
    <t>러프</t>
    <phoneticPr fontId="1" type="noConversion"/>
  </si>
  <si>
    <t>윤석민</t>
    <phoneticPr fontId="1" type="noConversion"/>
  </si>
  <si>
    <t>평균</t>
    <phoneticPr fontId="1" type="noConversion"/>
  </si>
  <si>
    <t>편차간 곱의 합</t>
    <phoneticPr fontId="1" type="noConversion"/>
  </si>
  <si>
    <t>공분산</t>
    <phoneticPr fontId="1" type="noConversion"/>
  </si>
  <si>
    <t>COVARIANCE.S</t>
    <phoneticPr fontId="1" type="noConversion"/>
  </si>
  <si>
    <t>선수</t>
    <phoneticPr fontId="1" type="noConversion"/>
  </si>
  <si>
    <t>키(cm)</t>
    <phoneticPr fontId="1" type="noConversion"/>
  </si>
  <si>
    <t>몸무게(Kg)</t>
    <phoneticPr fontId="1" type="noConversion"/>
  </si>
  <si>
    <t>키(m)</t>
    <phoneticPr fontId="1" type="noConversion"/>
  </si>
  <si>
    <t>몸무게(g)</t>
    <phoneticPr fontId="1" type="noConversion"/>
  </si>
  <si>
    <t>김선빈</t>
    <phoneticPr fontId="1" type="noConversion"/>
  </si>
  <si>
    <t>박건우</t>
    <phoneticPr fontId="1" type="noConversion"/>
  </si>
  <si>
    <t>송광민</t>
    <phoneticPr fontId="1" type="noConversion"/>
  </si>
  <si>
    <t>이대호</t>
    <phoneticPr fontId="1" type="noConversion"/>
  </si>
  <si>
    <t>공분산</t>
    <phoneticPr fontId="1" type="noConversion"/>
  </si>
  <si>
    <t>2루타</t>
  </si>
  <si>
    <t>3루타</t>
  </si>
  <si>
    <t>PC1</t>
  </si>
  <si>
    <t>PC2</t>
  </si>
  <si>
    <t>PC3</t>
  </si>
  <si>
    <t>평균</t>
    <phoneticPr fontId="1" type="noConversion"/>
  </si>
  <si>
    <t>상관행렬</t>
    <phoneticPr fontId="1" type="noConversion"/>
  </si>
  <si>
    <t>고유값</t>
    <phoneticPr fontId="1" type="noConversion"/>
  </si>
  <si>
    <t>고유값</t>
  </si>
  <si>
    <t>기준 데이터</t>
    <phoneticPr fontId="1" type="noConversion"/>
  </si>
  <si>
    <t>표준화 데이터</t>
    <phoneticPr fontId="1" type="noConversion"/>
  </si>
  <si>
    <t>상관행렬</t>
    <phoneticPr fontId="1" type="noConversion"/>
  </si>
  <si>
    <t>좌표 변환</t>
    <phoneticPr fontId="1" type="noConversion"/>
  </si>
  <si>
    <t>MD 계산</t>
    <phoneticPr fontId="1" type="noConversion"/>
  </si>
  <si>
    <t>MD값의 통계값</t>
    <phoneticPr fontId="1" type="noConversion"/>
  </si>
  <si>
    <t>기온</t>
    <phoneticPr fontId="1" type="noConversion"/>
  </si>
  <si>
    <t>습도</t>
  </si>
  <si>
    <t>MD</t>
    <phoneticPr fontId="1" type="noConversion"/>
  </si>
  <si>
    <t>MAX</t>
    <phoneticPr fontId="1" type="noConversion"/>
  </si>
  <si>
    <t>2001년</t>
  </si>
  <si>
    <t>평균</t>
    <phoneticPr fontId="1" type="noConversion"/>
  </si>
  <si>
    <t>2017년6월</t>
    <phoneticPr fontId="1" type="noConversion"/>
  </si>
  <si>
    <t>비정상</t>
    <phoneticPr fontId="1" type="noConversion"/>
  </si>
  <si>
    <t>2002년</t>
  </si>
  <si>
    <t>표준편차</t>
    <phoneticPr fontId="1" type="noConversion"/>
  </si>
  <si>
    <t>2017년7월</t>
    <phoneticPr fontId="1" type="noConversion"/>
  </si>
  <si>
    <t>2003년</t>
  </si>
  <si>
    <t>2017년8월</t>
    <phoneticPr fontId="1" type="noConversion"/>
  </si>
  <si>
    <t>정상</t>
    <phoneticPr fontId="1" type="noConversion"/>
  </si>
  <si>
    <t>2004년</t>
  </si>
  <si>
    <t>2017년9월</t>
    <phoneticPr fontId="1" type="noConversion"/>
  </si>
  <si>
    <t>2005년</t>
  </si>
  <si>
    <t>2006년</t>
  </si>
  <si>
    <t>기온</t>
  </si>
  <si>
    <t>2007년</t>
  </si>
  <si>
    <t>2008년</t>
  </si>
  <si>
    <t>2009년</t>
  </si>
  <si>
    <t>2010년</t>
  </si>
  <si>
    <t>2011년</t>
  </si>
  <si>
    <t>2012년</t>
  </si>
  <si>
    <t>2013년</t>
  </si>
  <si>
    <t>표준화된 고유벡터</t>
    <phoneticPr fontId="1" type="noConversion"/>
  </si>
  <si>
    <t>2015년</t>
  </si>
  <si>
    <t>2016년</t>
  </si>
  <si>
    <t>판단</t>
    <phoneticPr fontId="1" type="noConversion"/>
  </si>
  <si>
    <t>6월</t>
  </si>
  <si>
    <t>7월</t>
  </si>
  <si>
    <t>8월</t>
  </si>
  <si>
    <t>9월</t>
  </si>
  <si>
    <t>표준화 데이터(Z)</t>
    <phoneticPr fontId="1" type="noConversion"/>
  </si>
  <si>
    <t>상관행렬(R)</t>
    <phoneticPr fontId="1" type="noConversion"/>
  </si>
  <si>
    <t>ZR-1</t>
    <phoneticPr fontId="1" type="noConversion"/>
  </si>
  <si>
    <t>ZR-1Z'</t>
    <phoneticPr fontId="1" type="noConversion"/>
  </si>
  <si>
    <t>표준편차</t>
    <phoneticPr fontId="1" type="noConversion"/>
  </si>
  <si>
    <t>가게 면적 (x)</t>
    <phoneticPr fontId="1" type="noConversion"/>
  </si>
  <si>
    <t>(예측-실제값)의 제곱</t>
    <phoneticPr fontId="1" type="noConversion"/>
  </si>
  <si>
    <t>평균</t>
    <phoneticPr fontId="1" type="noConversion"/>
  </si>
  <si>
    <t>분산</t>
    <phoneticPr fontId="1" type="noConversion"/>
  </si>
  <si>
    <t>공분산</t>
    <phoneticPr fontId="1" type="noConversion"/>
  </si>
  <si>
    <t>기울기 (a)</t>
    <phoneticPr fontId="1" type="noConversion"/>
  </si>
  <si>
    <t>y절편  (b)</t>
    <phoneticPr fontId="1" type="noConversion"/>
  </si>
  <si>
    <t>결정계수(R2)</t>
    <phoneticPr fontId="1" type="noConversion"/>
  </si>
  <si>
    <t>a0</t>
    <phoneticPr fontId="1" type="noConversion"/>
  </si>
  <si>
    <t>a1</t>
  </si>
  <si>
    <t>a2</t>
  </si>
  <si>
    <t>a3</t>
  </si>
  <si>
    <t>Y 예측</t>
    <phoneticPr fontId="1" type="noConversion"/>
  </si>
  <si>
    <t>Y</t>
    <phoneticPr fontId="1" type="noConversion"/>
  </si>
  <si>
    <t>X</t>
    <phoneticPr fontId="1" type="noConversion"/>
  </si>
  <si>
    <t>X'</t>
    <phoneticPr fontId="1" type="noConversion"/>
  </si>
  <si>
    <t>상수</t>
    <phoneticPr fontId="1" type="noConversion"/>
  </si>
  <si>
    <t>가게 면적</t>
    <phoneticPr fontId="1" type="noConversion"/>
  </si>
  <si>
    <t>지하철역과의 거리</t>
  </si>
  <si>
    <t>X'X</t>
    <phoneticPr fontId="1" type="noConversion"/>
  </si>
  <si>
    <t>(X'X)-1</t>
    <phoneticPr fontId="1" type="noConversion"/>
  </si>
  <si>
    <t>X'Y</t>
    <phoneticPr fontId="1" type="noConversion"/>
  </si>
  <si>
    <t>(X'X)-1X'Y</t>
    <phoneticPr fontId="1" type="noConversion"/>
  </si>
  <si>
    <t>a0</t>
    <phoneticPr fontId="1" type="noConversion"/>
  </si>
  <si>
    <t>상관계수</t>
    <phoneticPr fontId="1" type="noConversion"/>
  </si>
  <si>
    <t>a1</t>
    <phoneticPr fontId="1" type="noConversion"/>
  </si>
  <si>
    <t>a2</t>
    <phoneticPr fontId="1" type="noConversion"/>
  </si>
  <si>
    <t>a3</t>
    <phoneticPr fontId="1" type="noConversion"/>
  </si>
  <si>
    <t>표준화 회귀계수</t>
    <phoneticPr fontId="1" type="noConversion"/>
  </si>
  <si>
    <t>상관행렬</t>
    <phoneticPr fontId="1" type="noConversion"/>
  </si>
  <si>
    <t>Y 예측</t>
    <phoneticPr fontId="1" type="noConversion"/>
  </si>
  <si>
    <t>Y 예측</t>
    <phoneticPr fontId="1" type="noConversion"/>
  </si>
  <si>
    <t>Y</t>
    <phoneticPr fontId="1" type="noConversion"/>
  </si>
  <si>
    <t>Y</t>
    <phoneticPr fontId="1" type="noConversion"/>
  </si>
  <si>
    <t>X</t>
    <phoneticPr fontId="1" type="noConversion"/>
  </si>
  <si>
    <t>표준화</t>
    <phoneticPr fontId="1" type="noConversion"/>
  </si>
  <si>
    <t>표준화</t>
    <phoneticPr fontId="1" type="noConversion"/>
  </si>
  <si>
    <t>Za1</t>
    <phoneticPr fontId="1" type="noConversion"/>
  </si>
  <si>
    <t>가게 면적</t>
    <phoneticPr fontId="1" type="noConversion"/>
  </si>
  <si>
    <t>Za2</t>
    <phoneticPr fontId="1" type="noConversion"/>
  </si>
  <si>
    <t>Za3</t>
    <phoneticPr fontId="1" type="noConversion"/>
  </si>
  <si>
    <t>기여율</t>
    <phoneticPr fontId="1" type="noConversion"/>
  </si>
  <si>
    <t>누적기여율</t>
    <phoneticPr fontId="1" type="noConversion"/>
  </si>
  <si>
    <t>고유벡터</t>
    <phoneticPr fontId="1" type="noConversion"/>
  </si>
  <si>
    <t>변환좌표</t>
    <phoneticPr fontId="1" type="noConversion"/>
  </si>
  <si>
    <t>P'</t>
    <phoneticPr fontId="1" type="noConversion"/>
  </si>
  <si>
    <t>P'P</t>
    <phoneticPr fontId="1" type="noConversion"/>
  </si>
  <si>
    <t>(P'P)-1</t>
    <phoneticPr fontId="1" type="noConversion"/>
  </si>
  <si>
    <t>P'Y</t>
    <phoneticPr fontId="1" type="noConversion"/>
  </si>
  <si>
    <t>(P'P)-1P'Y</t>
    <phoneticPr fontId="1" type="noConversion"/>
  </si>
  <si>
    <t>b1</t>
    <phoneticPr fontId="1" type="noConversion"/>
  </si>
  <si>
    <t>b2</t>
    <phoneticPr fontId="1" type="noConversion"/>
  </si>
  <si>
    <t>B0</t>
    <phoneticPr fontId="1" type="noConversion"/>
  </si>
  <si>
    <t>B1</t>
    <phoneticPr fontId="1" type="noConversion"/>
  </si>
  <si>
    <t>B2</t>
    <phoneticPr fontId="1" type="noConversion"/>
  </si>
  <si>
    <t>B3</t>
    <phoneticPr fontId="1" type="noConversion"/>
  </si>
  <si>
    <t>누적기여율</t>
    <phoneticPr fontId="1" type="noConversion"/>
  </si>
  <si>
    <t>고유벡터</t>
    <phoneticPr fontId="1" type="noConversion"/>
  </si>
  <si>
    <t>가게 면적</t>
    <phoneticPr fontId="1" type="noConversion"/>
  </si>
  <si>
    <t>변환좌표</t>
    <phoneticPr fontId="1" type="noConversion"/>
  </si>
  <si>
    <t>b3</t>
  </si>
  <si>
    <t>표준화 회귀계수</t>
    <phoneticPr fontId="1" type="noConversion"/>
  </si>
  <si>
    <t>가게 면적</t>
  </si>
  <si>
    <t>a0</t>
    <phoneticPr fontId="1" type="noConversion"/>
  </si>
  <si>
    <t>Y 예측</t>
    <phoneticPr fontId="1" type="noConversion"/>
  </si>
  <si>
    <t>Y</t>
    <phoneticPr fontId="1" type="noConversion"/>
  </si>
  <si>
    <t>표준화</t>
    <phoneticPr fontId="1" type="noConversion"/>
  </si>
  <si>
    <t>가게 면적</t>
    <phoneticPr fontId="1" type="noConversion"/>
  </si>
  <si>
    <t>X'Y</t>
  </si>
  <si>
    <t>W1</t>
    <phoneticPr fontId="1" type="noConversion"/>
  </si>
  <si>
    <t>t1</t>
    <phoneticPr fontId="1" type="noConversion"/>
  </si>
  <si>
    <t>X't1</t>
    <phoneticPr fontId="1" type="noConversion"/>
  </si>
  <si>
    <t>p1</t>
    <phoneticPr fontId="1" type="noConversion"/>
  </si>
  <si>
    <t>Y't1</t>
    <phoneticPr fontId="1" type="noConversion"/>
  </si>
  <si>
    <t>q1</t>
    <phoneticPr fontId="1" type="noConversion"/>
  </si>
  <si>
    <t>||X'Y||</t>
  </si>
  <si>
    <t>t1't1</t>
    <phoneticPr fontId="1" type="noConversion"/>
  </si>
  <si>
    <t>p1'</t>
    <phoneticPr fontId="1" type="noConversion"/>
  </si>
  <si>
    <t>평균</t>
    <phoneticPr fontId="1" type="noConversion"/>
  </si>
  <si>
    <t>표준편차</t>
    <phoneticPr fontId="1" type="noConversion"/>
  </si>
  <si>
    <t>t1q1'</t>
    <phoneticPr fontId="1" type="noConversion"/>
  </si>
  <si>
    <t>t1p1'</t>
    <phoneticPr fontId="1" type="noConversion"/>
  </si>
  <si>
    <t>Ey1</t>
    <phoneticPr fontId="1" type="noConversion"/>
  </si>
  <si>
    <t>Ex1</t>
    <phoneticPr fontId="1" type="noConversion"/>
  </si>
  <si>
    <t>상관계수</t>
    <phoneticPr fontId="1" type="noConversion"/>
  </si>
  <si>
    <t>W1</t>
    <phoneticPr fontId="1" type="noConversion"/>
  </si>
  <si>
    <t>W2</t>
    <phoneticPr fontId="1" type="noConversion"/>
  </si>
  <si>
    <t>W3</t>
    <phoneticPr fontId="1" type="noConversion"/>
  </si>
  <si>
    <t>t1</t>
    <phoneticPr fontId="1" type="noConversion"/>
  </si>
  <si>
    <t>t2</t>
  </si>
  <si>
    <t>t3</t>
  </si>
  <si>
    <t>(Ey1)'</t>
    <phoneticPr fontId="1" type="noConversion"/>
  </si>
  <si>
    <t>(Ex1)'</t>
    <phoneticPr fontId="1" type="noConversion"/>
  </si>
  <si>
    <t>W2</t>
    <phoneticPr fontId="1" type="noConversion"/>
  </si>
  <si>
    <t>t2</t>
    <phoneticPr fontId="1" type="noConversion"/>
  </si>
  <si>
    <t>X't2</t>
    <phoneticPr fontId="1" type="noConversion"/>
  </si>
  <si>
    <t>p2</t>
    <phoneticPr fontId="1" type="noConversion"/>
  </si>
  <si>
    <t>y't2</t>
    <phoneticPr fontId="1" type="noConversion"/>
  </si>
  <si>
    <t>q2</t>
    <phoneticPr fontId="1" type="noConversion"/>
  </si>
  <si>
    <t>T'</t>
    <phoneticPr fontId="1" type="noConversion"/>
  </si>
  <si>
    <t>t1</t>
  </si>
  <si>
    <t>t2't2</t>
    <phoneticPr fontId="1" type="noConversion"/>
  </si>
  <si>
    <t>p2'</t>
    <phoneticPr fontId="1" type="noConversion"/>
  </si>
  <si>
    <t>T'T</t>
    <phoneticPr fontId="1" type="noConversion"/>
  </si>
  <si>
    <t>(T'T)-1</t>
    <phoneticPr fontId="1" type="noConversion"/>
  </si>
  <si>
    <t>T'Y</t>
    <phoneticPr fontId="1" type="noConversion"/>
  </si>
  <si>
    <t>(T'T)-1T'Y</t>
    <phoneticPr fontId="1" type="noConversion"/>
  </si>
  <si>
    <t>B1</t>
    <phoneticPr fontId="1" type="noConversion"/>
  </si>
  <si>
    <t>B2</t>
  </si>
  <si>
    <t>t2q2'</t>
    <phoneticPr fontId="1" type="noConversion"/>
  </si>
  <si>
    <t>t2p2'</t>
    <phoneticPr fontId="1" type="noConversion"/>
  </si>
  <si>
    <t>Ey2</t>
    <phoneticPr fontId="1" type="noConversion"/>
  </si>
  <si>
    <t>Ex2</t>
    <phoneticPr fontId="1" type="noConversion"/>
  </si>
  <si>
    <t>(Ey2)'</t>
    <phoneticPr fontId="1" type="noConversion"/>
  </si>
  <si>
    <t>(Ex2)'</t>
    <phoneticPr fontId="1" type="noConversion"/>
  </si>
  <si>
    <t>t3</t>
    <phoneticPr fontId="1" type="noConversion"/>
  </si>
  <si>
    <t>X't3</t>
    <phoneticPr fontId="1" type="noConversion"/>
  </si>
  <si>
    <t>p3</t>
    <phoneticPr fontId="1" type="noConversion"/>
  </si>
  <si>
    <t>y't3</t>
    <phoneticPr fontId="1" type="noConversion"/>
  </si>
  <si>
    <t>q3</t>
    <phoneticPr fontId="1" type="noConversion"/>
  </si>
  <si>
    <t>t3't3</t>
    <phoneticPr fontId="1" type="noConversion"/>
  </si>
  <si>
    <t>p3'</t>
    <phoneticPr fontId="1" type="noConversion"/>
  </si>
  <si>
    <t>t3q3'</t>
    <phoneticPr fontId="1" type="noConversion"/>
  </si>
  <si>
    <t>t3p3'</t>
    <phoneticPr fontId="1" type="noConversion"/>
  </si>
  <si>
    <t>Ey3</t>
    <phoneticPr fontId="1" type="noConversion"/>
  </si>
  <si>
    <t>Ex3</t>
    <phoneticPr fontId="1" type="noConversion"/>
  </si>
  <si>
    <t>[[</t>
  </si>
  <si>
    <t>선수</t>
    <phoneticPr fontId="1" type="noConversion"/>
  </si>
  <si>
    <t>2루타</t>
    <phoneticPr fontId="1" type="noConversion"/>
  </si>
  <si>
    <t>3루타</t>
    <phoneticPr fontId="1" type="noConversion"/>
  </si>
  <si>
    <t>평균</t>
    <phoneticPr fontId="1" type="noConversion"/>
  </si>
  <si>
    <t>표준편차</t>
    <phoneticPr fontId="1" type="noConversion"/>
  </si>
  <si>
    <t>표준화 데이터</t>
    <phoneticPr fontId="1" type="noConversion"/>
  </si>
  <si>
    <t>PC4</t>
  </si>
  <si>
    <t>PC5</t>
  </si>
  <si>
    <t>PC6</t>
  </si>
  <si>
    <t>PC7</t>
  </si>
  <si>
    <t>PC8</t>
  </si>
  <si>
    <t>PC9</t>
  </si>
  <si>
    <t>PC10</t>
  </si>
  <si>
    <t>PC11</t>
  </si>
  <si>
    <t>PC12</t>
  </si>
  <si>
    <t>PC13</t>
  </si>
  <si>
    <t>분산</t>
    <phoneticPr fontId="1" type="noConversion"/>
  </si>
  <si>
    <t>상관행렬</t>
    <phoneticPr fontId="1" type="noConversion"/>
  </si>
  <si>
    <t>원래 데이터와 주성분의 상관행렬</t>
    <phoneticPr fontId="1" type="noConversion"/>
  </si>
  <si>
    <t>고유벡터</t>
  </si>
  <si>
    <t>고유값</t>
    <phoneticPr fontId="1" type="noConversion"/>
  </si>
  <si>
    <t>기여율</t>
  </si>
  <si>
    <t>누적기여율</t>
  </si>
  <si>
    <t>합계</t>
    <phoneticPr fontId="1" type="noConversion"/>
  </si>
  <si>
    <t>A</t>
    <phoneticPr fontId="1" type="noConversion"/>
  </si>
  <si>
    <t>B</t>
    <phoneticPr fontId="1" type="noConversion"/>
  </si>
  <si>
    <t>덧셈</t>
    <phoneticPr fontId="1" type="noConversion"/>
  </si>
  <si>
    <t>뺄셈</t>
    <phoneticPr fontId="1" type="noConversion"/>
  </si>
  <si>
    <t>+</t>
    <phoneticPr fontId="1" type="noConversion"/>
  </si>
  <si>
    <t>=</t>
    <phoneticPr fontId="1" type="noConversion"/>
  </si>
  <si>
    <t>A+B</t>
    <phoneticPr fontId="1" type="noConversion"/>
  </si>
  <si>
    <t>BA</t>
    <phoneticPr fontId="1" type="noConversion"/>
  </si>
  <si>
    <t>C</t>
    <phoneticPr fontId="1" type="noConversion"/>
  </si>
  <si>
    <t>(AB)C</t>
    <phoneticPr fontId="1" type="noConversion"/>
  </si>
  <si>
    <t>A(BC)</t>
    <phoneticPr fontId="1" type="noConversion"/>
  </si>
  <si>
    <t>(AB)</t>
    <phoneticPr fontId="1" type="noConversion"/>
  </si>
  <si>
    <t>(BC)</t>
    <phoneticPr fontId="1" type="noConversion"/>
  </si>
  <si>
    <t>AB</t>
    <phoneticPr fontId="1" type="noConversion"/>
  </si>
  <si>
    <t>(B+C)</t>
    <phoneticPr fontId="1" type="noConversion"/>
  </si>
  <si>
    <t>A(B+C)</t>
    <phoneticPr fontId="1" type="noConversion"/>
  </si>
  <si>
    <t>AC</t>
    <phoneticPr fontId="1" type="noConversion"/>
  </si>
  <si>
    <t>AB+AC</t>
    <phoneticPr fontId="1" type="noConversion"/>
  </si>
  <si>
    <t>(A+B)</t>
    <phoneticPr fontId="1" type="noConversion"/>
  </si>
  <si>
    <t>(A+B)C</t>
    <phoneticPr fontId="1" type="noConversion"/>
  </si>
  <si>
    <t>BC</t>
    <phoneticPr fontId="1" type="noConversion"/>
  </si>
  <si>
    <t>AC+BC</t>
    <phoneticPr fontId="1" type="noConversion"/>
  </si>
  <si>
    <t>분배법칙</t>
    <phoneticPr fontId="1" type="noConversion"/>
  </si>
  <si>
    <t>결합법칙</t>
    <phoneticPr fontId="1" type="noConversion"/>
  </si>
  <si>
    <t>교환법칙</t>
    <phoneticPr fontId="1" type="noConversion"/>
  </si>
  <si>
    <t>전치행렬</t>
    <phoneticPr fontId="1" type="noConversion"/>
  </si>
  <si>
    <t>A'</t>
    <phoneticPr fontId="1" type="noConversion"/>
  </si>
  <si>
    <t>행렬 연산</t>
    <phoneticPr fontId="1" type="noConversion"/>
  </si>
  <si>
    <t>행렬 곱셈</t>
    <phoneticPr fontId="1" type="noConversion"/>
  </si>
  <si>
    <t>행렬 차원 오류</t>
    <phoneticPr fontId="1" type="noConversion"/>
  </si>
  <si>
    <t>넓게 선택</t>
    <phoneticPr fontId="1" type="noConversion"/>
  </si>
  <si>
    <t>좁게 선택</t>
    <phoneticPr fontId="1" type="noConversion"/>
  </si>
  <si>
    <t>역행렬</t>
    <phoneticPr fontId="1" type="noConversion"/>
  </si>
  <si>
    <t>B(A의 역행렬)</t>
    <phoneticPr fontId="1" type="noConversion"/>
  </si>
  <si>
    <t>`</t>
    <phoneticPr fontId="1" type="noConversion"/>
  </si>
  <si>
    <t>A의 역행렬</t>
    <phoneticPr fontId="1" type="noConversion"/>
  </si>
  <si>
    <t>A의 역행렬의 역행렬</t>
    <phoneticPr fontId="1" type="noConversion"/>
  </si>
  <si>
    <t>AB의 역행렬</t>
    <phoneticPr fontId="1" type="noConversion"/>
  </si>
  <si>
    <t>B의 역행렬</t>
    <phoneticPr fontId="1" type="noConversion"/>
  </si>
  <si>
    <t>역행렬이 존재하지 않는 행렬</t>
    <phoneticPr fontId="1" type="noConversion"/>
  </si>
  <si>
    <t>연립방정식</t>
    <phoneticPr fontId="1" type="noConversion"/>
  </si>
  <si>
    <t>Y</t>
    <phoneticPr fontId="1" type="noConversion"/>
  </si>
  <si>
    <t>A의 역행렬</t>
    <phoneticPr fontId="1" type="noConversion"/>
  </si>
  <si>
    <t>X</t>
    <phoneticPr fontId="1" type="noConversion"/>
  </si>
  <si>
    <t>x</t>
    <phoneticPr fontId="1" type="noConversion"/>
  </si>
  <si>
    <t>y</t>
    <phoneticPr fontId="1" type="noConversion"/>
  </si>
  <si>
    <t>2배 확대</t>
    <phoneticPr fontId="1" type="noConversion"/>
  </si>
  <si>
    <t>확대후 좌표</t>
    <phoneticPr fontId="1" type="noConversion"/>
  </si>
  <si>
    <t>1/2배 축소</t>
    <phoneticPr fontId="1" type="noConversion"/>
  </si>
  <si>
    <t>축소후 좌표</t>
    <phoneticPr fontId="1" type="noConversion"/>
  </si>
  <si>
    <t>시계방향 45도</t>
    <phoneticPr fontId="1" type="noConversion"/>
  </si>
  <si>
    <t>변환 후 좌표</t>
    <phoneticPr fontId="1" type="noConversion"/>
  </si>
  <si>
    <t>반시계방향 30도</t>
    <phoneticPr fontId="1" type="noConversion"/>
  </si>
  <si>
    <t>반시계방향 30도의 역행렬</t>
    <phoneticPr fontId="1" type="noConversion"/>
  </si>
  <si>
    <t>분산</t>
    <phoneticPr fontId="1" type="noConversion"/>
  </si>
  <si>
    <t>이동 행렬</t>
    <phoneticPr fontId="1" type="noConversion"/>
  </si>
  <si>
    <t>이동 후 좌표</t>
    <phoneticPr fontId="1" type="noConversion"/>
  </si>
  <si>
    <t>Zx'</t>
    <phoneticPr fontId="1" type="noConversion"/>
  </si>
  <si>
    <t>Zx</t>
    <phoneticPr fontId="1" type="noConversion"/>
  </si>
  <si>
    <t>행렬분산</t>
    <phoneticPr fontId="1" type="noConversion"/>
  </si>
  <si>
    <t>행렬 분산 계산</t>
    <phoneticPr fontId="1" type="noConversion"/>
  </si>
  <si>
    <t>VAR.S  분산</t>
    <phoneticPr fontId="1" type="noConversion"/>
  </si>
  <si>
    <t>상관행렬 계산</t>
    <phoneticPr fontId="1" type="noConversion"/>
  </si>
  <si>
    <t>전치행렬</t>
    <phoneticPr fontId="1" type="noConversion"/>
  </si>
  <si>
    <t>엑셀 함수 상관행렬</t>
    <phoneticPr fontId="1" type="noConversion"/>
  </si>
  <si>
    <t>행렬 상관행렬</t>
    <phoneticPr fontId="1" type="noConversion"/>
  </si>
  <si>
    <t>선수</t>
  </si>
  <si>
    <t>표준화 데이터 전치행렬</t>
    <phoneticPr fontId="1" type="noConversion"/>
  </si>
  <si>
    <t xml:space="preserve"> 행렬로 계산한 상관행렬</t>
    <phoneticPr fontId="1" type="noConversion"/>
  </si>
  <si>
    <t>상관행렬(R)</t>
  </si>
  <si>
    <t>실제 데이터</t>
    <phoneticPr fontId="1" type="noConversion"/>
  </si>
  <si>
    <t>실제 데이터 표준화</t>
    <phoneticPr fontId="1" type="noConversion"/>
  </si>
  <si>
    <t>단변량오류</t>
    <phoneticPr fontId="1" type="noConversion"/>
  </si>
  <si>
    <t>상관관계 오류</t>
    <phoneticPr fontId="1" type="noConversion"/>
  </si>
  <si>
    <t>판단</t>
    <phoneticPr fontId="1" type="noConversion"/>
  </si>
  <si>
    <t>오류내용</t>
    <phoneticPr fontId="1" type="noConversion"/>
  </si>
  <si>
    <t>Class</t>
  </si>
  <si>
    <t>Class</t>
    <phoneticPr fontId="1" type="noConversion"/>
  </si>
  <si>
    <t>머리둘레</t>
  </si>
  <si>
    <t>몸통길이</t>
  </si>
  <si>
    <t>꼬리길이</t>
  </si>
  <si>
    <t>dog</t>
  </si>
  <si>
    <t>cat</t>
  </si>
  <si>
    <t>rabbit</t>
  </si>
  <si>
    <t>평균</t>
    <phoneticPr fontId="1" type="noConversion"/>
  </si>
  <si>
    <t>표준편차</t>
    <phoneticPr fontId="1" type="noConversion"/>
  </si>
  <si>
    <t>기준 데이터 : 개</t>
    <phoneticPr fontId="1" type="noConversion"/>
  </si>
  <si>
    <t>기준 데이터 : 고양이</t>
    <phoneticPr fontId="1" type="noConversion"/>
  </si>
  <si>
    <t>표준화 데이터 전치 행렬 (Z')</t>
    <phoneticPr fontId="1" type="noConversion"/>
  </si>
  <si>
    <t>상관행렬 역행렬 (R-1)</t>
    <phoneticPr fontId="1" type="noConversion"/>
  </si>
  <si>
    <t>dog</t>
    <phoneticPr fontId="1" type="noConversion"/>
  </si>
  <si>
    <t>not dog</t>
  </si>
  <si>
    <t>not dog</t>
    <phoneticPr fontId="1" type="noConversion"/>
  </si>
  <si>
    <t>cat</t>
    <phoneticPr fontId="1" type="noConversion"/>
  </si>
  <si>
    <t>not cat</t>
  </si>
  <si>
    <t>not cat</t>
    <phoneticPr fontId="1" type="noConversion"/>
  </si>
  <si>
    <t>판정</t>
    <phoneticPr fontId="1" type="noConversion"/>
  </si>
  <si>
    <t>MD2</t>
    <phoneticPr fontId="1" type="noConversion"/>
  </si>
  <si>
    <t>MD2</t>
    <phoneticPr fontId="1" type="noConversion"/>
  </si>
  <si>
    <t>개의 MD2</t>
    <phoneticPr fontId="1" type="noConversion"/>
  </si>
  <si>
    <t>판정 결과</t>
    <phoneticPr fontId="1" type="noConversion"/>
  </si>
  <si>
    <t>고양이의 MD2</t>
    <phoneticPr fontId="1" type="noConversion"/>
  </si>
  <si>
    <t>최종판정결과</t>
    <phoneticPr fontId="1" type="noConversion"/>
  </si>
  <si>
    <t>not dog, not cat</t>
    <phoneticPr fontId="1" type="noConversion"/>
  </si>
  <si>
    <t>시그마 yx</t>
    <phoneticPr fontId="1" type="noConversion"/>
  </si>
  <si>
    <t>시그마 xx</t>
    <phoneticPr fontId="1" type="noConversion"/>
  </si>
  <si>
    <t>분산</t>
    <phoneticPr fontId="1" type="noConversion"/>
  </si>
  <si>
    <t>상관계수</t>
    <phoneticPr fontId="1" type="noConversion"/>
  </si>
  <si>
    <t>RMS</t>
    <phoneticPr fontId="1" type="noConversion"/>
  </si>
  <si>
    <t>Stage 1</t>
    <phoneticPr fontId="1" type="noConversion"/>
  </si>
  <si>
    <t>Stage 2</t>
    <phoneticPr fontId="1" type="noConversion"/>
  </si>
  <si>
    <t>Stage 3</t>
    <phoneticPr fontId="1" type="noConversion"/>
  </si>
  <si>
    <t>W3</t>
    <phoneticPr fontId="1" type="noConversion"/>
  </si>
  <si>
    <t>주성분 점수</t>
    <phoneticPr fontId="1" type="noConversion"/>
  </si>
  <si>
    <t>일일 평균 손님수 (Y)</t>
  </si>
  <si>
    <t>시그마 yx</t>
    <phoneticPr fontId="1" type="noConversion"/>
  </si>
  <si>
    <t>40*시그마 x</t>
    <phoneticPr fontId="1" type="noConversion"/>
  </si>
  <si>
    <t>시그마 xx</t>
    <phoneticPr fontId="1" type="noConversion"/>
  </si>
  <si>
    <t>기울기 (a)</t>
    <phoneticPr fontId="1" type="noConversion"/>
  </si>
  <si>
    <t>y 절편</t>
    <phoneticPr fontId="1" type="noConversion"/>
  </si>
  <si>
    <t xml:space="preserve">일일 평균 손님수 (예측) </t>
    <phoneticPr fontId="1" type="noConversion"/>
  </si>
  <si>
    <t>Y 예측</t>
    <phoneticPr fontId="1" type="noConversion"/>
  </si>
  <si>
    <t>Y</t>
    <phoneticPr fontId="1" type="noConversion"/>
  </si>
  <si>
    <t>X</t>
    <phoneticPr fontId="1" type="noConversion"/>
  </si>
  <si>
    <t>상수</t>
    <phoneticPr fontId="1" type="noConversion"/>
  </si>
  <si>
    <t>가게 면적</t>
    <phoneticPr fontId="1" type="noConversion"/>
  </si>
  <si>
    <t>지하철역과의 거리</t>
    <phoneticPr fontId="1" type="noConversion"/>
  </si>
  <si>
    <t>기온</t>
    <phoneticPr fontId="1" type="noConversion"/>
  </si>
  <si>
    <t>dm1</t>
    <phoneticPr fontId="1" type="noConversion"/>
  </si>
  <si>
    <t>dm2</t>
    <phoneticPr fontId="1" type="noConversion"/>
  </si>
  <si>
    <t>dm3</t>
    <phoneticPr fontId="1" type="noConversion"/>
  </si>
  <si>
    <t>X'</t>
    <phoneticPr fontId="1" type="noConversion"/>
  </si>
  <si>
    <t>X'X</t>
    <phoneticPr fontId="1" type="noConversion"/>
  </si>
  <si>
    <t>상관계수</t>
    <phoneticPr fontId="1" type="noConversion"/>
  </si>
  <si>
    <t>(X'X)-1</t>
    <phoneticPr fontId="1" type="noConversion"/>
  </si>
  <si>
    <t>(X'X)-1X'Y</t>
    <phoneticPr fontId="1" type="noConversion"/>
  </si>
  <si>
    <t>a0</t>
    <phoneticPr fontId="1" type="noConversion"/>
  </si>
  <si>
    <t>a4</t>
  </si>
  <si>
    <t>a5</t>
  </si>
  <si>
    <t>a6</t>
  </si>
  <si>
    <t>x</t>
    <phoneticPr fontId="1" type="noConversion"/>
  </si>
  <si>
    <t>y</t>
    <phoneticPr fontId="1" type="noConversion"/>
  </si>
  <si>
    <t>중앙값</t>
    <phoneticPr fontId="1" type="noConversion"/>
  </si>
  <si>
    <t>x</t>
    <phoneticPr fontId="1" type="noConversion"/>
  </si>
  <si>
    <t>z</t>
    <phoneticPr fontId="1" type="noConversion"/>
  </si>
  <si>
    <t>최빈값</t>
    <phoneticPr fontId="1" type="noConversion"/>
  </si>
  <si>
    <t>최대값</t>
    <phoneticPr fontId="1" type="noConversion"/>
  </si>
  <si>
    <t>최소값</t>
    <phoneticPr fontId="1" type="noConversion"/>
  </si>
  <si>
    <t>범위</t>
    <phoneticPr fontId="1" type="noConversion"/>
  </si>
  <si>
    <t>-</t>
    <phoneticPr fontId="1" type="noConversion"/>
  </si>
  <si>
    <t>A-B</t>
    <phoneticPr fontId="1" type="noConversion"/>
  </si>
  <si>
    <t>B의 역행렬과 A의 역행렬의 곱</t>
    <phoneticPr fontId="1" type="noConversion"/>
  </si>
  <si>
    <t>고윳값</t>
    <phoneticPr fontId="1" type="noConversion"/>
  </si>
  <si>
    <t>고유벡터</t>
    <phoneticPr fontId="1" type="noConversion"/>
  </si>
  <si>
    <t>실제 데이터</t>
    <phoneticPr fontId="1" type="noConversion"/>
  </si>
  <si>
    <t>일일 평균 손님수 (Y)</t>
    <phoneticPr fontId="1" type="noConversion"/>
  </si>
  <si>
    <t>Za1</t>
    <phoneticPr fontId="1" type="noConversion"/>
  </si>
  <si>
    <t>Za2</t>
    <phoneticPr fontId="1" type="noConversion"/>
  </si>
  <si>
    <t>Za3</t>
    <phoneticPr fontId="1" type="noConversion"/>
  </si>
  <si>
    <t>Z</t>
    <phoneticPr fontId="1" type="noConversion"/>
  </si>
  <si>
    <t>상관행렬(R)</t>
    <phoneticPr fontId="1" type="noConversion"/>
  </si>
  <si>
    <t>역행렬(R-1)</t>
    <phoneticPr fontId="1" type="noConversion"/>
  </si>
  <si>
    <t>ZR-1</t>
    <phoneticPr fontId="1" type="noConversion"/>
  </si>
  <si>
    <t>ZR-1Z'</t>
    <phoneticPr fontId="1" type="noConversion"/>
  </si>
  <si>
    <t>MD</t>
    <phoneticPr fontId="1" type="noConversion"/>
  </si>
  <si>
    <t>.</t>
    <phoneticPr fontId="1" type="noConversion"/>
  </si>
  <si>
    <t>X</t>
    <phoneticPr fontId="1" type="noConversion"/>
  </si>
  <si>
    <t>Y</t>
    <phoneticPr fontId="1" type="noConversion"/>
  </si>
  <si>
    <t>상수</t>
    <phoneticPr fontId="1" type="noConversion"/>
  </si>
  <si>
    <t>XT</t>
    <phoneticPr fontId="1" type="noConversion"/>
  </si>
  <si>
    <t>XTX</t>
    <phoneticPr fontId="1" type="noConversion"/>
  </si>
  <si>
    <t>(XTX)-1</t>
    <phoneticPr fontId="1" type="noConversion"/>
  </si>
  <si>
    <t>XTY</t>
    <phoneticPr fontId="1" type="noConversion"/>
  </si>
  <si>
    <t>a0</t>
    <phoneticPr fontId="1" type="noConversion"/>
  </si>
  <si>
    <t>a7</t>
  </si>
  <si>
    <t>a8</t>
  </si>
  <si>
    <t>a9</t>
  </si>
  <si>
    <t>a10</t>
  </si>
  <si>
    <t>a11</t>
  </si>
  <si>
    <t>Y예측</t>
    <phoneticPr fontId="1" type="noConversion"/>
  </si>
  <si>
    <t>주성분점수</t>
    <phoneticPr fontId="1" type="noConversion"/>
  </si>
  <si>
    <t>(XTX)-1</t>
    <phoneticPr fontId="1" type="noConversion"/>
  </si>
  <si>
    <t>XTX</t>
    <phoneticPr fontId="1" type="noConversion"/>
  </si>
  <si>
    <t>XT</t>
    <phoneticPr fontId="1" type="noConversion"/>
  </si>
  <si>
    <t>Y예측</t>
    <phoneticPr fontId="1" type="noConversion"/>
  </si>
  <si>
    <t>상관계수</t>
    <phoneticPr fontId="1" type="noConversion"/>
  </si>
  <si>
    <t>표준화데이터</t>
    <phoneticPr fontId="1" type="noConversion"/>
  </si>
  <si>
    <t>범죄율</t>
  </si>
  <si>
    <t>범죄율</t>
    <phoneticPr fontId="1" type="noConversion"/>
  </si>
  <si>
    <t>방개수</t>
  </si>
  <si>
    <t>방개수</t>
    <phoneticPr fontId="1" type="noConversion"/>
  </si>
  <si>
    <t>고속도로접근성</t>
  </si>
  <si>
    <t>고속도로접근성</t>
    <phoneticPr fontId="1" type="noConversion"/>
  </si>
  <si>
    <t>학생교사비율</t>
  </si>
  <si>
    <t>학생교사비율</t>
    <phoneticPr fontId="1" type="noConversion"/>
  </si>
  <si>
    <t>주택가격</t>
  </si>
  <si>
    <t>주택가격</t>
    <phoneticPr fontId="1" type="noConversion"/>
  </si>
  <si>
    <t>거주지역비율</t>
    <phoneticPr fontId="1" type="noConversion"/>
  </si>
  <si>
    <t>비소매지역비율</t>
  </si>
  <si>
    <t>비소매지역비율</t>
    <phoneticPr fontId="1" type="noConversion"/>
  </si>
  <si>
    <t>찰스강더미</t>
    <phoneticPr fontId="1" type="noConversion"/>
  </si>
  <si>
    <t>일산화질소농도</t>
  </si>
  <si>
    <t>일산화질소농도</t>
    <phoneticPr fontId="1" type="noConversion"/>
  </si>
  <si>
    <t>노후건물비율</t>
  </si>
  <si>
    <t>노후건물비율</t>
    <phoneticPr fontId="1" type="noConversion"/>
  </si>
  <si>
    <t>고용센터접근성</t>
  </si>
  <si>
    <t>고용센터접근성</t>
    <phoneticPr fontId="1" type="noConversion"/>
  </si>
  <si>
    <t>재산세율</t>
  </si>
  <si>
    <t>재산세율</t>
    <phoneticPr fontId="1" type="noConversion"/>
  </si>
  <si>
    <t>흑인비율</t>
  </si>
  <si>
    <t>흑인비율</t>
    <phoneticPr fontId="1" type="noConversion"/>
  </si>
  <si>
    <t>하위계층비율</t>
  </si>
  <si>
    <t>하위계층비율</t>
    <phoneticPr fontId="1" type="noConversion"/>
  </si>
  <si>
    <t>평균</t>
    <phoneticPr fontId="1" type="noConversion"/>
  </si>
  <si>
    <t>표준편차</t>
    <phoneticPr fontId="1" type="noConversion"/>
  </si>
  <si>
    <t>주성분 부하량</t>
    <phoneticPr fontId="1" type="noConversion"/>
  </si>
  <si>
    <t>PC1</t>
    <phoneticPr fontId="1" type="noConversion"/>
  </si>
  <si>
    <t>고유벡터</t>
    <phoneticPr fontId="1" type="noConversion"/>
  </si>
  <si>
    <t>PC2</t>
    <phoneticPr fontId="1" type="noConversion"/>
  </si>
  <si>
    <t>PC3</t>
    <phoneticPr fontId="1" type="noConversion"/>
  </si>
  <si>
    <t>PC4</t>
    <phoneticPr fontId="1" type="noConversion"/>
  </si>
  <si>
    <t>PC5</t>
    <phoneticPr fontId="1" type="noConversion"/>
  </si>
  <si>
    <t>PC6</t>
    <phoneticPr fontId="1" type="noConversion"/>
  </si>
  <si>
    <t>PC7</t>
    <phoneticPr fontId="1" type="noConversion"/>
  </si>
  <si>
    <t>PC8</t>
    <phoneticPr fontId="1" type="noConversion"/>
  </si>
  <si>
    <t>PC9</t>
    <phoneticPr fontId="1" type="noConversion"/>
  </si>
  <si>
    <t>PC10</t>
    <phoneticPr fontId="1" type="noConversion"/>
  </si>
  <si>
    <t>PC11</t>
    <phoneticPr fontId="1" type="noConversion"/>
  </si>
  <si>
    <t>PC12</t>
    <phoneticPr fontId="1" type="noConversion"/>
  </si>
  <si>
    <t>범죄율</t>
    <phoneticPr fontId="1" type="noConversion"/>
  </si>
  <si>
    <t>비소매지역비율</t>
    <phoneticPr fontId="1" type="noConversion"/>
  </si>
  <si>
    <t>일산화질소농도</t>
    <phoneticPr fontId="1" type="noConversion"/>
  </si>
  <si>
    <t>방개수</t>
    <phoneticPr fontId="1" type="noConversion"/>
  </si>
  <si>
    <t>노후건물비율</t>
    <phoneticPr fontId="1" type="noConversion"/>
  </si>
  <si>
    <t>고용센터접근성</t>
    <phoneticPr fontId="1" type="noConversion"/>
  </si>
  <si>
    <t>고속도로접근성</t>
    <phoneticPr fontId="1" type="noConversion"/>
  </si>
  <si>
    <t>재산세율</t>
    <phoneticPr fontId="1" type="noConversion"/>
  </si>
  <si>
    <t>학생교사비율</t>
    <phoneticPr fontId="1" type="noConversion"/>
  </si>
  <si>
    <t>흑인비율</t>
    <phoneticPr fontId="1" type="noConversion"/>
  </si>
  <si>
    <t>하위계층비율</t>
    <phoneticPr fontId="1" type="noConversion"/>
  </si>
  <si>
    <t>주택가격</t>
    <phoneticPr fontId="1" type="noConversion"/>
  </si>
  <si>
    <t>PC1</t>
    <phoneticPr fontId="1" type="noConversion"/>
  </si>
  <si>
    <t>PC2</t>
    <phoneticPr fontId="1" type="noConversion"/>
  </si>
  <si>
    <t>PC3</t>
    <phoneticPr fontId="1" type="noConversion"/>
  </si>
  <si>
    <t>PC4</t>
    <phoneticPr fontId="1" type="noConversion"/>
  </si>
  <si>
    <t>PC5</t>
    <phoneticPr fontId="1" type="noConversion"/>
  </si>
  <si>
    <t>PC6</t>
    <phoneticPr fontId="1" type="noConversion"/>
  </si>
  <si>
    <t>PC7</t>
    <phoneticPr fontId="1" type="noConversion"/>
  </si>
  <si>
    <t>PC8</t>
    <phoneticPr fontId="1" type="noConversion"/>
  </si>
  <si>
    <t>PC9</t>
    <phoneticPr fontId="1" type="noConversion"/>
  </si>
  <si>
    <t>PC10</t>
    <phoneticPr fontId="1" type="noConversion"/>
  </si>
  <si>
    <t>PC11</t>
    <phoneticPr fontId="1" type="noConversion"/>
  </si>
  <si>
    <t>PC12</t>
    <phoneticPr fontId="1" type="noConversion"/>
  </si>
  <si>
    <t>고유값</t>
    <phoneticPr fontId="1" type="noConversion"/>
  </si>
  <si>
    <t>상관계수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</si>
</sst>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_ "/>
    <numFmt numFmtId="177" formatCode="0.0_ "/>
    <numFmt numFmtId="178" formatCode="0.000000000000000_ "/>
    <numFmt numFmtId="179" formatCode="0.00_);[Red]\(0.00\)"/>
    <numFmt numFmtId="180" formatCode="0_ "/>
    <numFmt numFmtId="181" formatCode="0.0000000_ "/>
    <numFmt numFmtId="182" formatCode="0_);[Red]\(0\)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ＭＳ Ｐゴシック"/>
      <family val="3"/>
      <charset val="128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rgb="FF24292E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2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/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129">
    <xf numFmtId="0" fontId="0" fillId="0" borderId="0" xfId="0">
      <alignment vertical="center"/>
    </xf>
    <xf numFmtId="0" fontId="0" fillId="2" borderId="0" xfId="0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176" fontId="0" fillId="0" borderId="0" xfId="0" applyNumberFormat="1" applyFill="1" applyBorder="1">
      <alignment vertical="center"/>
    </xf>
    <xf numFmtId="0" fontId="0" fillId="0" borderId="0" xfId="0" applyFill="1">
      <alignment vertical="center"/>
    </xf>
    <xf numFmtId="0" fontId="0" fillId="0" borderId="0" xfId="0" applyFill="1" applyBorder="1" applyAlignment="1">
      <alignment horizontal="center" vertical="center"/>
    </xf>
    <xf numFmtId="176" fontId="0" fillId="0" borderId="0" xfId="0" applyNumberFormat="1" applyFill="1" applyBorder="1" applyAlignment="1">
      <alignment horizontal="center" vertical="center"/>
    </xf>
    <xf numFmtId="176" fontId="0" fillId="2" borderId="0" xfId="0" applyNumberFormat="1" applyFill="1" applyBorder="1" applyAlignment="1">
      <alignment horizontal="center" vertical="center"/>
    </xf>
    <xf numFmtId="176" fontId="3" fillId="0" borderId="0" xfId="0" applyNumberFormat="1" applyFont="1" applyBorder="1">
      <alignment vertical="center"/>
    </xf>
    <xf numFmtId="176" fontId="4" fillId="0" borderId="0" xfId="0" applyNumberFormat="1" applyFont="1" applyBorder="1" applyAlignment="1">
      <alignment horizontal="center" vertical="center"/>
    </xf>
    <xf numFmtId="176" fontId="0" fillId="0" borderId="0" xfId="0" applyNumberFormat="1" applyBorder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ont="1" applyFill="1" applyBorder="1" applyAlignment="1">
      <alignment horizontal="right" vertical="center"/>
    </xf>
    <xf numFmtId="0" fontId="0" fillId="0" borderId="0" xfId="0" applyFont="1" applyFill="1" applyBorder="1" applyAlignment="1">
      <alignment horizontal="left" vertical="center"/>
    </xf>
    <xf numFmtId="0" fontId="0" fillId="4" borderId="0" xfId="0" applyFill="1" applyBorder="1">
      <alignment vertical="center"/>
    </xf>
    <xf numFmtId="0" fontId="0" fillId="5" borderId="0" xfId="0" applyFill="1" applyBorder="1">
      <alignment vertical="center"/>
    </xf>
    <xf numFmtId="3" fontId="0" fillId="0" borderId="0" xfId="0" applyNumberFormat="1" applyFill="1" applyBorder="1">
      <alignment vertical="center"/>
    </xf>
    <xf numFmtId="0" fontId="0" fillId="3" borderId="0" xfId="0" applyFill="1" applyBorder="1" applyAlignment="1">
      <alignment horizontal="center" vertical="center"/>
    </xf>
    <xf numFmtId="176" fontId="0" fillId="0" borderId="0" xfId="0" applyNumberFormat="1" applyFill="1">
      <alignment vertical="center"/>
    </xf>
    <xf numFmtId="176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177" fontId="0" fillId="0" borderId="0" xfId="0" applyNumberFormat="1" applyFill="1" applyBorder="1" applyAlignment="1">
      <alignment horizontal="center" vertical="center"/>
    </xf>
    <xf numFmtId="176" fontId="0" fillId="6" borderId="0" xfId="0" applyNumberFormat="1" applyFill="1" applyBorder="1" applyAlignment="1">
      <alignment vertical="center"/>
    </xf>
    <xf numFmtId="178" fontId="0" fillId="0" borderId="0" xfId="0" applyNumberFormat="1" applyFill="1" applyBorder="1" applyAlignment="1">
      <alignment horizontal="center" vertical="center"/>
    </xf>
    <xf numFmtId="176" fontId="0" fillId="0" borderId="0" xfId="0" applyNumberFormat="1" applyFill="1" applyAlignment="1">
      <alignment horizontal="center" vertical="center"/>
    </xf>
    <xf numFmtId="176" fontId="0" fillId="7" borderId="0" xfId="0" applyNumberFormat="1" applyFill="1" applyAlignment="1">
      <alignment horizontal="center" vertical="center"/>
    </xf>
    <xf numFmtId="176" fontId="0" fillId="8" borderId="0" xfId="0" applyNumberFormat="1" applyFill="1" applyBorder="1" applyAlignment="1">
      <alignment horizontal="center" vertical="center"/>
    </xf>
    <xf numFmtId="176" fontId="0" fillId="3" borderId="0" xfId="0" applyNumberFormat="1" applyFill="1" applyAlignment="1">
      <alignment horizontal="center" vertical="center"/>
    </xf>
    <xf numFmtId="176" fontId="0" fillId="8" borderId="0" xfId="0" applyNumberFormat="1" applyFill="1" applyAlignment="1">
      <alignment horizontal="center" vertical="center"/>
    </xf>
    <xf numFmtId="176" fontId="3" fillId="7" borderId="0" xfId="0" applyNumberFormat="1" applyFont="1" applyFill="1" applyBorder="1">
      <alignment vertical="center"/>
    </xf>
    <xf numFmtId="176" fontId="3" fillId="8" borderId="0" xfId="0" applyNumberFormat="1" applyFont="1" applyFill="1" applyBorder="1">
      <alignment vertical="center"/>
    </xf>
    <xf numFmtId="0" fontId="3" fillId="0" borderId="0" xfId="0" applyFont="1" applyBorder="1">
      <alignment vertical="center"/>
    </xf>
    <xf numFmtId="176" fontId="0" fillId="9" borderId="0" xfId="0" applyNumberFormat="1" applyFill="1" applyAlignment="1">
      <alignment horizontal="center" vertical="center"/>
    </xf>
    <xf numFmtId="176" fontId="0" fillId="8" borderId="1" xfId="0" applyNumberFormat="1" applyFill="1" applyBorder="1" applyAlignment="1">
      <alignment horizontal="center" vertical="center"/>
    </xf>
    <xf numFmtId="176" fontId="0" fillId="8" borderId="2" xfId="0" applyNumberFormat="1" applyFill="1" applyBorder="1" applyAlignment="1">
      <alignment horizontal="center" vertical="center"/>
    </xf>
    <xf numFmtId="176" fontId="0" fillId="3" borderId="0" xfId="0" applyNumberFormat="1" applyFill="1" applyAlignment="1">
      <alignment vertical="center"/>
    </xf>
    <xf numFmtId="176" fontId="3" fillId="0" borderId="0" xfId="0" applyNumberFormat="1" applyFont="1" applyFill="1" applyAlignment="1">
      <alignment horizontal="center" vertical="center"/>
    </xf>
    <xf numFmtId="176" fontId="3" fillId="11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76" fontId="3" fillId="7" borderId="0" xfId="0" applyNumberFormat="1" applyFont="1" applyFill="1" applyAlignment="1">
      <alignment horizontal="center" vertical="center"/>
    </xf>
    <xf numFmtId="176" fontId="0" fillId="8" borderId="0" xfId="0" applyNumberFormat="1" applyFont="1" applyFill="1" applyAlignment="1">
      <alignment horizontal="center" vertical="center"/>
    </xf>
    <xf numFmtId="176" fontId="3" fillId="12" borderId="0" xfId="0" applyNumberFormat="1" applyFont="1" applyFill="1" applyAlignment="1">
      <alignment horizontal="center" vertical="center"/>
    </xf>
    <xf numFmtId="176" fontId="3" fillId="3" borderId="0" xfId="0" applyNumberFormat="1" applyFont="1" applyFill="1" applyAlignment="1">
      <alignment horizontal="center" vertical="center"/>
    </xf>
    <xf numFmtId="176" fontId="4" fillId="13" borderId="0" xfId="1" applyNumberFormat="1" applyFont="1" applyFill="1" applyAlignment="1">
      <alignment horizontal="center" vertical="center" wrapText="1"/>
    </xf>
    <xf numFmtId="176" fontId="4" fillId="8" borderId="0" xfId="1" applyNumberFormat="1" applyFont="1" applyFill="1" applyAlignment="1">
      <alignment horizontal="center" vertical="center" wrapText="1"/>
    </xf>
    <xf numFmtId="176" fontId="4" fillId="14" borderId="0" xfId="1" applyNumberFormat="1" applyFont="1" applyFill="1" applyAlignment="1">
      <alignment horizontal="center" vertical="center" wrapText="1"/>
    </xf>
    <xf numFmtId="0" fontId="4" fillId="0" borderId="0" xfId="1" applyFont="1">
      <alignment vertical="center"/>
    </xf>
    <xf numFmtId="176" fontId="4" fillId="8" borderId="0" xfId="2" applyNumberFormat="1" applyFont="1" applyFill="1" applyAlignment="1">
      <alignment horizontal="center" vertical="center" wrapText="1"/>
    </xf>
    <xf numFmtId="176" fontId="3" fillId="9" borderId="0" xfId="0" applyNumberFormat="1" applyFont="1" applyFill="1" applyAlignment="1">
      <alignment horizontal="center" vertical="center"/>
    </xf>
    <xf numFmtId="176" fontId="4" fillId="11" borderId="0" xfId="3" applyNumberFormat="1" applyFont="1" applyFill="1" applyAlignment="1">
      <alignment horizontal="center" vertical="center" wrapText="1"/>
    </xf>
    <xf numFmtId="0" fontId="4" fillId="0" borderId="0" xfId="3" applyFont="1">
      <alignment vertical="center"/>
    </xf>
    <xf numFmtId="176" fontId="3" fillId="13" borderId="0" xfId="0" applyNumberFormat="1" applyFont="1" applyFill="1" applyAlignment="1">
      <alignment horizontal="center" vertical="center"/>
    </xf>
    <xf numFmtId="176" fontId="3" fillId="14" borderId="0" xfId="0" applyNumberFormat="1" applyFont="1" applyFill="1" applyAlignment="1">
      <alignment horizontal="center" vertical="center"/>
    </xf>
    <xf numFmtId="176" fontId="0" fillId="0" borderId="0" xfId="0" applyNumberFormat="1" applyFont="1" applyFill="1" applyAlignment="1">
      <alignment horizontal="center" vertical="center"/>
    </xf>
    <xf numFmtId="176" fontId="3" fillId="3" borderId="0" xfId="0" applyNumberFormat="1" applyFont="1" applyFill="1" applyAlignment="1">
      <alignment vertical="center"/>
    </xf>
    <xf numFmtId="176" fontId="3" fillId="8" borderId="0" xfId="0" applyNumberFormat="1" applyFont="1" applyFill="1" applyAlignment="1">
      <alignment vertical="center"/>
    </xf>
    <xf numFmtId="176" fontId="0" fillId="0" borderId="0" xfId="0" applyNumberFormat="1">
      <alignment vertical="center"/>
    </xf>
    <xf numFmtId="176" fontId="0" fillId="15" borderId="0" xfId="0" applyNumberFormat="1" applyFill="1" applyBorder="1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17" borderId="0" xfId="0" applyFill="1" applyAlignment="1">
      <alignment vertical="center"/>
    </xf>
    <xf numFmtId="0" fontId="0" fillId="8" borderId="0" xfId="0" applyFill="1" applyAlignment="1">
      <alignment horizontal="center" vertical="center"/>
    </xf>
    <xf numFmtId="0" fontId="0" fillId="20" borderId="0" xfId="0" applyFill="1" applyAlignment="1">
      <alignment horizontal="center" vertical="center"/>
    </xf>
    <xf numFmtId="176" fontId="0" fillId="17" borderId="0" xfId="0" applyNumberFormat="1" applyFill="1" applyAlignment="1">
      <alignment horizontal="center" vertical="center"/>
    </xf>
    <xf numFmtId="176" fontId="0" fillId="3" borderId="0" xfId="0" applyNumberFormat="1" applyFill="1" applyBorder="1" applyAlignment="1">
      <alignment horizontal="center" vertical="center"/>
    </xf>
    <xf numFmtId="176" fontId="3" fillId="0" borderId="0" xfId="0" applyNumberFormat="1" applyFont="1">
      <alignment vertical="center"/>
    </xf>
    <xf numFmtId="176" fontId="0" fillId="3" borderId="0" xfId="0" applyNumberFormat="1" applyFill="1" applyBorder="1" applyAlignment="1">
      <alignment vertical="center"/>
    </xf>
    <xf numFmtId="176" fontId="3" fillId="3" borderId="0" xfId="0" applyNumberFormat="1" applyFont="1" applyFill="1">
      <alignment vertical="center"/>
    </xf>
    <xf numFmtId="176" fontId="5" fillId="22" borderId="4" xfId="0" applyNumberFormat="1" applyFont="1" applyFill="1" applyBorder="1" applyAlignment="1">
      <alignment horizontal="left" vertical="center"/>
    </xf>
    <xf numFmtId="176" fontId="3" fillId="0" borderId="0" xfId="0" applyNumberFormat="1" applyFont="1" applyAlignment="1">
      <alignment vertical="center"/>
    </xf>
    <xf numFmtId="179" fontId="0" fillId="0" borderId="0" xfId="0" applyNumberFormat="1" applyFill="1">
      <alignment vertical="center"/>
    </xf>
    <xf numFmtId="181" fontId="0" fillId="0" borderId="0" xfId="0" applyNumberFormat="1" applyFill="1">
      <alignment vertical="center"/>
    </xf>
    <xf numFmtId="176" fontId="0" fillId="3" borderId="0" xfId="0" applyNumberForma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180" fontId="0" fillId="0" borderId="0" xfId="0" applyNumberFormat="1" applyFill="1" applyBorder="1" applyAlignment="1">
      <alignment horizontal="center" vertical="center"/>
    </xf>
    <xf numFmtId="182" fontId="0" fillId="0" borderId="0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176" fontId="0" fillId="3" borderId="0" xfId="0" applyNumberFormat="1" applyFill="1" applyAlignment="1">
      <alignment horizontal="center" vertical="center"/>
    </xf>
    <xf numFmtId="0" fontId="0" fillId="23" borderId="0" xfId="0" applyFill="1" applyAlignment="1">
      <alignment horizontal="center" vertical="center"/>
    </xf>
    <xf numFmtId="176" fontId="0" fillId="23" borderId="0" xfId="0" applyNumberFormat="1" applyFill="1" applyAlignment="1">
      <alignment horizontal="center" vertical="center"/>
    </xf>
    <xf numFmtId="180" fontId="0" fillId="23" borderId="0" xfId="0" applyNumberFormat="1" applyFill="1" applyAlignment="1">
      <alignment horizontal="center" vertical="center"/>
    </xf>
    <xf numFmtId="176" fontId="0" fillId="23" borderId="0" xfId="0" applyNumberFormat="1" applyFill="1">
      <alignment vertical="center"/>
    </xf>
    <xf numFmtId="176" fontId="0" fillId="23" borderId="0" xfId="0" applyNumberFormat="1" applyFill="1" applyBorder="1">
      <alignment vertical="center"/>
    </xf>
    <xf numFmtId="176" fontId="3" fillId="23" borderId="0" xfId="0" applyNumberFormat="1" applyFont="1" applyFill="1" applyBorder="1">
      <alignment vertical="center"/>
    </xf>
    <xf numFmtId="0" fontId="0" fillId="23" borderId="0" xfId="0" applyFill="1" applyBorder="1">
      <alignment vertical="center"/>
    </xf>
    <xf numFmtId="176" fontId="3" fillId="23" borderId="0" xfId="0" applyNumberFormat="1" applyFont="1" applyFill="1">
      <alignment vertical="center"/>
    </xf>
    <xf numFmtId="0" fontId="0" fillId="23" borderId="0" xfId="0" applyFill="1">
      <alignment vertical="center"/>
    </xf>
    <xf numFmtId="179" fontId="0" fillId="23" borderId="0" xfId="0" applyNumberFormat="1" applyFill="1">
      <alignment vertical="center"/>
    </xf>
    <xf numFmtId="177" fontId="0" fillId="6" borderId="0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177" fontId="0" fillId="23" borderId="0" xfId="0" applyNumberFormat="1" applyFill="1">
      <alignment vertical="center"/>
    </xf>
    <xf numFmtId="0" fontId="0" fillId="23" borderId="0" xfId="0" applyFill="1" applyBorder="1" applyAlignment="1">
      <alignment horizontal="center" vertical="center"/>
    </xf>
    <xf numFmtId="176" fontId="0" fillId="23" borderId="0" xfId="0" applyNumberForma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>
      <alignment vertical="center"/>
    </xf>
    <xf numFmtId="176" fontId="3" fillId="0" borderId="0" xfId="0" applyNumberFormat="1" applyFont="1" applyFill="1" applyBorder="1">
      <alignment vertical="center"/>
    </xf>
    <xf numFmtId="0" fontId="0" fillId="10" borderId="0" xfId="0" applyFill="1">
      <alignment vertical="center"/>
    </xf>
    <xf numFmtId="0" fontId="0" fillId="10" borderId="0" xfId="0" applyFill="1" applyAlignment="1">
      <alignment horizontal="center" vertical="center"/>
    </xf>
    <xf numFmtId="176" fontId="0" fillId="10" borderId="0" xfId="0" applyNumberFormat="1" applyFill="1">
      <alignment vertical="center"/>
    </xf>
    <xf numFmtId="176" fontId="3" fillId="0" borderId="0" xfId="0" applyNumberFormat="1" applyFont="1" applyBorder="1" applyAlignment="1">
      <alignment horizontal="center" vertical="center"/>
    </xf>
    <xf numFmtId="176" fontId="0" fillId="10" borderId="0" xfId="0" applyNumberFormat="1" applyFill="1" applyAlignment="1">
      <alignment horizontal="center" vertical="center"/>
    </xf>
    <xf numFmtId="176" fontId="3" fillId="10" borderId="0" xfId="0" applyNumberFormat="1" applyFont="1" applyFill="1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177" fontId="0" fillId="3" borderId="0" xfId="0" applyNumberFormat="1" applyFill="1" applyAlignment="1">
      <alignment horizontal="center" vertical="center"/>
    </xf>
    <xf numFmtId="177" fontId="0" fillId="10" borderId="0" xfId="0" applyNumberFormat="1" applyFill="1">
      <alignment vertical="center"/>
    </xf>
    <xf numFmtId="177" fontId="0" fillId="0" borderId="0" xfId="0" applyNumberFormat="1" applyAlignment="1">
      <alignment horizontal="center" vertical="center"/>
    </xf>
    <xf numFmtId="177" fontId="0" fillId="0" borderId="0" xfId="0" applyNumberFormat="1">
      <alignment vertical="center"/>
    </xf>
    <xf numFmtId="0" fontId="0" fillId="2" borderId="0" xfId="0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176" fontId="0" fillId="21" borderId="0" xfId="0" applyNumberFormat="1" applyFill="1" applyAlignment="1">
      <alignment horizontal="center" vertical="center"/>
    </xf>
    <xf numFmtId="176" fontId="0" fillId="17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76" fontId="0" fillId="3" borderId="0" xfId="0" applyNumberForma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176" fontId="0" fillId="3" borderId="0" xfId="0" applyNumberFormat="1" applyFill="1" applyAlignment="1">
      <alignment horizontal="center" vertical="center"/>
    </xf>
    <xf numFmtId="176" fontId="0" fillId="3" borderId="3" xfId="0" applyNumberFormat="1" applyFill="1" applyBorder="1" applyAlignment="1">
      <alignment horizontal="center" vertical="center"/>
    </xf>
    <xf numFmtId="176" fontId="4" fillId="12" borderId="0" xfId="3" applyNumberFormat="1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/>
    </xf>
    <xf numFmtId="176" fontId="3" fillId="10" borderId="0" xfId="0" applyNumberFormat="1" applyFont="1" applyFill="1" applyAlignment="1">
      <alignment horizontal="center" vertical="center" wrapText="1"/>
    </xf>
    <xf numFmtId="176" fontId="3" fillId="12" borderId="0" xfId="0" applyNumberFormat="1" applyFont="1" applyFill="1" applyAlignment="1">
      <alignment horizontal="center" vertical="center"/>
    </xf>
    <xf numFmtId="0" fontId="0" fillId="3" borderId="0" xfId="0" applyFill="1" applyAlignment="1">
      <alignment horizontal="left" vertical="center"/>
    </xf>
  </cellXfs>
  <cellStyles count="4">
    <cellStyle name="표준" xfId="0" builtinId="0"/>
    <cellStyle name="표준 3" xfId="1"/>
    <cellStyle name="표준 4" xfId="2"/>
    <cellStyle name="표준 6" xfId="3"/>
  </cellStyles>
  <dxfs count="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보스턴주택가격!$A$2</c:f>
              <c:strCache>
                <c:ptCount val="1"/>
                <c:pt idx="0">
                  <c:v>범죄율</c:v>
                </c:pt>
              </c:strCache>
            </c:strRef>
          </c:tx>
          <c:val>
            <c:numRef>
              <c:f>보스턴주택가격!$A$3:$A$508</c:f>
              <c:numCache>
                <c:formatCode>General</c:formatCode>
                <c:ptCount val="506"/>
                <c:pt idx="0">
                  <c:v>6.3200000000000001E-3</c:v>
                </c:pt>
                <c:pt idx="1">
                  <c:v>2.7310000000000001E-2</c:v>
                </c:pt>
                <c:pt idx="2">
                  <c:v>2.7289999999999998E-2</c:v>
                </c:pt>
                <c:pt idx="3">
                  <c:v>3.2370000000000003E-2</c:v>
                </c:pt>
                <c:pt idx="4">
                  <c:v>6.905E-2</c:v>
                </c:pt>
                <c:pt idx="5">
                  <c:v>2.9850000000000002E-2</c:v>
                </c:pt>
                <c:pt idx="6">
                  <c:v>8.8289999999999993E-2</c:v>
                </c:pt>
                <c:pt idx="7">
                  <c:v>0.14455000000000001</c:v>
                </c:pt>
                <c:pt idx="8">
                  <c:v>0.21124000000000001</c:v>
                </c:pt>
                <c:pt idx="9">
                  <c:v>0.17004</c:v>
                </c:pt>
                <c:pt idx="10">
                  <c:v>0.22489000000000001</c:v>
                </c:pt>
                <c:pt idx="11">
                  <c:v>0.11747</c:v>
                </c:pt>
                <c:pt idx="12">
                  <c:v>9.3780000000000002E-2</c:v>
                </c:pt>
                <c:pt idx="13">
                  <c:v>0.62975999999999999</c:v>
                </c:pt>
                <c:pt idx="14">
                  <c:v>0.63795999999999997</c:v>
                </c:pt>
                <c:pt idx="15">
                  <c:v>0.62739</c:v>
                </c:pt>
                <c:pt idx="16">
                  <c:v>1.05393</c:v>
                </c:pt>
                <c:pt idx="17">
                  <c:v>0.78420000000000001</c:v>
                </c:pt>
                <c:pt idx="18">
                  <c:v>0.80271000000000003</c:v>
                </c:pt>
                <c:pt idx="19">
                  <c:v>0.7258</c:v>
                </c:pt>
                <c:pt idx="20">
                  <c:v>1.25179</c:v>
                </c:pt>
                <c:pt idx="21">
                  <c:v>0.85204000000000002</c:v>
                </c:pt>
                <c:pt idx="22">
                  <c:v>1.23247</c:v>
                </c:pt>
                <c:pt idx="23">
                  <c:v>0.98843000000000003</c:v>
                </c:pt>
                <c:pt idx="24">
                  <c:v>0.75026000000000004</c:v>
                </c:pt>
                <c:pt idx="25">
                  <c:v>0.84053999999999995</c:v>
                </c:pt>
                <c:pt idx="26">
                  <c:v>0.67191000000000001</c:v>
                </c:pt>
                <c:pt idx="27">
                  <c:v>0.95577000000000001</c:v>
                </c:pt>
                <c:pt idx="28">
                  <c:v>0.77298999999999995</c:v>
                </c:pt>
                <c:pt idx="29">
                  <c:v>1.0024500000000001</c:v>
                </c:pt>
                <c:pt idx="30">
                  <c:v>1.1308100000000001</c:v>
                </c:pt>
                <c:pt idx="31">
                  <c:v>1.3547199999999999</c:v>
                </c:pt>
                <c:pt idx="32">
                  <c:v>1.3879900000000001</c:v>
                </c:pt>
                <c:pt idx="33">
                  <c:v>1.1517200000000001</c:v>
                </c:pt>
                <c:pt idx="34">
                  <c:v>1.6128199999999999</c:v>
                </c:pt>
                <c:pt idx="35">
                  <c:v>6.4170000000000005E-2</c:v>
                </c:pt>
                <c:pt idx="36">
                  <c:v>9.7439999999999999E-2</c:v>
                </c:pt>
                <c:pt idx="37">
                  <c:v>8.0140000000000003E-2</c:v>
                </c:pt>
                <c:pt idx="38">
                  <c:v>0.17505000000000001</c:v>
                </c:pt>
                <c:pt idx="39">
                  <c:v>2.7629999999999998E-2</c:v>
                </c:pt>
                <c:pt idx="40">
                  <c:v>3.3590000000000002E-2</c:v>
                </c:pt>
                <c:pt idx="41">
                  <c:v>0.12744</c:v>
                </c:pt>
                <c:pt idx="42">
                  <c:v>0.14149999999999999</c:v>
                </c:pt>
                <c:pt idx="43">
                  <c:v>0.15936</c:v>
                </c:pt>
                <c:pt idx="44">
                  <c:v>0.12268999999999999</c:v>
                </c:pt>
                <c:pt idx="45">
                  <c:v>0.17141999999999999</c:v>
                </c:pt>
                <c:pt idx="46">
                  <c:v>0.18836</c:v>
                </c:pt>
                <c:pt idx="47">
                  <c:v>0.22927</c:v>
                </c:pt>
                <c:pt idx="48">
                  <c:v>0.25386999999999998</c:v>
                </c:pt>
                <c:pt idx="49">
                  <c:v>0.21976999999999999</c:v>
                </c:pt>
                <c:pt idx="50">
                  <c:v>8.8730000000000003E-2</c:v>
                </c:pt>
                <c:pt idx="51">
                  <c:v>4.3369999999999999E-2</c:v>
                </c:pt>
                <c:pt idx="52">
                  <c:v>5.3600000000000002E-2</c:v>
                </c:pt>
                <c:pt idx="53">
                  <c:v>4.981E-2</c:v>
                </c:pt>
                <c:pt idx="54">
                  <c:v>1.3599999999999999E-2</c:v>
                </c:pt>
                <c:pt idx="55">
                  <c:v>1.311E-2</c:v>
                </c:pt>
                <c:pt idx="56">
                  <c:v>2.0549999999999999E-2</c:v>
                </c:pt>
                <c:pt idx="57">
                  <c:v>1.4319999999999999E-2</c:v>
                </c:pt>
                <c:pt idx="58">
                  <c:v>0.15445</c:v>
                </c:pt>
                <c:pt idx="59">
                  <c:v>0.10328</c:v>
                </c:pt>
                <c:pt idx="60">
                  <c:v>0.14932000000000001</c:v>
                </c:pt>
                <c:pt idx="61">
                  <c:v>0.17171</c:v>
                </c:pt>
                <c:pt idx="62">
                  <c:v>0.11027000000000001</c:v>
                </c:pt>
                <c:pt idx="63">
                  <c:v>0.1265</c:v>
                </c:pt>
                <c:pt idx="64">
                  <c:v>1.951E-2</c:v>
                </c:pt>
                <c:pt idx="65">
                  <c:v>3.5839999999999997E-2</c:v>
                </c:pt>
                <c:pt idx="66">
                  <c:v>4.3790000000000003E-2</c:v>
                </c:pt>
                <c:pt idx="67">
                  <c:v>5.7889999999999997E-2</c:v>
                </c:pt>
                <c:pt idx="68">
                  <c:v>0.13553999999999999</c:v>
                </c:pt>
                <c:pt idx="69">
                  <c:v>0.12816</c:v>
                </c:pt>
                <c:pt idx="70">
                  <c:v>8.8260000000000005E-2</c:v>
                </c:pt>
                <c:pt idx="71">
                  <c:v>0.15876000000000001</c:v>
                </c:pt>
                <c:pt idx="72">
                  <c:v>9.1639999999999999E-2</c:v>
                </c:pt>
                <c:pt idx="73">
                  <c:v>0.19539000000000001</c:v>
                </c:pt>
                <c:pt idx="74">
                  <c:v>7.8960000000000002E-2</c:v>
                </c:pt>
                <c:pt idx="75">
                  <c:v>9.5119999999999996E-2</c:v>
                </c:pt>
                <c:pt idx="76">
                  <c:v>0.10153</c:v>
                </c:pt>
                <c:pt idx="77">
                  <c:v>8.7069999999999995E-2</c:v>
                </c:pt>
                <c:pt idx="78">
                  <c:v>5.6460000000000003E-2</c:v>
                </c:pt>
                <c:pt idx="79">
                  <c:v>8.387E-2</c:v>
                </c:pt>
                <c:pt idx="80">
                  <c:v>4.113E-2</c:v>
                </c:pt>
                <c:pt idx="81">
                  <c:v>4.462E-2</c:v>
                </c:pt>
                <c:pt idx="82">
                  <c:v>3.6589999999999998E-2</c:v>
                </c:pt>
                <c:pt idx="83">
                  <c:v>3.551E-2</c:v>
                </c:pt>
                <c:pt idx="84">
                  <c:v>5.0590000000000003E-2</c:v>
                </c:pt>
                <c:pt idx="85">
                  <c:v>5.7349999999999998E-2</c:v>
                </c:pt>
                <c:pt idx="86">
                  <c:v>5.1880000000000003E-2</c:v>
                </c:pt>
                <c:pt idx="87">
                  <c:v>7.1510000000000004E-2</c:v>
                </c:pt>
                <c:pt idx="88">
                  <c:v>5.6599999999999998E-2</c:v>
                </c:pt>
                <c:pt idx="89">
                  <c:v>5.3019999999999998E-2</c:v>
                </c:pt>
                <c:pt idx="90">
                  <c:v>4.684E-2</c:v>
                </c:pt>
                <c:pt idx="91">
                  <c:v>3.9320000000000001E-2</c:v>
                </c:pt>
                <c:pt idx="92">
                  <c:v>4.2029999999999998E-2</c:v>
                </c:pt>
                <c:pt idx="93">
                  <c:v>2.8750000000000001E-2</c:v>
                </c:pt>
                <c:pt idx="94">
                  <c:v>4.2939999999999999E-2</c:v>
                </c:pt>
                <c:pt idx="95">
                  <c:v>0.12204</c:v>
                </c:pt>
                <c:pt idx="96">
                  <c:v>0.11504</c:v>
                </c:pt>
                <c:pt idx="97">
                  <c:v>0.12083000000000001</c:v>
                </c:pt>
                <c:pt idx="98">
                  <c:v>8.1869999999999998E-2</c:v>
                </c:pt>
                <c:pt idx="99">
                  <c:v>6.8599999999999994E-2</c:v>
                </c:pt>
                <c:pt idx="100">
                  <c:v>0.14865999999999999</c:v>
                </c:pt>
                <c:pt idx="101">
                  <c:v>0.11432</c:v>
                </c:pt>
                <c:pt idx="102">
                  <c:v>0.22875999999999999</c:v>
                </c:pt>
                <c:pt idx="103">
                  <c:v>0.21160999999999999</c:v>
                </c:pt>
                <c:pt idx="104">
                  <c:v>0.1396</c:v>
                </c:pt>
                <c:pt idx="105">
                  <c:v>0.13261999999999999</c:v>
                </c:pt>
                <c:pt idx="106">
                  <c:v>0.17119999999999999</c:v>
                </c:pt>
                <c:pt idx="107">
                  <c:v>0.13117000000000001</c:v>
                </c:pt>
                <c:pt idx="108">
                  <c:v>0.12801999999999999</c:v>
                </c:pt>
                <c:pt idx="109">
                  <c:v>0.26362999999999998</c:v>
                </c:pt>
                <c:pt idx="110">
                  <c:v>0.10793</c:v>
                </c:pt>
                <c:pt idx="111">
                  <c:v>0.10084</c:v>
                </c:pt>
                <c:pt idx="112">
                  <c:v>0.12329</c:v>
                </c:pt>
                <c:pt idx="113">
                  <c:v>0.22212000000000001</c:v>
                </c:pt>
                <c:pt idx="114">
                  <c:v>0.14230999999999999</c:v>
                </c:pt>
                <c:pt idx="115">
                  <c:v>0.17133999999999999</c:v>
                </c:pt>
                <c:pt idx="116">
                  <c:v>0.13158</c:v>
                </c:pt>
                <c:pt idx="117">
                  <c:v>0.15098</c:v>
                </c:pt>
                <c:pt idx="118">
                  <c:v>0.13058</c:v>
                </c:pt>
                <c:pt idx="119">
                  <c:v>0.14476</c:v>
                </c:pt>
                <c:pt idx="120">
                  <c:v>6.8989999999999996E-2</c:v>
                </c:pt>
                <c:pt idx="121">
                  <c:v>7.1650000000000005E-2</c:v>
                </c:pt>
                <c:pt idx="122">
                  <c:v>9.2990000000000003E-2</c:v>
                </c:pt>
                <c:pt idx="123">
                  <c:v>0.15038000000000001</c:v>
                </c:pt>
                <c:pt idx="124">
                  <c:v>9.8489999999999994E-2</c:v>
                </c:pt>
                <c:pt idx="125">
                  <c:v>0.16902</c:v>
                </c:pt>
                <c:pt idx="126">
                  <c:v>0.38735000000000003</c:v>
                </c:pt>
                <c:pt idx="127">
                  <c:v>0.25914999999999999</c:v>
                </c:pt>
                <c:pt idx="128">
                  <c:v>0.32543</c:v>
                </c:pt>
                <c:pt idx="129">
                  <c:v>0.88124999999999998</c:v>
                </c:pt>
                <c:pt idx="130">
                  <c:v>0.34005999999999997</c:v>
                </c:pt>
                <c:pt idx="131">
                  <c:v>1.1929399999999999</c:v>
                </c:pt>
                <c:pt idx="132">
                  <c:v>0.59004999999999996</c:v>
                </c:pt>
                <c:pt idx="133">
                  <c:v>0.32982</c:v>
                </c:pt>
                <c:pt idx="134">
                  <c:v>0.97616999999999998</c:v>
                </c:pt>
                <c:pt idx="135">
                  <c:v>0.55778000000000005</c:v>
                </c:pt>
                <c:pt idx="136">
                  <c:v>0.32263999999999998</c:v>
                </c:pt>
                <c:pt idx="137">
                  <c:v>0.35232999999999998</c:v>
                </c:pt>
                <c:pt idx="138">
                  <c:v>0.24979999999999999</c:v>
                </c:pt>
                <c:pt idx="139">
                  <c:v>0.54452</c:v>
                </c:pt>
                <c:pt idx="140">
                  <c:v>0.29089999999999999</c:v>
                </c:pt>
                <c:pt idx="141">
                  <c:v>1.6286400000000001</c:v>
                </c:pt>
                <c:pt idx="142">
                  <c:v>3.3210500000000001</c:v>
                </c:pt>
                <c:pt idx="143">
                  <c:v>4.0974000000000004</c:v>
                </c:pt>
                <c:pt idx="144">
                  <c:v>2.7797399999999999</c:v>
                </c:pt>
                <c:pt idx="145">
                  <c:v>2.37934</c:v>
                </c:pt>
                <c:pt idx="146">
                  <c:v>2.1550500000000001</c:v>
                </c:pt>
                <c:pt idx="147">
                  <c:v>2.3686199999999999</c:v>
                </c:pt>
                <c:pt idx="148">
                  <c:v>2.3309899999999999</c:v>
                </c:pt>
                <c:pt idx="149">
                  <c:v>2.7339699999999998</c:v>
                </c:pt>
                <c:pt idx="150">
                  <c:v>1.6566000000000001</c:v>
                </c:pt>
                <c:pt idx="151">
                  <c:v>1.4963200000000001</c:v>
                </c:pt>
                <c:pt idx="152">
                  <c:v>1.1265799999999999</c:v>
                </c:pt>
                <c:pt idx="153">
                  <c:v>2.1491799999999999</c:v>
                </c:pt>
                <c:pt idx="154">
                  <c:v>1.4138500000000001</c:v>
                </c:pt>
                <c:pt idx="155">
                  <c:v>3.5350100000000002</c:v>
                </c:pt>
                <c:pt idx="156">
                  <c:v>2.4466800000000002</c:v>
                </c:pt>
                <c:pt idx="157">
                  <c:v>1.2235799999999999</c:v>
                </c:pt>
                <c:pt idx="158">
                  <c:v>1.34284</c:v>
                </c:pt>
                <c:pt idx="159">
                  <c:v>1.42502</c:v>
                </c:pt>
                <c:pt idx="160">
                  <c:v>1.27346</c:v>
                </c:pt>
                <c:pt idx="161">
                  <c:v>1.46336</c:v>
                </c:pt>
                <c:pt idx="162">
                  <c:v>1.8337699999999999</c:v>
                </c:pt>
                <c:pt idx="163">
                  <c:v>1.51902</c:v>
                </c:pt>
                <c:pt idx="164">
                  <c:v>2.2423600000000001</c:v>
                </c:pt>
                <c:pt idx="165">
                  <c:v>2.9239999999999999</c:v>
                </c:pt>
                <c:pt idx="166">
                  <c:v>2.0101900000000001</c:v>
                </c:pt>
                <c:pt idx="167">
                  <c:v>1.8002800000000001</c:v>
                </c:pt>
                <c:pt idx="168">
                  <c:v>2.3003999999999998</c:v>
                </c:pt>
                <c:pt idx="169">
                  <c:v>2.4495300000000002</c:v>
                </c:pt>
                <c:pt idx="170">
                  <c:v>1.2074199999999999</c:v>
                </c:pt>
                <c:pt idx="171">
                  <c:v>2.3138999999999998</c:v>
                </c:pt>
                <c:pt idx="172">
                  <c:v>0.13914000000000001</c:v>
                </c:pt>
                <c:pt idx="173">
                  <c:v>9.178E-2</c:v>
                </c:pt>
                <c:pt idx="174">
                  <c:v>8.4470000000000003E-2</c:v>
                </c:pt>
                <c:pt idx="175">
                  <c:v>6.6640000000000005E-2</c:v>
                </c:pt>
                <c:pt idx="176">
                  <c:v>7.0220000000000005E-2</c:v>
                </c:pt>
                <c:pt idx="177">
                  <c:v>5.425E-2</c:v>
                </c:pt>
                <c:pt idx="178">
                  <c:v>6.6420000000000007E-2</c:v>
                </c:pt>
                <c:pt idx="179">
                  <c:v>5.7799999999999997E-2</c:v>
                </c:pt>
                <c:pt idx="180">
                  <c:v>6.5879999999999994E-2</c:v>
                </c:pt>
                <c:pt idx="181">
                  <c:v>6.8879999999999997E-2</c:v>
                </c:pt>
                <c:pt idx="182">
                  <c:v>9.103E-2</c:v>
                </c:pt>
                <c:pt idx="183">
                  <c:v>0.10008</c:v>
                </c:pt>
                <c:pt idx="184">
                  <c:v>8.3080000000000001E-2</c:v>
                </c:pt>
                <c:pt idx="185">
                  <c:v>6.0470000000000003E-2</c:v>
                </c:pt>
                <c:pt idx="186">
                  <c:v>5.602E-2</c:v>
                </c:pt>
                <c:pt idx="187">
                  <c:v>7.8750000000000001E-2</c:v>
                </c:pt>
                <c:pt idx="188">
                  <c:v>0.12579000000000001</c:v>
                </c:pt>
                <c:pt idx="189">
                  <c:v>8.3699999999999997E-2</c:v>
                </c:pt>
                <c:pt idx="190">
                  <c:v>9.0679999999999997E-2</c:v>
                </c:pt>
                <c:pt idx="191">
                  <c:v>6.9110000000000005E-2</c:v>
                </c:pt>
                <c:pt idx="192">
                  <c:v>8.6639999999999995E-2</c:v>
                </c:pt>
                <c:pt idx="193">
                  <c:v>2.1870000000000001E-2</c:v>
                </c:pt>
                <c:pt idx="194">
                  <c:v>1.439E-2</c:v>
                </c:pt>
                <c:pt idx="195">
                  <c:v>1.3809999999999999E-2</c:v>
                </c:pt>
                <c:pt idx="196">
                  <c:v>4.011E-2</c:v>
                </c:pt>
                <c:pt idx="197">
                  <c:v>4.666E-2</c:v>
                </c:pt>
                <c:pt idx="198">
                  <c:v>3.7679999999999998E-2</c:v>
                </c:pt>
                <c:pt idx="199">
                  <c:v>3.15E-2</c:v>
                </c:pt>
                <c:pt idx="200">
                  <c:v>1.7780000000000001E-2</c:v>
                </c:pt>
                <c:pt idx="201">
                  <c:v>3.4450000000000001E-2</c:v>
                </c:pt>
                <c:pt idx="202">
                  <c:v>2.1770000000000001E-2</c:v>
                </c:pt>
                <c:pt idx="203">
                  <c:v>3.5099999999999999E-2</c:v>
                </c:pt>
                <c:pt idx="204">
                  <c:v>2.009E-2</c:v>
                </c:pt>
                <c:pt idx="205">
                  <c:v>0.13642000000000001</c:v>
                </c:pt>
                <c:pt idx="206">
                  <c:v>0.22969000000000001</c:v>
                </c:pt>
                <c:pt idx="207">
                  <c:v>0.25198999999999999</c:v>
                </c:pt>
                <c:pt idx="208">
                  <c:v>0.13586999999999999</c:v>
                </c:pt>
                <c:pt idx="209">
                  <c:v>0.43570999999999999</c:v>
                </c:pt>
                <c:pt idx="210">
                  <c:v>0.17446</c:v>
                </c:pt>
                <c:pt idx="211">
                  <c:v>0.37578</c:v>
                </c:pt>
                <c:pt idx="212">
                  <c:v>0.21718999999999999</c:v>
                </c:pt>
                <c:pt idx="213">
                  <c:v>0.14052000000000001</c:v>
                </c:pt>
                <c:pt idx="214">
                  <c:v>0.28954999999999997</c:v>
                </c:pt>
                <c:pt idx="215">
                  <c:v>0.19802</c:v>
                </c:pt>
                <c:pt idx="216">
                  <c:v>4.5600000000000002E-2</c:v>
                </c:pt>
                <c:pt idx="217">
                  <c:v>7.0129999999999998E-2</c:v>
                </c:pt>
                <c:pt idx="218">
                  <c:v>0.11069</c:v>
                </c:pt>
                <c:pt idx="219">
                  <c:v>0.11425</c:v>
                </c:pt>
                <c:pt idx="220">
                  <c:v>0.35809000000000002</c:v>
                </c:pt>
                <c:pt idx="221">
                  <c:v>0.40771000000000002</c:v>
                </c:pt>
                <c:pt idx="222">
                  <c:v>0.62356</c:v>
                </c:pt>
                <c:pt idx="223">
                  <c:v>0.61470000000000002</c:v>
                </c:pt>
                <c:pt idx="224">
                  <c:v>0.31533</c:v>
                </c:pt>
                <c:pt idx="225">
                  <c:v>0.52693000000000001</c:v>
                </c:pt>
                <c:pt idx="226">
                  <c:v>0.38213999999999998</c:v>
                </c:pt>
                <c:pt idx="227">
                  <c:v>0.41238000000000002</c:v>
                </c:pt>
                <c:pt idx="228">
                  <c:v>0.29819000000000001</c:v>
                </c:pt>
                <c:pt idx="229">
                  <c:v>0.44178000000000001</c:v>
                </c:pt>
                <c:pt idx="230">
                  <c:v>0.53700000000000003</c:v>
                </c:pt>
                <c:pt idx="231">
                  <c:v>0.46295999999999998</c:v>
                </c:pt>
                <c:pt idx="232">
                  <c:v>0.57528999999999997</c:v>
                </c:pt>
                <c:pt idx="233">
                  <c:v>0.33146999999999999</c:v>
                </c:pt>
                <c:pt idx="234">
                  <c:v>0.44790999999999997</c:v>
                </c:pt>
                <c:pt idx="235">
                  <c:v>0.33045000000000002</c:v>
                </c:pt>
                <c:pt idx="236">
                  <c:v>0.52058000000000004</c:v>
                </c:pt>
                <c:pt idx="237">
                  <c:v>0.51183000000000001</c:v>
                </c:pt>
                <c:pt idx="238">
                  <c:v>8.2439999999999999E-2</c:v>
                </c:pt>
                <c:pt idx="239">
                  <c:v>9.2520000000000005E-2</c:v>
                </c:pt>
                <c:pt idx="240">
                  <c:v>0.11329</c:v>
                </c:pt>
                <c:pt idx="241">
                  <c:v>0.10612000000000001</c:v>
                </c:pt>
                <c:pt idx="242">
                  <c:v>0.10290000000000001</c:v>
                </c:pt>
                <c:pt idx="243">
                  <c:v>0.12756999999999999</c:v>
                </c:pt>
                <c:pt idx="244">
                  <c:v>0.20608000000000001</c:v>
                </c:pt>
                <c:pt idx="245">
                  <c:v>0.19133</c:v>
                </c:pt>
                <c:pt idx="246">
                  <c:v>0.33983000000000002</c:v>
                </c:pt>
                <c:pt idx="247">
                  <c:v>0.19656999999999999</c:v>
                </c:pt>
                <c:pt idx="248">
                  <c:v>0.16439000000000001</c:v>
                </c:pt>
                <c:pt idx="249">
                  <c:v>0.19073000000000001</c:v>
                </c:pt>
                <c:pt idx="250">
                  <c:v>0.14030000000000001</c:v>
                </c:pt>
                <c:pt idx="251">
                  <c:v>0.21409</c:v>
                </c:pt>
                <c:pt idx="252">
                  <c:v>8.2210000000000005E-2</c:v>
                </c:pt>
                <c:pt idx="253">
                  <c:v>0.36893999999999999</c:v>
                </c:pt>
                <c:pt idx="254">
                  <c:v>4.8189999999999997E-2</c:v>
                </c:pt>
                <c:pt idx="255">
                  <c:v>3.5479999999999998E-2</c:v>
                </c:pt>
                <c:pt idx="256">
                  <c:v>1.538E-2</c:v>
                </c:pt>
                <c:pt idx="257">
                  <c:v>0.61153999999999997</c:v>
                </c:pt>
                <c:pt idx="258">
                  <c:v>0.66351000000000004</c:v>
                </c:pt>
                <c:pt idx="259">
                  <c:v>0.65664999999999996</c:v>
                </c:pt>
                <c:pt idx="260">
                  <c:v>0.54010999999999998</c:v>
                </c:pt>
                <c:pt idx="261">
                  <c:v>0.53412000000000004</c:v>
                </c:pt>
                <c:pt idx="262">
                  <c:v>0.52014000000000005</c:v>
                </c:pt>
                <c:pt idx="263">
                  <c:v>0.82525999999999999</c:v>
                </c:pt>
                <c:pt idx="264">
                  <c:v>0.55006999999999995</c:v>
                </c:pt>
                <c:pt idx="265">
                  <c:v>0.76161999999999996</c:v>
                </c:pt>
                <c:pt idx="266">
                  <c:v>0.78569999999999995</c:v>
                </c:pt>
                <c:pt idx="267">
                  <c:v>0.57833999999999997</c:v>
                </c:pt>
                <c:pt idx="268">
                  <c:v>0.54049999999999998</c:v>
                </c:pt>
                <c:pt idx="269">
                  <c:v>9.0649999999999994E-2</c:v>
                </c:pt>
                <c:pt idx="270">
                  <c:v>0.29915999999999998</c:v>
                </c:pt>
                <c:pt idx="271">
                  <c:v>0.16211</c:v>
                </c:pt>
                <c:pt idx="272">
                  <c:v>0.11459999999999999</c:v>
                </c:pt>
                <c:pt idx="273">
                  <c:v>0.22187999999999999</c:v>
                </c:pt>
                <c:pt idx="274">
                  <c:v>5.6439999999999997E-2</c:v>
                </c:pt>
                <c:pt idx="275">
                  <c:v>9.604E-2</c:v>
                </c:pt>
                <c:pt idx="276">
                  <c:v>0.10469000000000001</c:v>
                </c:pt>
                <c:pt idx="277">
                  <c:v>6.1269999999999998E-2</c:v>
                </c:pt>
                <c:pt idx="278">
                  <c:v>7.9780000000000004E-2</c:v>
                </c:pt>
                <c:pt idx="279">
                  <c:v>0.21038000000000001</c:v>
                </c:pt>
                <c:pt idx="280">
                  <c:v>3.5779999999999999E-2</c:v>
                </c:pt>
                <c:pt idx="281">
                  <c:v>3.705E-2</c:v>
                </c:pt>
                <c:pt idx="282">
                  <c:v>6.1289999999999997E-2</c:v>
                </c:pt>
                <c:pt idx="283">
                  <c:v>1.5010000000000001E-2</c:v>
                </c:pt>
                <c:pt idx="284">
                  <c:v>9.0600000000000003E-3</c:v>
                </c:pt>
                <c:pt idx="285">
                  <c:v>1.0959999999999999E-2</c:v>
                </c:pt>
                <c:pt idx="286">
                  <c:v>1.9650000000000001E-2</c:v>
                </c:pt>
                <c:pt idx="287">
                  <c:v>3.8710000000000001E-2</c:v>
                </c:pt>
                <c:pt idx="288">
                  <c:v>4.5900000000000003E-2</c:v>
                </c:pt>
                <c:pt idx="289">
                  <c:v>4.2970000000000001E-2</c:v>
                </c:pt>
                <c:pt idx="290">
                  <c:v>3.5020000000000003E-2</c:v>
                </c:pt>
                <c:pt idx="291">
                  <c:v>7.886E-2</c:v>
                </c:pt>
                <c:pt idx="292">
                  <c:v>3.6150000000000002E-2</c:v>
                </c:pt>
                <c:pt idx="293">
                  <c:v>8.2650000000000001E-2</c:v>
                </c:pt>
                <c:pt idx="294">
                  <c:v>8.1989999999999993E-2</c:v>
                </c:pt>
                <c:pt idx="295">
                  <c:v>0.12931999999999999</c:v>
                </c:pt>
                <c:pt idx="296">
                  <c:v>5.3719999999999997E-2</c:v>
                </c:pt>
                <c:pt idx="297">
                  <c:v>0.14102999999999999</c:v>
                </c:pt>
                <c:pt idx="298">
                  <c:v>6.4659999999999995E-2</c:v>
                </c:pt>
                <c:pt idx="299">
                  <c:v>5.561E-2</c:v>
                </c:pt>
                <c:pt idx="300">
                  <c:v>4.4170000000000001E-2</c:v>
                </c:pt>
                <c:pt idx="301">
                  <c:v>3.5369999999999999E-2</c:v>
                </c:pt>
                <c:pt idx="302">
                  <c:v>9.2660000000000006E-2</c:v>
                </c:pt>
                <c:pt idx="303">
                  <c:v>0.1</c:v>
                </c:pt>
                <c:pt idx="304">
                  <c:v>5.5149999999999998E-2</c:v>
                </c:pt>
                <c:pt idx="305">
                  <c:v>5.4789999999999998E-2</c:v>
                </c:pt>
                <c:pt idx="306">
                  <c:v>7.5029999999999999E-2</c:v>
                </c:pt>
                <c:pt idx="307">
                  <c:v>4.9320000000000003E-2</c:v>
                </c:pt>
                <c:pt idx="308">
                  <c:v>0.49297999999999997</c:v>
                </c:pt>
                <c:pt idx="309">
                  <c:v>0.34939999999999999</c:v>
                </c:pt>
                <c:pt idx="310">
                  <c:v>2.6354799999999998</c:v>
                </c:pt>
                <c:pt idx="311">
                  <c:v>0.79040999999999995</c:v>
                </c:pt>
                <c:pt idx="312">
                  <c:v>0.26168999999999998</c:v>
                </c:pt>
                <c:pt idx="313">
                  <c:v>0.26938000000000001</c:v>
                </c:pt>
                <c:pt idx="314">
                  <c:v>0.36919999999999997</c:v>
                </c:pt>
                <c:pt idx="315">
                  <c:v>0.25356000000000001</c:v>
                </c:pt>
                <c:pt idx="316">
                  <c:v>0.31827</c:v>
                </c:pt>
                <c:pt idx="317">
                  <c:v>0.24521999999999999</c:v>
                </c:pt>
                <c:pt idx="318">
                  <c:v>0.40201999999999999</c:v>
                </c:pt>
                <c:pt idx="319">
                  <c:v>0.47547</c:v>
                </c:pt>
                <c:pt idx="320">
                  <c:v>0.1676</c:v>
                </c:pt>
                <c:pt idx="321">
                  <c:v>0.18159</c:v>
                </c:pt>
                <c:pt idx="322">
                  <c:v>0.35114000000000001</c:v>
                </c:pt>
                <c:pt idx="323">
                  <c:v>0.28392000000000001</c:v>
                </c:pt>
                <c:pt idx="324">
                  <c:v>0.34109</c:v>
                </c:pt>
                <c:pt idx="325">
                  <c:v>0.19186</c:v>
                </c:pt>
                <c:pt idx="326">
                  <c:v>0.30347000000000002</c:v>
                </c:pt>
                <c:pt idx="327">
                  <c:v>0.24102999999999999</c:v>
                </c:pt>
                <c:pt idx="328">
                  <c:v>6.6170000000000007E-2</c:v>
                </c:pt>
                <c:pt idx="329">
                  <c:v>6.7239999999999994E-2</c:v>
                </c:pt>
                <c:pt idx="330">
                  <c:v>4.5440000000000001E-2</c:v>
                </c:pt>
                <c:pt idx="331">
                  <c:v>5.0229999999999997E-2</c:v>
                </c:pt>
                <c:pt idx="332">
                  <c:v>3.4660000000000003E-2</c:v>
                </c:pt>
                <c:pt idx="333">
                  <c:v>5.083E-2</c:v>
                </c:pt>
                <c:pt idx="334">
                  <c:v>3.7379999999999997E-2</c:v>
                </c:pt>
                <c:pt idx="335">
                  <c:v>3.9609999999999999E-2</c:v>
                </c:pt>
                <c:pt idx="336">
                  <c:v>3.4270000000000002E-2</c:v>
                </c:pt>
                <c:pt idx="337">
                  <c:v>3.041E-2</c:v>
                </c:pt>
                <c:pt idx="338">
                  <c:v>3.3059999999999999E-2</c:v>
                </c:pt>
                <c:pt idx="339">
                  <c:v>5.4969999999999998E-2</c:v>
                </c:pt>
                <c:pt idx="340">
                  <c:v>6.1510000000000002E-2</c:v>
                </c:pt>
                <c:pt idx="341">
                  <c:v>1.3010000000000001E-2</c:v>
                </c:pt>
                <c:pt idx="342">
                  <c:v>2.4979999999999999E-2</c:v>
                </c:pt>
                <c:pt idx="343">
                  <c:v>2.5430000000000001E-2</c:v>
                </c:pt>
                <c:pt idx="344">
                  <c:v>3.049E-2</c:v>
                </c:pt>
                <c:pt idx="345">
                  <c:v>3.1130000000000001E-2</c:v>
                </c:pt>
                <c:pt idx="346">
                  <c:v>6.1620000000000001E-2</c:v>
                </c:pt>
                <c:pt idx="347">
                  <c:v>1.8700000000000001E-2</c:v>
                </c:pt>
                <c:pt idx="348">
                  <c:v>1.5010000000000001E-2</c:v>
                </c:pt>
                <c:pt idx="349">
                  <c:v>2.8989999999999998E-2</c:v>
                </c:pt>
                <c:pt idx="350">
                  <c:v>6.2109999999999999E-2</c:v>
                </c:pt>
                <c:pt idx="351">
                  <c:v>7.9500000000000001E-2</c:v>
                </c:pt>
                <c:pt idx="352">
                  <c:v>7.2440000000000004E-2</c:v>
                </c:pt>
                <c:pt idx="353">
                  <c:v>1.7090000000000001E-2</c:v>
                </c:pt>
                <c:pt idx="354">
                  <c:v>4.301E-2</c:v>
                </c:pt>
                <c:pt idx="355">
                  <c:v>0.10659</c:v>
                </c:pt>
                <c:pt idx="356">
                  <c:v>8.9829600000000003</c:v>
                </c:pt>
                <c:pt idx="357">
                  <c:v>3.8496999999999999</c:v>
                </c:pt>
                <c:pt idx="358">
                  <c:v>5.2017699999999998</c:v>
                </c:pt>
                <c:pt idx="359">
                  <c:v>4.2613099999999999</c:v>
                </c:pt>
                <c:pt idx="360">
                  <c:v>4.5419200000000002</c:v>
                </c:pt>
                <c:pt idx="361">
                  <c:v>3.83684</c:v>
                </c:pt>
                <c:pt idx="362">
                  <c:v>3.67822</c:v>
                </c:pt>
                <c:pt idx="363">
                  <c:v>4.2223899999999999</c:v>
                </c:pt>
                <c:pt idx="364">
                  <c:v>3.4742799999999998</c:v>
                </c:pt>
                <c:pt idx="365">
                  <c:v>4.5558699999999996</c:v>
                </c:pt>
                <c:pt idx="366">
                  <c:v>3.6969500000000002</c:v>
                </c:pt>
                <c:pt idx="367">
                  <c:v>13.5222</c:v>
                </c:pt>
                <c:pt idx="368">
                  <c:v>4.8982200000000002</c:v>
                </c:pt>
                <c:pt idx="369">
                  <c:v>5.6699799999999998</c:v>
                </c:pt>
                <c:pt idx="370">
                  <c:v>6.5387599999999999</c:v>
                </c:pt>
                <c:pt idx="371">
                  <c:v>9.2323000000000004</c:v>
                </c:pt>
                <c:pt idx="372">
                  <c:v>8.2672500000000007</c:v>
                </c:pt>
                <c:pt idx="373">
                  <c:v>11.1081</c:v>
                </c:pt>
                <c:pt idx="374">
                  <c:v>18.498200000000001</c:v>
                </c:pt>
                <c:pt idx="375">
                  <c:v>19.609100000000002</c:v>
                </c:pt>
                <c:pt idx="376">
                  <c:v>15.288</c:v>
                </c:pt>
                <c:pt idx="377">
                  <c:v>9.8234899999999996</c:v>
                </c:pt>
                <c:pt idx="378">
                  <c:v>23.648199999999999</c:v>
                </c:pt>
                <c:pt idx="379">
                  <c:v>17.866700000000002</c:v>
                </c:pt>
                <c:pt idx="380">
                  <c:v>88.976200000000006</c:v>
                </c:pt>
                <c:pt idx="381">
                  <c:v>15.8744</c:v>
                </c:pt>
                <c:pt idx="382">
                  <c:v>9.1870200000000004</c:v>
                </c:pt>
                <c:pt idx="383">
                  <c:v>7.9924799999999996</c:v>
                </c:pt>
                <c:pt idx="384">
                  <c:v>20.084900000000001</c:v>
                </c:pt>
                <c:pt idx="385">
                  <c:v>16.811800000000002</c:v>
                </c:pt>
                <c:pt idx="386">
                  <c:v>24.393799999999999</c:v>
                </c:pt>
                <c:pt idx="387">
                  <c:v>22.597100000000001</c:v>
                </c:pt>
                <c:pt idx="388">
                  <c:v>14.3337</c:v>
                </c:pt>
                <c:pt idx="389">
                  <c:v>8.1517400000000002</c:v>
                </c:pt>
                <c:pt idx="390">
                  <c:v>6.9621500000000003</c:v>
                </c:pt>
                <c:pt idx="391">
                  <c:v>5.29305</c:v>
                </c:pt>
                <c:pt idx="392">
                  <c:v>11.5779</c:v>
                </c:pt>
                <c:pt idx="393">
                  <c:v>8.6447599999999998</c:v>
                </c:pt>
                <c:pt idx="394">
                  <c:v>13.3598</c:v>
                </c:pt>
                <c:pt idx="395">
                  <c:v>8.7167499999999993</c:v>
                </c:pt>
                <c:pt idx="396">
                  <c:v>5.8720499999999998</c:v>
                </c:pt>
                <c:pt idx="397">
                  <c:v>7.6720199999999998</c:v>
                </c:pt>
                <c:pt idx="398">
                  <c:v>38.351799999999997</c:v>
                </c:pt>
                <c:pt idx="399">
                  <c:v>9.9165500000000009</c:v>
                </c:pt>
                <c:pt idx="400">
                  <c:v>25.046099999999999</c:v>
                </c:pt>
                <c:pt idx="401">
                  <c:v>14.2362</c:v>
                </c:pt>
                <c:pt idx="402">
                  <c:v>9.5957100000000004</c:v>
                </c:pt>
                <c:pt idx="403">
                  <c:v>24.8017</c:v>
                </c:pt>
                <c:pt idx="404">
                  <c:v>41.529200000000003</c:v>
                </c:pt>
                <c:pt idx="405">
                  <c:v>67.9208</c:v>
                </c:pt>
                <c:pt idx="406">
                  <c:v>20.716200000000001</c:v>
                </c:pt>
                <c:pt idx="407">
                  <c:v>11.9511</c:v>
                </c:pt>
                <c:pt idx="408">
                  <c:v>7.4038899999999996</c:v>
                </c:pt>
                <c:pt idx="409">
                  <c:v>14.4383</c:v>
                </c:pt>
                <c:pt idx="410">
                  <c:v>51.135800000000003</c:v>
                </c:pt>
                <c:pt idx="411">
                  <c:v>14.050700000000001</c:v>
                </c:pt>
                <c:pt idx="412">
                  <c:v>18.811</c:v>
                </c:pt>
                <c:pt idx="413">
                  <c:v>28.655799999999999</c:v>
                </c:pt>
                <c:pt idx="414">
                  <c:v>45.746099999999998</c:v>
                </c:pt>
                <c:pt idx="415">
                  <c:v>18.084599999999998</c:v>
                </c:pt>
                <c:pt idx="416">
                  <c:v>10.834199999999999</c:v>
                </c:pt>
                <c:pt idx="417">
                  <c:v>25.9406</c:v>
                </c:pt>
                <c:pt idx="418">
                  <c:v>73.534099999999995</c:v>
                </c:pt>
                <c:pt idx="419">
                  <c:v>11.8123</c:v>
                </c:pt>
                <c:pt idx="420">
                  <c:v>11.087400000000001</c:v>
                </c:pt>
                <c:pt idx="421">
                  <c:v>7.0225900000000001</c:v>
                </c:pt>
                <c:pt idx="422">
                  <c:v>12.0482</c:v>
                </c:pt>
                <c:pt idx="423">
                  <c:v>7.0504199999999999</c:v>
                </c:pt>
                <c:pt idx="424">
                  <c:v>8.7921200000000006</c:v>
                </c:pt>
                <c:pt idx="425">
                  <c:v>15.860300000000001</c:v>
                </c:pt>
                <c:pt idx="426">
                  <c:v>12.247199999999999</c:v>
                </c:pt>
                <c:pt idx="427">
                  <c:v>37.661900000000003</c:v>
                </c:pt>
                <c:pt idx="428">
                  <c:v>7.3671100000000003</c:v>
                </c:pt>
                <c:pt idx="429">
                  <c:v>9.3388899999999992</c:v>
                </c:pt>
                <c:pt idx="430">
                  <c:v>8.4921299999999995</c:v>
                </c:pt>
                <c:pt idx="431">
                  <c:v>10.0623</c:v>
                </c:pt>
                <c:pt idx="432">
                  <c:v>6.4440499999999998</c:v>
                </c:pt>
                <c:pt idx="433">
                  <c:v>5.5810700000000004</c:v>
                </c:pt>
                <c:pt idx="434">
                  <c:v>13.913399999999999</c:v>
                </c:pt>
                <c:pt idx="435">
                  <c:v>11.160399999999999</c:v>
                </c:pt>
                <c:pt idx="436">
                  <c:v>14.4208</c:v>
                </c:pt>
                <c:pt idx="437">
                  <c:v>15.177199999999999</c:v>
                </c:pt>
                <c:pt idx="438">
                  <c:v>13.678100000000001</c:v>
                </c:pt>
                <c:pt idx="439">
                  <c:v>9.3906299999999998</c:v>
                </c:pt>
                <c:pt idx="440">
                  <c:v>22.051100000000002</c:v>
                </c:pt>
                <c:pt idx="441">
                  <c:v>9.7241800000000005</c:v>
                </c:pt>
                <c:pt idx="442">
                  <c:v>5.6663699999999997</c:v>
                </c:pt>
                <c:pt idx="443">
                  <c:v>9.9665400000000002</c:v>
                </c:pt>
                <c:pt idx="444">
                  <c:v>12.802300000000001</c:v>
                </c:pt>
                <c:pt idx="445">
                  <c:v>10.671799999999999</c:v>
                </c:pt>
                <c:pt idx="446">
                  <c:v>6.2880700000000003</c:v>
                </c:pt>
                <c:pt idx="447">
                  <c:v>9.9248499999999993</c:v>
                </c:pt>
                <c:pt idx="448">
                  <c:v>9.3290900000000008</c:v>
                </c:pt>
                <c:pt idx="449">
                  <c:v>7.5260100000000003</c:v>
                </c:pt>
                <c:pt idx="450">
                  <c:v>6.7177199999999999</c:v>
                </c:pt>
                <c:pt idx="451">
                  <c:v>5.4411399999999999</c:v>
                </c:pt>
                <c:pt idx="452">
                  <c:v>5.0901699999999996</c:v>
                </c:pt>
                <c:pt idx="453">
                  <c:v>8.2480899999999995</c:v>
                </c:pt>
                <c:pt idx="454">
                  <c:v>9.5136299999999991</c:v>
                </c:pt>
                <c:pt idx="455">
                  <c:v>4.75237</c:v>
                </c:pt>
                <c:pt idx="456">
                  <c:v>4.6688299999999998</c:v>
                </c:pt>
                <c:pt idx="457">
                  <c:v>8.2005800000000004</c:v>
                </c:pt>
                <c:pt idx="458">
                  <c:v>7.75223</c:v>
                </c:pt>
                <c:pt idx="459">
                  <c:v>6.8011699999999999</c:v>
                </c:pt>
                <c:pt idx="460">
                  <c:v>4.8121299999999998</c:v>
                </c:pt>
                <c:pt idx="461">
                  <c:v>3.6931099999999999</c:v>
                </c:pt>
                <c:pt idx="462">
                  <c:v>6.6549199999999997</c:v>
                </c:pt>
                <c:pt idx="463">
                  <c:v>5.8211500000000003</c:v>
                </c:pt>
                <c:pt idx="464">
                  <c:v>7.8393199999999998</c:v>
                </c:pt>
                <c:pt idx="465">
                  <c:v>3.1636000000000002</c:v>
                </c:pt>
                <c:pt idx="466">
                  <c:v>3.7749799999999998</c:v>
                </c:pt>
                <c:pt idx="467">
                  <c:v>4.4222799999999998</c:v>
                </c:pt>
                <c:pt idx="468">
                  <c:v>15.575699999999999</c:v>
                </c:pt>
                <c:pt idx="469">
                  <c:v>13.075100000000001</c:v>
                </c:pt>
                <c:pt idx="470">
                  <c:v>4.3487900000000002</c:v>
                </c:pt>
                <c:pt idx="471">
                  <c:v>4.0384099999999998</c:v>
                </c:pt>
                <c:pt idx="472">
                  <c:v>3.5686800000000001</c:v>
                </c:pt>
                <c:pt idx="473">
                  <c:v>4.64689</c:v>
                </c:pt>
                <c:pt idx="474">
                  <c:v>8.05579</c:v>
                </c:pt>
                <c:pt idx="475">
                  <c:v>6.3931199999999997</c:v>
                </c:pt>
                <c:pt idx="476">
                  <c:v>4.87141</c:v>
                </c:pt>
                <c:pt idx="477">
                  <c:v>15.023400000000001</c:v>
                </c:pt>
                <c:pt idx="478">
                  <c:v>10.233000000000001</c:v>
                </c:pt>
                <c:pt idx="479">
                  <c:v>14.3337</c:v>
                </c:pt>
                <c:pt idx="480">
                  <c:v>5.8240100000000004</c:v>
                </c:pt>
                <c:pt idx="481">
                  <c:v>5.7081799999999996</c:v>
                </c:pt>
                <c:pt idx="482">
                  <c:v>5.73116</c:v>
                </c:pt>
                <c:pt idx="483">
                  <c:v>2.8183799999999999</c:v>
                </c:pt>
                <c:pt idx="484">
                  <c:v>2.3785699999999999</c:v>
                </c:pt>
                <c:pt idx="485">
                  <c:v>3.67367</c:v>
                </c:pt>
                <c:pt idx="486">
                  <c:v>5.6917499999999999</c:v>
                </c:pt>
                <c:pt idx="487">
                  <c:v>4.8356700000000004</c:v>
                </c:pt>
                <c:pt idx="488">
                  <c:v>0.15085999999999999</c:v>
                </c:pt>
                <c:pt idx="489">
                  <c:v>0.18337000000000001</c:v>
                </c:pt>
                <c:pt idx="490">
                  <c:v>0.20746000000000001</c:v>
                </c:pt>
                <c:pt idx="491">
                  <c:v>0.10574</c:v>
                </c:pt>
                <c:pt idx="492">
                  <c:v>0.11132</c:v>
                </c:pt>
                <c:pt idx="493">
                  <c:v>0.17330999999999999</c:v>
                </c:pt>
                <c:pt idx="494">
                  <c:v>0.27956999999999999</c:v>
                </c:pt>
                <c:pt idx="495">
                  <c:v>0.17899000000000001</c:v>
                </c:pt>
                <c:pt idx="496">
                  <c:v>0.28960000000000002</c:v>
                </c:pt>
                <c:pt idx="497">
                  <c:v>0.26838000000000001</c:v>
                </c:pt>
                <c:pt idx="498">
                  <c:v>0.23912</c:v>
                </c:pt>
                <c:pt idx="499">
                  <c:v>0.17782999999999999</c:v>
                </c:pt>
                <c:pt idx="500">
                  <c:v>0.22438</c:v>
                </c:pt>
                <c:pt idx="501">
                  <c:v>6.2630000000000005E-2</c:v>
                </c:pt>
                <c:pt idx="502">
                  <c:v>4.5269999999999998E-2</c:v>
                </c:pt>
                <c:pt idx="503">
                  <c:v>6.0760000000000002E-2</c:v>
                </c:pt>
                <c:pt idx="504">
                  <c:v>0.10959000000000001</c:v>
                </c:pt>
                <c:pt idx="505">
                  <c:v>4.7410000000000001E-2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224256"/>
        <c:axId val="703370304"/>
      </c:lineChart>
      <c:catAx>
        <c:axId val="704224256"/>
        <c:scaling>
          <c:orientation val="minMax"/>
        </c:scaling>
        <c:delete val="0"/>
        <c:axPos val="b"/>
        <c:majorTickMark val="out"/>
        <c:minorTickMark val="none"/>
        <c:tickLblPos val="nextTo"/>
        <c:crossAx val="703370304"/>
        <c:crosses val="autoZero"/>
        <c:auto val="1"/>
        <c:lblAlgn val="ctr"/>
        <c:lblOffset val="100"/>
        <c:noMultiLvlLbl val="0"/>
      </c:catAx>
      <c:valAx>
        <c:axId val="7033703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7042242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보스턴주택가격!$B$2</c:f>
              <c:strCache>
                <c:ptCount val="1"/>
                <c:pt idx="0">
                  <c:v>거주지역비율</c:v>
                </c:pt>
              </c:strCache>
            </c:strRef>
          </c:tx>
          <c:val>
            <c:numRef>
              <c:f>보스턴주택가격!$B$3:$B$508</c:f>
              <c:numCache>
                <c:formatCode>General</c:formatCode>
                <c:ptCount val="506"/>
                <c:pt idx="0">
                  <c:v>18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12.5</c:v>
                </c:pt>
                <c:pt idx="7">
                  <c:v>12.5</c:v>
                </c:pt>
                <c:pt idx="8">
                  <c:v>12.5</c:v>
                </c:pt>
                <c:pt idx="9">
                  <c:v>12.5</c:v>
                </c:pt>
                <c:pt idx="10">
                  <c:v>12.5</c:v>
                </c:pt>
                <c:pt idx="11">
                  <c:v>12.5</c:v>
                </c:pt>
                <c:pt idx="12">
                  <c:v>12.5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75</c:v>
                </c:pt>
                <c:pt idx="40">
                  <c:v>75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21</c:v>
                </c:pt>
                <c:pt idx="51">
                  <c:v>21</c:v>
                </c:pt>
                <c:pt idx="52">
                  <c:v>21</c:v>
                </c:pt>
                <c:pt idx="53">
                  <c:v>21</c:v>
                </c:pt>
                <c:pt idx="54">
                  <c:v>75</c:v>
                </c:pt>
                <c:pt idx="55">
                  <c:v>90</c:v>
                </c:pt>
                <c:pt idx="56">
                  <c:v>85</c:v>
                </c:pt>
                <c:pt idx="57">
                  <c:v>100</c:v>
                </c:pt>
                <c:pt idx="58">
                  <c:v>25</c:v>
                </c:pt>
                <c:pt idx="59">
                  <c:v>25</c:v>
                </c:pt>
                <c:pt idx="60">
                  <c:v>25</c:v>
                </c:pt>
                <c:pt idx="61">
                  <c:v>25</c:v>
                </c:pt>
                <c:pt idx="62">
                  <c:v>25</c:v>
                </c:pt>
                <c:pt idx="63">
                  <c:v>25</c:v>
                </c:pt>
                <c:pt idx="64">
                  <c:v>17.5</c:v>
                </c:pt>
                <c:pt idx="65">
                  <c:v>80</c:v>
                </c:pt>
                <c:pt idx="66">
                  <c:v>80</c:v>
                </c:pt>
                <c:pt idx="67">
                  <c:v>12.5</c:v>
                </c:pt>
                <c:pt idx="68">
                  <c:v>12.5</c:v>
                </c:pt>
                <c:pt idx="69">
                  <c:v>12.5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25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28</c:v>
                </c:pt>
                <c:pt idx="93">
                  <c:v>28</c:v>
                </c:pt>
                <c:pt idx="94">
                  <c:v>28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45</c:v>
                </c:pt>
                <c:pt idx="188">
                  <c:v>45</c:v>
                </c:pt>
                <c:pt idx="189">
                  <c:v>45</c:v>
                </c:pt>
                <c:pt idx="190">
                  <c:v>45</c:v>
                </c:pt>
                <c:pt idx="191">
                  <c:v>45</c:v>
                </c:pt>
                <c:pt idx="192">
                  <c:v>45</c:v>
                </c:pt>
                <c:pt idx="193">
                  <c:v>60</c:v>
                </c:pt>
                <c:pt idx="194">
                  <c:v>60</c:v>
                </c:pt>
                <c:pt idx="195">
                  <c:v>80</c:v>
                </c:pt>
                <c:pt idx="196">
                  <c:v>80</c:v>
                </c:pt>
                <c:pt idx="197">
                  <c:v>80</c:v>
                </c:pt>
                <c:pt idx="198">
                  <c:v>80</c:v>
                </c:pt>
                <c:pt idx="199">
                  <c:v>95</c:v>
                </c:pt>
                <c:pt idx="200">
                  <c:v>95</c:v>
                </c:pt>
                <c:pt idx="201">
                  <c:v>82.5</c:v>
                </c:pt>
                <c:pt idx="202">
                  <c:v>82.5</c:v>
                </c:pt>
                <c:pt idx="203">
                  <c:v>95</c:v>
                </c:pt>
                <c:pt idx="204">
                  <c:v>95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30</c:v>
                </c:pt>
                <c:pt idx="239">
                  <c:v>30</c:v>
                </c:pt>
                <c:pt idx="240">
                  <c:v>30</c:v>
                </c:pt>
                <c:pt idx="241">
                  <c:v>30</c:v>
                </c:pt>
                <c:pt idx="242">
                  <c:v>30</c:v>
                </c:pt>
                <c:pt idx="243">
                  <c:v>30</c:v>
                </c:pt>
                <c:pt idx="244">
                  <c:v>22</c:v>
                </c:pt>
                <c:pt idx="245">
                  <c:v>22</c:v>
                </c:pt>
                <c:pt idx="246">
                  <c:v>22</c:v>
                </c:pt>
                <c:pt idx="247">
                  <c:v>22</c:v>
                </c:pt>
                <c:pt idx="248">
                  <c:v>22</c:v>
                </c:pt>
                <c:pt idx="249">
                  <c:v>22</c:v>
                </c:pt>
                <c:pt idx="250">
                  <c:v>22</c:v>
                </c:pt>
                <c:pt idx="251">
                  <c:v>22</c:v>
                </c:pt>
                <c:pt idx="252">
                  <c:v>22</c:v>
                </c:pt>
                <c:pt idx="253">
                  <c:v>22</c:v>
                </c:pt>
                <c:pt idx="254">
                  <c:v>80</c:v>
                </c:pt>
                <c:pt idx="255">
                  <c:v>80</c:v>
                </c:pt>
                <c:pt idx="256">
                  <c:v>90</c:v>
                </c:pt>
                <c:pt idx="257">
                  <c:v>20</c:v>
                </c:pt>
                <c:pt idx="258">
                  <c:v>20</c:v>
                </c:pt>
                <c:pt idx="259">
                  <c:v>20</c:v>
                </c:pt>
                <c:pt idx="260">
                  <c:v>20</c:v>
                </c:pt>
                <c:pt idx="261">
                  <c:v>20</c:v>
                </c:pt>
                <c:pt idx="262">
                  <c:v>20</c:v>
                </c:pt>
                <c:pt idx="263">
                  <c:v>20</c:v>
                </c:pt>
                <c:pt idx="264">
                  <c:v>20</c:v>
                </c:pt>
                <c:pt idx="265">
                  <c:v>20</c:v>
                </c:pt>
                <c:pt idx="266">
                  <c:v>20</c:v>
                </c:pt>
                <c:pt idx="267">
                  <c:v>20</c:v>
                </c:pt>
                <c:pt idx="268">
                  <c:v>20</c:v>
                </c:pt>
                <c:pt idx="269">
                  <c:v>20</c:v>
                </c:pt>
                <c:pt idx="270">
                  <c:v>20</c:v>
                </c:pt>
                <c:pt idx="271">
                  <c:v>20</c:v>
                </c:pt>
                <c:pt idx="272">
                  <c:v>20</c:v>
                </c:pt>
                <c:pt idx="273">
                  <c:v>20</c:v>
                </c:pt>
                <c:pt idx="274">
                  <c:v>40</c:v>
                </c:pt>
                <c:pt idx="275">
                  <c:v>40</c:v>
                </c:pt>
                <c:pt idx="276">
                  <c:v>40</c:v>
                </c:pt>
                <c:pt idx="277">
                  <c:v>40</c:v>
                </c:pt>
                <c:pt idx="278">
                  <c:v>40</c:v>
                </c:pt>
                <c:pt idx="279">
                  <c:v>20</c:v>
                </c:pt>
                <c:pt idx="280">
                  <c:v>20</c:v>
                </c:pt>
                <c:pt idx="281">
                  <c:v>20</c:v>
                </c:pt>
                <c:pt idx="282">
                  <c:v>20</c:v>
                </c:pt>
                <c:pt idx="283">
                  <c:v>90</c:v>
                </c:pt>
                <c:pt idx="284">
                  <c:v>90</c:v>
                </c:pt>
                <c:pt idx="285">
                  <c:v>55</c:v>
                </c:pt>
                <c:pt idx="286">
                  <c:v>80</c:v>
                </c:pt>
                <c:pt idx="287">
                  <c:v>52.5</c:v>
                </c:pt>
                <c:pt idx="288">
                  <c:v>52.5</c:v>
                </c:pt>
                <c:pt idx="289">
                  <c:v>52.5</c:v>
                </c:pt>
                <c:pt idx="290">
                  <c:v>80</c:v>
                </c:pt>
                <c:pt idx="291">
                  <c:v>80</c:v>
                </c:pt>
                <c:pt idx="292">
                  <c:v>80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70</c:v>
                </c:pt>
                <c:pt idx="299">
                  <c:v>70</c:v>
                </c:pt>
                <c:pt idx="300">
                  <c:v>70</c:v>
                </c:pt>
                <c:pt idx="301">
                  <c:v>34</c:v>
                </c:pt>
                <c:pt idx="302">
                  <c:v>34</c:v>
                </c:pt>
                <c:pt idx="303">
                  <c:v>34</c:v>
                </c:pt>
                <c:pt idx="304">
                  <c:v>33</c:v>
                </c:pt>
                <c:pt idx="305">
                  <c:v>33</c:v>
                </c:pt>
                <c:pt idx="306">
                  <c:v>33</c:v>
                </c:pt>
                <c:pt idx="307">
                  <c:v>33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35</c:v>
                </c:pt>
                <c:pt idx="332">
                  <c:v>35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35</c:v>
                </c:pt>
                <c:pt idx="342">
                  <c:v>0</c:v>
                </c:pt>
                <c:pt idx="343">
                  <c:v>55</c:v>
                </c:pt>
                <c:pt idx="344">
                  <c:v>55</c:v>
                </c:pt>
                <c:pt idx="345">
                  <c:v>0</c:v>
                </c:pt>
                <c:pt idx="346">
                  <c:v>0</c:v>
                </c:pt>
                <c:pt idx="347">
                  <c:v>85</c:v>
                </c:pt>
                <c:pt idx="348">
                  <c:v>80</c:v>
                </c:pt>
                <c:pt idx="349">
                  <c:v>40</c:v>
                </c:pt>
                <c:pt idx="350">
                  <c:v>40</c:v>
                </c:pt>
                <c:pt idx="351">
                  <c:v>60</c:v>
                </c:pt>
                <c:pt idx="352">
                  <c:v>60</c:v>
                </c:pt>
                <c:pt idx="353">
                  <c:v>90</c:v>
                </c:pt>
                <c:pt idx="354">
                  <c:v>80</c:v>
                </c:pt>
                <c:pt idx="355">
                  <c:v>80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344704"/>
        <c:axId val="703372032"/>
      </c:lineChart>
      <c:catAx>
        <c:axId val="142344704"/>
        <c:scaling>
          <c:orientation val="minMax"/>
        </c:scaling>
        <c:delete val="0"/>
        <c:axPos val="b"/>
        <c:majorTickMark val="out"/>
        <c:minorTickMark val="none"/>
        <c:tickLblPos val="nextTo"/>
        <c:crossAx val="703372032"/>
        <c:crosses val="autoZero"/>
        <c:auto val="1"/>
        <c:lblAlgn val="ctr"/>
        <c:lblOffset val="100"/>
        <c:noMultiLvlLbl val="0"/>
      </c:catAx>
      <c:valAx>
        <c:axId val="7033720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423447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보스턴주택가격!$C$2</c:f>
              <c:strCache>
                <c:ptCount val="1"/>
                <c:pt idx="0">
                  <c:v>비소매지역비율</c:v>
                </c:pt>
              </c:strCache>
            </c:strRef>
          </c:tx>
          <c:val>
            <c:numRef>
              <c:f>보스턴주택가격!$C$3:$C$508</c:f>
              <c:numCache>
                <c:formatCode>General</c:formatCode>
                <c:ptCount val="506"/>
                <c:pt idx="0">
                  <c:v>2.31</c:v>
                </c:pt>
                <c:pt idx="1">
                  <c:v>7.07</c:v>
                </c:pt>
                <c:pt idx="2">
                  <c:v>7.07</c:v>
                </c:pt>
                <c:pt idx="3">
                  <c:v>2.1800000000000002</c:v>
                </c:pt>
                <c:pt idx="4">
                  <c:v>2.1800000000000002</c:v>
                </c:pt>
                <c:pt idx="5">
                  <c:v>2.1800000000000002</c:v>
                </c:pt>
                <c:pt idx="6">
                  <c:v>7.87</c:v>
                </c:pt>
                <c:pt idx="7">
                  <c:v>7.87</c:v>
                </c:pt>
                <c:pt idx="8">
                  <c:v>7.87</c:v>
                </c:pt>
                <c:pt idx="9">
                  <c:v>7.87</c:v>
                </c:pt>
                <c:pt idx="10">
                  <c:v>7.87</c:v>
                </c:pt>
                <c:pt idx="11">
                  <c:v>7.87</c:v>
                </c:pt>
                <c:pt idx="12">
                  <c:v>7.87</c:v>
                </c:pt>
                <c:pt idx="13">
                  <c:v>8.14</c:v>
                </c:pt>
                <c:pt idx="14">
                  <c:v>8.14</c:v>
                </c:pt>
                <c:pt idx="15">
                  <c:v>8.14</c:v>
                </c:pt>
                <c:pt idx="16">
                  <c:v>8.14</c:v>
                </c:pt>
                <c:pt idx="17">
                  <c:v>8.14</c:v>
                </c:pt>
                <c:pt idx="18">
                  <c:v>8.14</c:v>
                </c:pt>
                <c:pt idx="19">
                  <c:v>8.14</c:v>
                </c:pt>
                <c:pt idx="20">
                  <c:v>8.14</c:v>
                </c:pt>
                <c:pt idx="21">
                  <c:v>8.14</c:v>
                </c:pt>
                <c:pt idx="22">
                  <c:v>8.14</c:v>
                </c:pt>
                <c:pt idx="23">
                  <c:v>8.14</c:v>
                </c:pt>
                <c:pt idx="24">
                  <c:v>8.14</c:v>
                </c:pt>
                <c:pt idx="25">
                  <c:v>8.14</c:v>
                </c:pt>
                <c:pt idx="26">
                  <c:v>8.14</c:v>
                </c:pt>
                <c:pt idx="27">
                  <c:v>8.14</c:v>
                </c:pt>
                <c:pt idx="28">
                  <c:v>8.14</c:v>
                </c:pt>
                <c:pt idx="29">
                  <c:v>8.14</c:v>
                </c:pt>
                <c:pt idx="30">
                  <c:v>8.14</c:v>
                </c:pt>
                <c:pt idx="31">
                  <c:v>8.14</c:v>
                </c:pt>
                <c:pt idx="32">
                  <c:v>8.14</c:v>
                </c:pt>
                <c:pt idx="33">
                  <c:v>8.14</c:v>
                </c:pt>
                <c:pt idx="34">
                  <c:v>8.14</c:v>
                </c:pt>
                <c:pt idx="35">
                  <c:v>5.96</c:v>
                </c:pt>
                <c:pt idx="36">
                  <c:v>5.96</c:v>
                </c:pt>
                <c:pt idx="37">
                  <c:v>5.96</c:v>
                </c:pt>
                <c:pt idx="38">
                  <c:v>5.96</c:v>
                </c:pt>
                <c:pt idx="39">
                  <c:v>2.95</c:v>
                </c:pt>
                <c:pt idx="40">
                  <c:v>2.95</c:v>
                </c:pt>
                <c:pt idx="41">
                  <c:v>6.91</c:v>
                </c:pt>
                <c:pt idx="42">
                  <c:v>6.91</c:v>
                </c:pt>
                <c:pt idx="43">
                  <c:v>6.91</c:v>
                </c:pt>
                <c:pt idx="44">
                  <c:v>6.91</c:v>
                </c:pt>
                <c:pt idx="45">
                  <c:v>6.91</c:v>
                </c:pt>
                <c:pt idx="46">
                  <c:v>6.91</c:v>
                </c:pt>
                <c:pt idx="47">
                  <c:v>6.91</c:v>
                </c:pt>
                <c:pt idx="48">
                  <c:v>6.91</c:v>
                </c:pt>
                <c:pt idx="49">
                  <c:v>6.91</c:v>
                </c:pt>
                <c:pt idx="50">
                  <c:v>5.64</c:v>
                </c:pt>
                <c:pt idx="51">
                  <c:v>5.64</c:v>
                </c:pt>
                <c:pt idx="52">
                  <c:v>5.64</c:v>
                </c:pt>
                <c:pt idx="53">
                  <c:v>5.64</c:v>
                </c:pt>
                <c:pt idx="54">
                  <c:v>4</c:v>
                </c:pt>
                <c:pt idx="55">
                  <c:v>1.22</c:v>
                </c:pt>
                <c:pt idx="56">
                  <c:v>0.74</c:v>
                </c:pt>
                <c:pt idx="57">
                  <c:v>1.32</c:v>
                </c:pt>
                <c:pt idx="58">
                  <c:v>5.13</c:v>
                </c:pt>
                <c:pt idx="59">
                  <c:v>5.13</c:v>
                </c:pt>
                <c:pt idx="60">
                  <c:v>5.13</c:v>
                </c:pt>
                <c:pt idx="61">
                  <c:v>5.13</c:v>
                </c:pt>
                <c:pt idx="62">
                  <c:v>5.13</c:v>
                </c:pt>
                <c:pt idx="63">
                  <c:v>5.13</c:v>
                </c:pt>
                <c:pt idx="64">
                  <c:v>1.38</c:v>
                </c:pt>
                <c:pt idx="65">
                  <c:v>3.37</c:v>
                </c:pt>
                <c:pt idx="66">
                  <c:v>3.37</c:v>
                </c:pt>
                <c:pt idx="67">
                  <c:v>6.07</c:v>
                </c:pt>
                <c:pt idx="68">
                  <c:v>6.07</c:v>
                </c:pt>
                <c:pt idx="69">
                  <c:v>6.07</c:v>
                </c:pt>
                <c:pt idx="70">
                  <c:v>10.81</c:v>
                </c:pt>
                <c:pt idx="71">
                  <c:v>10.81</c:v>
                </c:pt>
                <c:pt idx="72">
                  <c:v>10.81</c:v>
                </c:pt>
                <c:pt idx="73">
                  <c:v>10.81</c:v>
                </c:pt>
                <c:pt idx="74">
                  <c:v>12.83</c:v>
                </c:pt>
                <c:pt idx="75">
                  <c:v>12.83</c:v>
                </c:pt>
                <c:pt idx="76">
                  <c:v>12.83</c:v>
                </c:pt>
                <c:pt idx="77">
                  <c:v>12.83</c:v>
                </c:pt>
                <c:pt idx="78">
                  <c:v>12.83</c:v>
                </c:pt>
                <c:pt idx="79">
                  <c:v>12.83</c:v>
                </c:pt>
                <c:pt idx="80">
                  <c:v>4.8600000000000003</c:v>
                </c:pt>
                <c:pt idx="81">
                  <c:v>4.8600000000000003</c:v>
                </c:pt>
                <c:pt idx="82">
                  <c:v>4.8600000000000003</c:v>
                </c:pt>
                <c:pt idx="83">
                  <c:v>4.8600000000000003</c:v>
                </c:pt>
                <c:pt idx="84">
                  <c:v>4.49</c:v>
                </c:pt>
                <c:pt idx="85">
                  <c:v>4.49</c:v>
                </c:pt>
                <c:pt idx="86">
                  <c:v>4.49</c:v>
                </c:pt>
                <c:pt idx="87">
                  <c:v>4.49</c:v>
                </c:pt>
                <c:pt idx="88">
                  <c:v>3.41</c:v>
                </c:pt>
                <c:pt idx="89">
                  <c:v>3.41</c:v>
                </c:pt>
                <c:pt idx="90">
                  <c:v>3.41</c:v>
                </c:pt>
                <c:pt idx="91">
                  <c:v>3.41</c:v>
                </c:pt>
                <c:pt idx="92">
                  <c:v>15.04</c:v>
                </c:pt>
                <c:pt idx="93">
                  <c:v>15.04</c:v>
                </c:pt>
                <c:pt idx="94">
                  <c:v>15.04</c:v>
                </c:pt>
                <c:pt idx="95">
                  <c:v>2.89</c:v>
                </c:pt>
                <c:pt idx="96">
                  <c:v>2.89</c:v>
                </c:pt>
                <c:pt idx="97">
                  <c:v>2.89</c:v>
                </c:pt>
                <c:pt idx="98">
                  <c:v>2.89</c:v>
                </c:pt>
                <c:pt idx="99">
                  <c:v>2.89</c:v>
                </c:pt>
                <c:pt idx="100">
                  <c:v>8.56</c:v>
                </c:pt>
                <c:pt idx="101">
                  <c:v>8.56</c:v>
                </c:pt>
                <c:pt idx="102">
                  <c:v>8.56</c:v>
                </c:pt>
                <c:pt idx="103">
                  <c:v>8.56</c:v>
                </c:pt>
                <c:pt idx="104">
                  <c:v>8.56</c:v>
                </c:pt>
                <c:pt idx="105">
                  <c:v>8.56</c:v>
                </c:pt>
                <c:pt idx="106">
                  <c:v>8.56</c:v>
                </c:pt>
                <c:pt idx="107">
                  <c:v>8.56</c:v>
                </c:pt>
                <c:pt idx="108">
                  <c:v>8.56</c:v>
                </c:pt>
                <c:pt idx="109">
                  <c:v>8.56</c:v>
                </c:pt>
                <c:pt idx="110">
                  <c:v>8.56</c:v>
                </c:pt>
                <c:pt idx="111">
                  <c:v>10.01</c:v>
                </c:pt>
                <c:pt idx="112">
                  <c:v>10.01</c:v>
                </c:pt>
                <c:pt idx="113">
                  <c:v>10.01</c:v>
                </c:pt>
                <c:pt idx="114">
                  <c:v>10.01</c:v>
                </c:pt>
                <c:pt idx="115">
                  <c:v>10.01</c:v>
                </c:pt>
                <c:pt idx="116">
                  <c:v>10.01</c:v>
                </c:pt>
                <c:pt idx="117">
                  <c:v>10.01</c:v>
                </c:pt>
                <c:pt idx="118">
                  <c:v>10.01</c:v>
                </c:pt>
                <c:pt idx="119">
                  <c:v>10.01</c:v>
                </c:pt>
                <c:pt idx="120">
                  <c:v>25.65</c:v>
                </c:pt>
                <c:pt idx="121">
                  <c:v>25.65</c:v>
                </c:pt>
                <c:pt idx="122">
                  <c:v>25.65</c:v>
                </c:pt>
                <c:pt idx="123">
                  <c:v>25.65</c:v>
                </c:pt>
                <c:pt idx="124">
                  <c:v>25.65</c:v>
                </c:pt>
                <c:pt idx="125">
                  <c:v>25.65</c:v>
                </c:pt>
                <c:pt idx="126">
                  <c:v>25.65</c:v>
                </c:pt>
                <c:pt idx="127">
                  <c:v>21.89</c:v>
                </c:pt>
                <c:pt idx="128">
                  <c:v>21.89</c:v>
                </c:pt>
                <c:pt idx="129">
                  <c:v>21.89</c:v>
                </c:pt>
                <c:pt idx="130">
                  <c:v>21.89</c:v>
                </c:pt>
                <c:pt idx="131">
                  <c:v>21.89</c:v>
                </c:pt>
                <c:pt idx="132">
                  <c:v>21.89</c:v>
                </c:pt>
                <c:pt idx="133">
                  <c:v>21.89</c:v>
                </c:pt>
                <c:pt idx="134">
                  <c:v>21.89</c:v>
                </c:pt>
                <c:pt idx="135">
                  <c:v>21.89</c:v>
                </c:pt>
                <c:pt idx="136">
                  <c:v>21.89</c:v>
                </c:pt>
                <c:pt idx="137">
                  <c:v>21.89</c:v>
                </c:pt>
                <c:pt idx="138">
                  <c:v>21.89</c:v>
                </c:pt>
                <c:pt idx="139">
                  <c:v>21.89</c:v>
                </c:pt>
                <c:pt idx="140">
                  <c:v>21.89</c:v>
                </c:pt>
                <c:pt idx="141">
                  <c:v>21.89</c:v>
                </c:pt>
                <c:pt idx="142">
                  <c:v>19.579999999999998</c:v>
                </c:pt>
                <c:pt idx="143">
                  <c:v>19.579999999999998</c:v>
                </c:pt>
                <c:pt idx="144">
                  <c:v>19.579999999999998</c:v>
                </c:pt>
                <c:pt idx="145">
                  <c:v>19.579999999999998</c:v>
                </c:pt>
                <c:pt idx="146">
                  <c:v>19.579999999999998</c:v>
                </c:pt>
                <c:pt idx="147">
                  <c:v>19.579999999999998</c:v>
                </c:pt>
                <c:pt idx="148">
                  <c:v>19.579999999999998</c:v>
                </c:pt>
                <c:pt idx="149">
                  <c:v>19.579999999999998</c:v>
                </c:pt>
                <c:pt idx="150">
                  <c:v>19.579999999999998</c:v>
                </c:pt>
                <c:pt idx="151">
                  <c:v>19.579999999999998</c:v>
                </c:pt>
                <c:pt idx="152">
                  <c:v>19.579999999999998</c:v>
                </c:pt>
                <c:pt idx="153">
                  <c:v>19.579999999999998</c:v>
                </c:pt>
                <c:pt idx="154">
                  <c:v>19.579999999999998</c:v>
                </c:pt>
                <c:pt idx="155">
                  <c:v>19.579999999999998</c:v>
                </c:pt>
                <c:pt idx="156">
                  <c:v>19.579999999999998</c:v>
                </c:pt>
                <c:pt idx="157">
                  <c:v>19.579999999999998</c:v>
                </c:pt>
                <c:pt idx="158">
                  <c:v>19.579999999999998</c:v>
                </c:pt>
                <c:pt idx="159">
                  <c:v>19.579999999999998</c:v>
                </c:pt>
                <c:pt idx="160">
                  <c:v>19.579999999999998</c:v>
                </c:pt>
                <c:pt idx="161">
                  <c:v>19.579999999999998</c:v>
                </c:pt>
                <c:pt idx="162">
                  <c:v>19.579999999999998</c:v>
                </c:pt>
                <c:pt idx="163">
                  <c:v>19.579999999999998</c:v>
                </c:pt>
                <c:pt idx="164">
                  <c:v>19.579999999999998</c:v>
                </c:pt>
                <c:pt idx="165">
                  <c:v>19.579999999999998</c:v>
                </c:pt>
                <c:pt idx="166">
                  <c:v>19.579999999999998</c:v>
                </c:pt>
                <c:pt idx="167">
                  <c:v>19.579999999999998</c:v>
                </c:pt>
                <c:pt idx="168">
                  <c:v>19.579999999999998</c:v>
                </c:pt>
                <c:pt idx="169">
                  <c:v>19.579999999999998</c:v>
                </c:pt>
                <c:pt idx="170">
                  <c:v>19.579999999999998</c:v>
                </c:pt>
                <c:pt idx="171">
                  <c:v>19.579999999999998</c:v>
                </c:pt>
                <c:pt idx="172">
                  <c:v>4.05</c:v>
                </c:pt>
                <c:pt idx="173">
                  <c:v>4.05</c:v>
                </c:pt>
                <c:pt idx="174">
                  <c:v>4.05</c:v>
                </c:pt>
                <c:pt idx="175">
                  <c:v>4.05</c:v>
                </c:pt>
                <c:pt idx="176">
                  <c:v>4.05</c:v>
                </c:pt>
                <c:pt idx="177">
                  <c:v>4.05</c:v>
                </c:pt>
                <c:pt idx="178">
                  <c:v>4.05</c:v>
                </c:pt>
                <c:pt idx="179">
                  <c:v>2.46</c:v>
                </c:pt>
                <c:pt idx="180">
                  <c:v>2.46</c:v>
                </c:pt>
                <c:pt idx="181">
                  <c:v>2.46</c:v>
                </c:pt>
                <c:pt idx="182">
                  <c:v>2.46</c:v>
                </c:pt>
                <c:pt idx="183">
                  <c:v>2.46</c:v>
                </c:pt>
                <c:pt idx="184">
                  <c:v>2.46</c:v>
                </c:pt>
                <c:pt idx="185">
                  <c:v>2.46</c:v>
                </c:pt>
                <c:pt idx="186">
                  <c:v>2.46</c:v>
                </c:pt>
                <c:pt idx="187">
                  <c:v>3.44</c:v>
                </c:pt>
                <c:pt idx="188">
                  <c:v>3.44</c:v>
                </c:pt>
                <c:pt idx="189">
                  <c:v>3.44</c:v>
                </c:pt>
                <c:pt idx="190">
                  <c:v>3.44</c:v>
                </c:pt>
                <c:pt idx="191">
                  <c:v>3.44</c:v>
                </c:pt>
                <c:pt idx="192">
                  <c:v>3.44</c:v>
                </c:pt>
                <c:pt idx="193">
                  <c:v>2.93</c:v>
                </c:pt>
                <c:pt idx="194">
                  <c:v>2.93</c:v>
                </c:pt>
                <c:pt idx="195">
                  <c:v>0.46</c:v>
                </c:pt>
                <c:pt idx="196">
                  <c:v>1.52</c:v>
                </c:pt>
                <c:pt idx="197">
                  <c:v>1.52</c:v>
                </c:pt>
                <c:pt idx="198">
                  <c:v>1.52</c:v>
                </c:pt>
                <c:pt idx="199">
                  <c:v>1.47</c:v>
                </c:pt>
                <c:pt idx="200">
                  <c:v>1.47</c:v>
                </c:pt>
                <c:pt idx="201">
                  <c:v>2.0299999999999998</c:v>
                </c:pt>
                <c:pt idx="202">
                  <c:v>2.0299999999999998</c:v>
                </c:pt>
                <c:pt idx="203">
                  <c:v>2.68</c:v>
                </c:pt>
                <c:pt idx="204">
                  <c:v>2.68</c:v>
                </c:pt>
                <c:pt idx="205">
                  <c:v>10.59</c:v>
                </c:pt>
                <c:pt idx="206">
                  <c:v>10.59</c:v>
                </c:pt>
                <c:pt idx="207">
                  <c:v>10.59</c:v>
                </c:pt>
                <c:pt idx="208">
                  <c:v>10.59</c:v>
                </c:pt>
                <c:pt idx="209">
                  <c:v>10.59</c:v>
                </c:pt>
                <c:pt idx="210">
                  <c:v>10.59</c:v>
                </c:pt>
                <c:pt idx="211">
                  <c:v>10.59</c:v>
                </c:pt>
                <c:pt idx="212">
                  <c:v>10.59</c:v>
                </c:pt>
                <c:pt idx="213">
                  <c:v>10.59</c:v>
                </c:pt>
                <c:pt idx="214">
                  <c:v>10.59</c:v>
                </c:pt>
                <c:pt idx="215">
                  <c:v>10.59</c:v>
                </c:pt>
                <c:pt idx="216">
                  <c:v>13.89</c:v>
                </c:pt>
                <c:pt idx="217">
                  <c:v>13.89</c:v>
                </c:pt>
                <c:pt idx="218">
                  <c:v>13.89</c:v>
                </c:pt>
                <c:pt idx="219">
                  <c:v>13.89</c:v>
                </c:pt>
                <c:pt idx="220">
                  <c:v>6.2</c:v>
                </c:pt>
                <c:pt idx="221">
                  <c:v>6.2</c:v>
                </c:pt>
                <c:pt idx="222">
                  <c:v>6.2</c:v>
                </c:pt>
                <c:pt idx="223">
                  <c:v>6.2</c:v>
                </c:pt>
                <c:pt idx="224">
                  <c:v>6.2</c:v>
                </c:pt>
                <c:pt idx="225">
                  <c:v>6.2</c:v>
                </c:pt>
                <c:pt idx="226">
                  <c:v>6.2</c:v>
                </c:pt>
                <c:pt idx="227">
                  <c:v>6.2</c:v>
                </c:pt>
                <c:pt idx="228">
                  <c:v>6.2</c:v>
                </c:pt>
                <c:pt idx="229">
                  <c:v>6.2</c:v>
                </c:pt>
                <c:pt idx="230">
                  <c:v>6.2</c:v>
                </c:pt>
                <c:pt idx="231">
                  <c:v>6.2</c:v>
                </c:pt>
                <c:pt idx="232">
                  <c:v>6.2</c:v>
                </c:pt>
                <c:pt idx="233">
                  <c:v>6.2</c:v>
                </c:pt>
                <c:pt idx="234">
                  <c:v>6.2</c:v>
                </c:pt>
                <c:pt idx="235">
                  <c:v>6.2</c:v>
                </c:pt>
                <c:pt idx="236">
                  <c:v>6.2</c:v>
                </c:pt>
                <c:pt idx="237">
                  <c:v>6.2</c:v>
                </c:pt>
                <c:pt idx="238">
                  <c:v>4.93</c:v>
                </c:pt>
                <c:pt idx="239">
                  <c:v>4.93</c:v>
                </c:pt>
                <c:pt idx="240">
                  <c:v>4.93</c:v>
                </c:pt>
                <c:pt idx="241">
                  <c:v>4.93</c:v>
                </c:pt>
                <c:pt idx="242">
                  <c:v>4.93</c:v>
                </c:pt>
                <c:pt idx="243">
                  <c:v>4.93</c:v>
                </c:pt>
                <c:pt idx="244">
                  <c:v>5.86</c:v>
                </c:pt>
                <c:pt idx="245">
                  <c:v>5.86</c:v>
                </c:pt>
                <c:pt idx="246">
                  <c:v>5.86</c:v>
                </c:pt>
                <c:pt idx="247">
                  <c:v>5.86</c:v>
                </c:pt>
                <c:pt idx="248">
                  <c:v>5.86</c:v>
                </c:pt>
                <c:pt idx="249">
                  <c:v>5.86</c:v>
                </c:pt>
                <c:pt idx="250">
                  <c:v>5.86</c:v>
                </c:pt>
                <c:pt idx="251">
                  <c:v>5.86</c:v>
                </c:pt>
                <c:pt idx="252">
                  <c:v>5.86</c:v>
                </c:pt>
                <c:pt idx="253">
                  <c:v>5.86</c:v>
                </c:pt>
                <c:pt idx="254">
                  <c:v>3.64</c:v>
                </c:pt>
                <c:pt idx="255">
                  <c:v>3.64</c:v>
                </c:pt>
                <c:pt idx="256">
                  <c:v>3.75</c:v>
                </c:pt>
                <c:pt idx="257">
                  <c:v>3.97</c:v>
                </c:pt>
                <c:pt idx="258">
                  <c:v>3.97</c:v>
                </c:pt>
                <c:pt idx="259">
                  <c:v>3.97</c:v>
                </c:pt>
                <c:pt idx="260">
                  <c:v>3.97</c:v>
                </c:pt>
                <c:pt idx="261">
                  <c:v>3.97</c:v>
                </c:pt>
                <c:pt idx="262">
                  <c:v>3.97</c:v>
                </c:pt>
                <c:pt idx="263">
                  <c:v>3.97</c:v>
                </c:pt>
                <c:pt idx="264">
                  <c:v>3.97</c:v>
                </c:pt>
                <c:pt idx="265">
                  <c:v>3.97</c:v>
                </c:pt>
                <c:pt idx="266">
                  <c:v>3.97</c:v>
                </c:pt>
                <c:pt idx="267">
                  <c:v>3.97</c:v>
                </c:pt>
                <c:pt idx="268">
                  <c:v>3.97</c:v>
                </c:pt>
                <c:pt idx="269">
                  <c:v>6.96</c:v>
                </c:pt>
                <c:pt idx="270">
                  <c:v>6.96</c:v>
                </c:pt>
                <c:pt idx="271">
                  <c:v>6.96</c:v>
                </c:pt>
                <c:pt idx="272">
                  <c:v>6.96</c:v>
                </c:pt>
                <c:pt idx="273">
                  <c:v>6.96</c:v>
                </c:pt>
                <c:pt idx="274">
                  <c:v>6.41</c:v>
                </c:pt>
                <c:pt idx="275">
                  <c:v>6.41</c:v>
                </c:pt>
                <c:pt idx="276">
                  <c:v>6.41</c:v>
                </c:pt>
                <c:pt idx="277">
                  <c:v>6.41</c:v>
                </c:pt>
                <c:pt idx="278">
                  <c:v>6.41</c:v>
                </c:pt>
                <c:pt idx="279">
                  <c:v>3.33</c:v>
                </c:pt>
                <c:pt idx="280">
                  <c:v>3.33</c:v>
                </c:pt>
                <c:pt idx="281">
                  <c:v>3.33</c:v>
                </c:pt>
                <c:pt idx="282">
                  <c:v>3.33</c:v>
                </c:pt>
                <c:pt idx="283">
                  <c:v>1.21</c:v>
                </c:pt>
                <c:pt idx="284">
                  <c:v>2.97</c:v>
                </c:pt>
                <c:pt idx="285">
                  <c:v>2.25</c:v>
                </c:pt>
                <c:pt idx="286">
                  <c:v>1.76</c:v>
                </c:pt>
                <c:pt idx="287">
                  <c:v>5.32</c:v>
                </c:pt>
                <c:pt idx="288">
                  <c:v>5.32</c:v>
                </c:pt>
                <c:pt idx="289">
                  <c:v>5.32</c:v>
                </c:pt>
                <c:pt idx="290">
                  <c:v>4.95</c:v>
                </c:pt>
                <c:pt idx="291">
                  <c:v>4.95</c:v>
                </c:pt>
                <c:pt idx="292">
                  <c:v>4.95</c:v>
                </c:pt>
                <c:pt idx="293">
                  <c:v>13.92</c:v>
                </c:pt>
                <c:pt idx="294">
                  <c:v>13.92</c:v>
                </c:pt>
                <c:pt idx="295">
                  <c:v>13.92</c:v>
                </c:pt>
                <c:pt idx="296">
                  <c:v>13.92</c:v>
                </c:pt>
                <c:pt idx="297">
                  <c:v>13.92</c:v>
                </c:pt>
                <c:pt idx="298">
                  <c:v>2.2400000000000002</c:v>
                </c:pt>
                <c:pt idx="299">
                  <c:v>2.2400000000000002</c:v>
                </c:pt>
                <c:pt idx="300">
                  <c:v>2.2400000000000002</c:v>
                </c:pt>
                <c:pt idx="301">
                  <c:v>6.09</c:v>
                </c:pt>
                <c:pt idx="302">
                  <c:v>6.09</c:v>
                </c:pt>
                <c:pt idx="303">
                  <c:v>6.09</c:v>
                </c:pt>
                <c:pt idx="304">
                  <c:v>2.1800000000000002</c:v>
                </c:pt>
                <c:pt idx="305">
                  <c:v>2.1800000000000002</c:v>
                </c:pt>
                <c:pt idx="306">
                  <c:v>2.1800000000000002</c:v>
                </c:pt>
                <c:pt idx="307">
                  <c:v>2.1800000000000002</c:v>
                </c:pt>
                <c:pt idx="308">
                  <c:v>9.9</c:v>
                </c:pt>
                <c:pt idx="309">
                  <c:v>9.9</c:v>
                </c:pt>
                <c:pt idx="310">
                  <c:v>9.9</c:v>
                </c:pt>
                <c:pt idx="311">
                  <c:v>9.9</c:v>
                </c:pt>
                <c:pt idx="312">
                  <c:v>9.9</c:v>
                </c:pt>
                <c:pt idx="313">
                  <c:v>9.9</c:v>
                </c:pt>
                <c:pt idx="314">
                  <c:v>9.9</c:v>
                </c:pt>
                <c:pt idx="315">
                  <c:v>9.9</c:v>
                </c:pt>
                <c:pt idx="316">
                  <c:v>9.9</c:v>
                </c:pt>
                <c:pt idx="317">
                  <c:v>9.9</c:v>
                </c:pt>
                <c:pt idx="318">
                  <c:v>9.9</c:v>
                </c:pt>
                <c:pt idx="319">
                  <c:v>9.9</c:v>
                </c:pt>
                <c:pt idx="320">
                  <c:v>7.38</c:v>
                </c:pt>
                <c:pt idx="321">
                  <c:v>7.38</c:v>
                </c:pt>
                <c:pt idx="322">
                  <c:v>7.38</c:v>
                </c:pt>
                <c:pt idx="323">
                  <c:v>7.38</c:v>
                </c:pt>
                <c:pt idx="324">
                  <c:v>7.38</c:v>
                </c:pt>
                <c:pt idx="325">
                  <c:v>7.38</c:v>
                </c:pt>
                <c:pt idx="326">
                  <c:v>7.38</c:v>
                </c:pt>
                <c:pt idx="327">
                  <c:v>7.38</c:v>
                </c:pt>
                <c:pt idx="328">
                  <c:v>3.24</c:v>
                </c:pt>
                <c:pt idx="329">
                  <c:v>3.24</c:v>
                </c:pt>
                <c:pt idx="330">
                  <c:v>3.24</c:v>
                </c:pt>
                <c:pt idx="331">
                  <c:v>6.06</c:v>
                </c:pt>
                <c:pt idx="332">
                  <c:v>6.06</c:v>
                </c:pt>
                <c:pt idx="333">
                  <c:v>5.19</c:v>
                </c:pt>
                <c:pt idx="334">
                  <c:v>5.19</c:v>
                </c:pt>
                <c:pt idx="335">
                  <c:v>5.19</c:v>
                </c:pt>
                <c:pt idx="336">
                  <c:v>5.19</c:v>
                </c:pt>
                <c:pt idx="337">
                  <c:v>5.19</c:v>
                </c:pt>
                <c:pt idx="338">
                  <c:v>5.19</c:v>
                </c:pt>
                <c:pt idx="339">
                  <c:v>5.19</c:v>
                </c:pt>
                <c:pt idx="340">
                  <c:v>5.19</c:v>
                </c:pt>
                <c:pt idx="341">
                  <c:v>1.52</c:v>
                </c:pt>
                <c:pt idx="342">
                  <c:v>1.89</c:v>
                </c:pt>
                <c:pt idx="343">
                  <c:v>3.78</c:v>
                </c:pt>
                <c:pt idx="344">
                  <c:v>3.78</c:v>
                </c:pt>
                <c:pt idx="345">
                  <c:v>4.3899999999999997</c:v>
                </c:pt>
                <c:pt idx="346">
                  <c:v>4.3899999999999997</c:v>
                </c:pt>
                <c:pt idx="347">
                  <c:v>4.1500000000000004</c:v>
                </c:pt>
                <c:pt idx="348">
                  <c:v>2.0099999999999998</c:v>
                </c:pt>
                <c:pt idx="349">
                  <c:v>1.25</c:v>
                </c:pt>
                <c:pt idx="350">
                  <c:v>1.25</c:v>
                </c:pt>
                <c:pt idx="351">
                  <c:v>1.69</c:v>
                </c:pt>
                <c:pt idx="352">
                  <c:v>1.69</c:v>
                </c:pt>
                <c:pt idx="353">
                  <c:v>2.02</c:v>
                </c:pt>
                <c:pt idx="354">
                  <c:v>1.91</c:v>
                </c:pt>
                <c:pt idx="355">
                  <c:v>1.91</c:v>
                </c:pt>
                <c:pt idx="356">
                  <c:v>18.100000000000001</c:v>
                </c:pt>
                <c:pt idx="357">
                  <c:v>18.100000000000001</c:v>
                </c:pt>
                <c:pt idx="358">
                  <c:v>18.100000000000001</c:v>
                </c:pt>
                <c:pt idx="359">
                  <c:v>18.100000000000001</c:v>
                </c:pt>
                <c:pt idx="360">
                  <c:v>18.100000000000001</c:v>
                </c:pt>
                <c:pt idx="361">
                  <c:v>18.100000000000001</c:v>
                </c:pt>
                <c:pt idx="362">
                  <c:v>18.100000000000001</c:v>
                </c:pt>
                <c:pt idx="363">
                  <c:v>18.100000000000001</c:v>
                </c:pt>
                <c:pt idx="364">
                  <c:v>18.100000000000001</c:v>
                </c:pt>
                <c:pt idx="365">
                  <c:v>18.100000000000001</c:v>
                </c:pt>
                <c:pt idx="366">
                  <c:v>18.100000000000001</c:v>
                </c:pt>
                <c:pt idx="367">
                  <c:v>18.100000000000001</c:v>
                </c:pt>
                <c:pt idx="368">
                  <c:v>18.100000000000001</c:v>
                </c:pt>
                <c:pt idx="369">
                  <c:v>18.100000000000001</c:v>
                </c:pt>
                <c:pt idx="370">
                  <c:v>18.100000000000001</c:v>
                </c:pt>
                <c:pt idx="371">
                  <c:v>18.100000000000001</c:v>
                </c:pt>
                <c:pt idx="372">
                  <c:v>18.100000000000001</c:v>
                </c:pt>
                <c:pt idx="373">
                  <c:v>18.100000000000001</c:v>
                </c:pt>
                <c:pt idx="374">
                  <c:v>18.100000000000001</c:v>
                </c:pt>
                <c:pt idx="375">
                  <c:v>18.100000000000001</c:v>
                </c:pt>
                <c:pt idx="376">
                  <c:v>18.100000000000001</c:v>
                </c:pt>
                <c:pt idx="377">
                  <c:v>18.100000000000001</c:v>
                </c:pt>
                <c:pt idx="378">
                  <c:v>18.100000000000001</c:v>
                </c:pt>
                <c:pt idx="379">
                  <c:v>18.100000000000001</c:v>
                </c:pt>
                <c:pt idx="380">
                  <c:v>18.100000000000001</c:v>
                </c:pt>
                <c:pt idx="381">
                  <c:v>18.100000000000001</c:v>
                </c:pt>
                <c:pt idx="382">
                  <c:v>18.100000000000001</c:v>
                </c:pt>
                <c:pt idx="383">
                  <c:v>18.100000000000001</c:v>
                </c:pt>
                <c:pt idx="384">
                  <c:v>18.100000000000001</c:v>
                </c:pt>
                <c:pt idx="385">
                  <c:v>18.100000000000001</c:v>
                </c:pt>
                <c:pt idx="386">
                  <c:v>18.100000000000001</c:v>
                </c:pt>
                <c:pt idx="387">
                  <c:v>18.100000000000001</c:v>
                </c:pt>
                <c:pt idx="388">
                  <c:v>18.100000000000001</c:v>
                </c:pt>
                <c:pt idx="389">
                  <c:v>18.100000000000001</c:v>
                </c:pt>
                <c:pt idx="390">
                  <c:v>18.100000000000001</c:v>
                </c:pt>
                <c:pt idx="391">
                  <c:v>18.100000000000001</c:v>
                </c:pt>
                <c:pt idx="392">
                  <c:v>18.100000000000001</c:v>
                </c:pt>
                <c:pt idx="393">
                  <c:v>18.100000000000001</c:v>
                </c:pt>
                <c:pt idx="394">
                  <c:v>18.100000000000001</c:v>
                </c:pt>
                <c:pt idx="395">
                  <c:v>18.100000000000001</c:v>
                </c:pt>
                <c:pt idx="396">
                  <c:v>18.100000000000001</c:v>
                </c:pt>
                <c:pt idx="397">
                  <c:v>18.100000000000001</c:v>
                </c:pt>
                <c:pt idx="398">
                  <c:v>18.100000000000001</c:v>
                </c:pt>
                <c:pt idx="399">
                  <c:v>18.100000000000001</c:v>
                </c:pt>
                <c:pt idx="400">
                  <c:v>18.100000000000001</c:v>
                </c:pt>
                <c:pt idx="401">
                  <c:v>18.100000000000001</c:v>
                </c:pt>
                <c:pt idx="402">
                  <c:v>18.100000000000001</c:v>
                </c:pt>
                <c:pt idx="403">
                  <c:v>18.100000000000001</c:v>
                </c:pt>
                <c:pt idx="404">
                  <c:v>18.100000000000001</c:v>
                </c:pt>
                <c:pt idx="405">
                  <c:v>18.100000000000001</c:v>
                </c:pt>
                <c:pt idx="406">
                  <c:v>18.100000000000001</c:v>
                </c:pt>
                <c:pt idx="407">
                  <c:v>18.100000000000001</c:v>
                </c:pt>
                <c:pt idx="408">
                  <c:v>18.100000000000001</c:v>
                </c:pt>
                <c:pt idx="409">
                  <c:v>18.100000000000001</c:v>
                </c:pt>
                <c:pt idx="410">
                  <c:v>18.100000000000001</c:v>
                </c:pt>
                <c:pt idx="411">
                  <c:v>18.100000000000001</c:v>
                </c:pt>
                <c:pt idx="412">
                  <c:v>18.100000000000001</c:v>
                </c:pt>
                <c:pt idx="413">
                  <c:v>18.100000000000001</c:v>
                </c:pt>
                <c:pt idx="414">
                  <c:v>18.100000000000001</c:v>
                </c:pt>
                <c:pt idx="415">
                  <c:v>18.100000000000001</c:v>
                </c:pt>
                <c:pt idx="416">
                  <c:v>18.100000000000001</c:v>
                </c:pt>
                <c:pt idx="417">
                  <c:v>18.100000000000001</c:v>
                </c:pt>
                <c:pt idx="418">
                  <c:v>18.100000000000001</c:v>
                </c:pt>
                <c:pt idx="419">
                  <c:v>18.100000000000001</c:v>
                </c:pt>
                <c:pt idx="420">
                  <c:v>18.100000000000001</c:v>
                </c:pt>
                <c:pt idx="421">
                  <c:v>18.100000000000001</c:v>
                </c:pt>
                <c:pt idx="422">
                  <c:v>18.100000000000001</c:v>
                </c:pt>
                <c:pt idx="423">
                  <c:v>18.100000000000001</c:v>
                </c:pt>
                <c:pt idx="424">
                  <c:v>18.100000000000001</c:v>
                </c:pt>
                <c:pt idx="425">
                  <c:v>18.100000000000001</c:v>
                </c:pt>
                <c:pt idx="426">
                  <c:v>18.100000000000001</c:v>
                </c:pt>
                <c:pt idx="427">
                  <c:v>18.100000000000001</c:v>
                </c:pt>
                <c:pt idx="428">
                  <c:v>18.100000000000001</c:v>
                </c:pt>
                <c:pt idx="429">
                  <c:v>18.100000000000001</c:v>
                </c:pt>
                <c:pt idx="430">
                  <c:v>18.100000000000001</c:v>
                </c:pt>
                <c:pt idx="431">
                  <c:v>18.100000000000001</c:v>
                </c:pt>
                <c:pt idx="432">
                  <c:v>18.100000000000001</c:v>
                </c:pt>
                <c:pt idx="433">
                  <c:v>18.100000000000001</c:v>
                </c:pt>
                <c:pt idx="434">
                  <c:v>18.100000000000001</c:v>
                </c:pt>
                <c:pt idx="435">
                  <c:v>18.100000000000001</c:v>
                </c:pt>
                <c:pt idx="436">
                  <c:v>18.100000000000001</c:v>
                </c:pt>
                <c:pt idx="437">
                  <c:v>18.100000000000001</c:v>
                </c:pt>
                <c:pt idx="438">
                  <c:v>18.100000000000001</c:v>
                </c:pt>
                <c:pt idx="439">
                  <c:v>18.100000000000001</c:v>
                </c:pt>
                <c:pt idx="440">
                  <c:v>18.100000000000001</c:v>
                </c:pt>
                <c:pt idx="441">
                  <c:v>18.100000000000001</c:v>
                </c:pt>
                <c:pt idx="442">
                  <c:v>18.100000000000001</c:v>
                </c:pt>
                <c:pt idx="443">
                  <c:v>18.100000000000001</c:v>
                </c:pt>
                <c:pt idx="444">
                  <c:v>18.100000000000001</c:v>
                </c:pt>
                <c:pt idx="445">
                  <c:v>18.100000000000001</c:v>
                </c:pt>
                <c:pt idx="446">
                  <c:v>18.100000000000001</c:v>
                </c:pt>
                <c:pt idx="447">
                  <c:v>18.100000000000001</c:v>
                </c:pt>
                <c:pt idx="448">
                  <c:v>18.100000000000001</c:v>
                </c:pt>
                <c:pt idx="449">
                  <c:v>18.100000000000001</c:v>
                </c:pt>
                <c:pt idx="450">
                  <c:v>18.100000000000001</c:v>
                </c:pt>
                <c:pt idx="451">
                  <c:v>18.100000000000001</c:v>
                </c:pt>
                <c:pt idx="452">
                  <c:v>18.100000000000001</c:v>
                </c:pt>
                <c:pt idx="453">
                  <c:v>18.100000000000001</c:v>
                </c:pt>
                <c:pt idx="454">
                  <c:v>18.100000000000001</c:v>
                </c:pt>
                <c:pt idx="455">
                  <c:v>18.100000000000001</c:v>
                </c:pt>
                <c:pt idx="456">
                  <c:v>18.100000000000001</c:v>
                </c:pt>
                <c:pt idx="457">
                  <c:v>18.100000000000001</c:v>
                </c:pt>
                <c:pt idx="458">
                  <c:v>18.100000000000001</c:v>
                </c:pt>
                <c:pt idx="459">
                  <c:v>18.100000000000001</c:v>
                </c:pt>
                <c:pt idx="460">
                  <c:v>18.100000000000001</c:v>
                </c:pt>
                <c:pt idx="461">
                  <c:v>18.100000000000001</c:v>
                </c:pt>
                <c:pt idx="462">
                  <c:v>18.100000000000001</c:v>
                </c:pt>
                <c:pt idx="463">
                  <c:v>18.100000000000001</c:v>
                </c:pt>
                <c:pt idx="464">
                  <c:v>18.100000000000001</c:v>
                </c:pt>
                <c:pt idx="465">
                  <c:v>18.100000000000001</c:v>
                </c:pt>
                <c:pt idx="466">
                  <c:v>18.100000000000001</c:v>
                </c:pt>
                <c:pt idx="467">
                  <c:v>18.100000000000001</c:v>
                </c:pt>
                <c:pt idx="468">
                  <c:v>18.100000000000001</c:v>
                </c:pt>
                <c:pt idx="469">
                  <c:v>18.100000000000001</c:v>
                </c:pt>
                <c:pt idx="470">
                  <c:v>18.100000000000001</c:v>
                </c:pt>
                <c:pt idx="471">
                  <c:v>18.100000000000001</c:v>
                </c:pt>
                <c:pt idx="472">
                  <c:v>18.100000000000001</c:v>
                </c:pt>
                <c:pt idx="473">
                  <c:v>18.100000000000001</c:v>
                </c:pt>
                <c:pt idx="474">
                  <c:v>18.100000000000001</c:v>
                </c:pt>
                <c:pt idx="475">
                  <c:v>18.100000000000001</c:v>
                </c:pt>
                <c:pt idx="476">
                  <c:v>18.100000000000001</c:v>
                </c:pt>
                <c:pt idx="477">
                  <c:v>18.100000000000001</c:v>
                </c:pt>
                <c:pt idx="478">
                  <c:v>18.100000000000001</c:v>
                </c:pt>
                <c:pt idx="479">
                  <c:v>18.100000000000001</c:v>
                </c:pt>
                <c:pt idx="480">
                  <c:v>18.100000000000001</c:v>
                </c:pt>
                <c:pt idx="481">
                  <c:v>18.100000000000001</c:v>
                </c:pt>
                <c:pt idx="482">
                  <c:v>18.100000000000001</c:v>
                </c:pt>
                <c:pt idx="483">
                  <c:v>18.100000000000001</c:v>
                </c:pt>
                <c:pt idx="484">
                  <c:v>18.100000000000001</c:v>
                </c:pt>
                <c:pt idx="485">
                  <c:v>18.100000000000001</c:v>
                </c:pt>
                <c:pt idx="486">
                  <c:v>18.100000000000001</c:v>
                </c:pt>
                <c:pt idx="487">
                  <c:v>18.100000000000001</c:v>
                </c:pt>
                <c:pt idx="488">
                  <c:v>27.74</c:v>
                </c:pt>
                <c:pt idx="489">
                  <c:v>27.74</c:v>
                </c:pt>
                <c:pt idx="490">
                  <c:v>27.74</c:v>
                </c:pt>
                <c:pt idx="491">
                  <c:v>27.74</c:v>
                </c:pt>
                <c:pt idx="492">
                  <c:v>27.74</c:v>
                </c:pt>
                <c:pt idx="493">
                  <c:v>9.69</c:v>
                </c:pt>
                <c:pt idx="494">
                  <c:v>9.69</c:v>
                </c:pt>
                <c:pt idx="495">
                  <c:v>9.69</c:v>
                </c:pt>
                <c:pt idx="496">
                  <c:v>9.69</c:v>
                </c:pt>
                <c:pt idx="497">
                  <c:v>9.69</c:v>
                </c:pt>
                <c:pt idx="498">
                  <c:v>9.69</c:v>
                </c:pt>
                <c:pt idx="499">
                  <c:v>9.69</c:v>
                </c:pt>
                <c:pt idx="500">
                  <c:v>9.69</c:v>
                </c:pt>
                <c:pt idx="501">
                  <c:v>11.93</c:v>
                </c:pt>
                <c:pt idx="502">
                  <c:v>11.93</c:v>
                </c:pt>
                <c:pt idx="503">
                  <c:v>11.93</c:v>
                </c:pt>
                <c:pt idx="504">
                  <c:v>11.93</c:v>
                </c:pt>
                <c:pt idx="505">
                  <c:v>11.93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345728"/>
        <c:axId val="142688832"/>
      </c:lineChart>
      <c:catAx>
        <c:axId val="142345728"/>
        <c:scaling>
          <c:orientation val="minMax"/>
        </c:scaling>
        <c:delete val="0"/>
        <c:axPos val="b"/>
        <c:majorTickMark val="out"/>
        <c:minorTickMark val="none"/>
        <c:tickLblPos val="nextTo"/>
        <c:crossAx val="142688832"/>
        <c:crosses val="autoZero"/>
        <c:auto val="1"/>
        <c:lblAlgn val="ctr"/>
        <c:lblOffset val="100"/>
        <c:noMultiLvlLbl val="0"/>
      </c:catAx>
      <c:valAx>
        <c:axId val="1426888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423457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보스턴주택가격!$D$2</c:f>
              <c:strCache>
                <c:ptCount val="1"/>
                <c:pt idx="0">
                  <c:v>찰스강더미</c:v>
                </c:pt>
              </c:strCache>
            </c:strRef>
          </c:tx>
          <c:val>
            <c:numRef>
              <c:f>보스턴주택가격!$D$3:$D$508</c:f>
              <c:numCache>
                <c:formatCode>General</c:formatCode>
                <c:ptCount val="5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1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1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1</c:v>
                </c:pt>
                <c:pt idx="161">
                  <c:v>0</c:v>
                </c:pt>
                <c:pt idx="162">
                  <c:v>1</c:v>
                </c:pt>
                <c:pt idx="163">
                  <c:v>1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1</c:v>
                </c:pt>
                <c:pt idx="217">
                  <c:v>0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1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1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1</c:v>
                </c:pt>
                <c:pt idx="274">
                  <c:v>1</c:v>
                </c:pt>
                <c:pt idx="275">
                  <c:v>0</c:v>
                </c:pt>
                <c:pt idx="276">
                  <c:v>1</c:v>
                </c:pt>
                <c:pt idx="277">
                  <c:v>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1</c:v>
                </c:pt>
                <c:pt idx="283">
                  <c:v>1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1</c:v>
                </c:pt>
                <c:pt idx="364">
                  <c:v>1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1</c:v>
                </c:pt>
                <c:pt idx="370">
                  <c:v>1</c:v>
                </c:pt>
                <c:pt idx="371">
                  <c:v>0</c:v>
                </c:pt>
                <c:pt idx="372">
                  <c:v>1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346240"/>
        <c:axId val="142690560"/>
      </c:lineChart>
      <c:catAx>
        <c:axId val="142346240"/>
        <c:scaling>
          <c:orientation val="minMax"/>
        </c:scaling>
        <c:delete val="0"/>
        <c:axPos val="b"/>
        <c:majorTickMark val="out"/>
        <c:minorTickMark val="none"/>
        <c:tickLblPos val="nextTo"/>
        <c:crossAx val="142690560"/>
        <c:crosses val="autoZero"/>
        <c:auto val="1"/>
        <c:lblAlgn val="ctr"/>
        <c:lblOffset val="100"/>
        <c:noMultiLvlLbl val="0"/>
      </c:catAx>
      <c:valAx>
        <c:axId val="1426905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423462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보스턴주택가격!$E$2</c:f>
              <c:strCache>
                <c:ptCount val="1"/>
                <c:pt idx="0">
                  <c:v>일산화질소농도</c:v>
                </c:pt>
              </c:strCache>
            </c:strRef>
          </c:tx>
          <c:val>
            <c:numRef>
              <c:f>보스턴주택가격!$E$3:$E$508</c:f>
              <c:numCache>
                <c:formatCode>General</c:formatCode>
                <c:ptCount val="506"/>
                <c:pt idx="0">
                  <c:v>0.53800000000000003</c:v>
                </c:pt>
                <c:pt idx="1">
                  <c:v>0.46899999999999997</c:v>
                </c:pt>
                <c:pt idx="2">
                  <c:v>0.46899999999999997</c:v>
                </c:pt>
                <c:pt idx="3">
                  <c:v>0.45800000000000002</c:v>
                </c:pt>
                <c:pt idx="4">
                  <c:v>0.45800000000000002</c:v>
                </c:pt>
                <c:pt idx="5">
                  <c:v>0.45800000000000002</c:v>
                </c:pt>
                <c:pt idx="6">
                  <c:v>0.52400000000000002</c:v>
                </c:pt>
                <c:pt idx="7">
                  <c:v>0.52400000000000002</c:v>
                </c:pt>
                <c:pt idx="8">
                  <c:v>0.52400000000000002</c:v>
                </c:pt>
                <c:pt idx="9">
                  <c:v>0.52400000000000002</c:v>
                </c:pt>
                <c:pt idx="10">
                  <c:v>0.52400000000000002</c:v>
                </c:pt>
                <c:pt idx="11">
                  <c:v>0.52400000000000002</c:v>
                </c:pt>
                <c:pt idx="12">
                  <c:v>0.52400000000000002</c:v>
                </c:pt>
                <c:pt idx="13">
                  <c:v>0.53800000000000003</c:v>
                </c:pt>
                <c:pt idx="14">
                  <c:v>0.53800000000000003</c:v>
                </c:pt>
                <c:pt idx="15">
                  <c:v>0.53800000000000003</c:v>
                </c:pt>
                <c:pt idx="16">
                  <c:v>0.53800000000000003</c:v>
                </c:pt>
                <c:pt idx="17">
                  <c:v>0.53800000000000003</c:v>
                </c:pt>
                <c:pt idx="18">
                  <c:v>0.53800000000000003</c:v>
                </c:pt>
                <c:pt idx="19">
                  <c:v>0.53800000000000003</c:v>
                </c:pt>
                <c:pt idx="20">
                  <c:v>0.53800000000000003</c:v>
                </c:pt>
                <c:pt idx="21">
                  <c:v>0.53800000000000003</c:v>
                </c:pt>
                <c:pt idx="22">
                  <c:v>0.53800000000000003</c:v>
                </c:pt>
                <c:pt idx="23">
                  <c:v>0.53800000000000003</c:v>
                </c:pt>
                <c:pt idx="24">
                  <c:v>0.53800000000000003</c:v>
                </c:pt>
                <c:pt idx="25">
                  <c:v>0.53800000000000003</c:v>
                </c:pt>
                <c:pt idx="26">
                  <c:v>0.53800000000000003</c:v>
                </c:pt>
                <c:pt idx="27">
                  <c:v>0.53800000000000003</c:v>
                </c:pt>
                <c:pt idx="28">
                  <c:v>0.53800000000000003</c:v>
                </c:pt>
                <c:pt idx="29">
                  <c:v>0.53800000000000003</c:v>
                </c:pt>
                <c:pt idx="30">
                  <c:v>0.53800000000000003</c:v>
                </c:pt>
                <c:pt idx="31">
                  <c:v>0.53800000000000003</c:v>
                </c:pt>
                <c:pt idx="32">
                  <c:v>0.53800000000000003</c:v>
                </c:pt>
                <c:pt idx="33">
                  <c:v>0.53800000000000003</c:v>
                </c:pt>
                <c:pt idx="34">
                  <c:v>0.53800000000000003</c:v>
                </c:pt>
                <c:pt idx="35">
                  <c:v>0.499</c:v>
                </c:pt>
                <c:pt idx="36">
                  <c:v>0.499</c:v>
                </c:pt>
                <c:pt idx="37">
                  <c:v>0.499</c:v>
                </c:pt>
                <c:pt idx="38">
                  <c:v>0.499</c:v>
                </c:pt>
                <c:pt idx="39">
                  <c:v>0.42799999999999999</c:v>
                </c:pt>
                <c:pt idx="40">
                  <c:v>0.42799999999999999</c:v>
                </c:pt>
                <c:pt idx="41">
                  <c:v>0.44800000000000001</c:v>
                </c:pt>
                <c:pt idx="42">
                  <c:v>0.44800000000000001</c:v>
                </c:pt>
                <c:pt idx="43">
                  <c:v>0.44800000000000001</c:v>
                </c:pt>
                <c:pt idx="44">
                  <c:v>0.44800000000000001</c:v>
                </c:pt>
                <c:pt idx="45">
                  <c:v>0.44800000000000001</c:v>
                </c:pt>
                <c:pt idx="46">
                  <c:v>0.44800000000000001</c:v>
                </c:pt>
                <c:pt idx="47">
                  <c:v>0.44800000000000001</c:v>
                </c:pt>
                <c:pt idx="48">
                  <c:v>0.44800000000000001</c:v>
                </c:pt>
                <c:pt idx="49">
                  <c:v>0.44800000000000001</c:v>
                </c:pt>
                <c:pt idx="50">
                  <c:v>0.439</c:v>
                </c:pt>
                <c:pt idx="51">
                  <c:v>0.439</c:v>
                </c:pt>
                <c:pt idx="52">
                  <c:v>0.439</c:v>
                </c:pt>
                <c:pt idx="53">
                  <c:v>0.439</c:v>
                </c:pt>
                <c:pt idx="54">
                  <c:v>0.41</c:v>
                </c:pt>
                <c:pt idx="55">
                  <c:v>0.40300000000000002</c:v>
                </c:pt>
                <c:pt idx="56">
                  <c:v>0.41</c:v>
                </c:pt>
                <c:pt idx="57">
                  <c:v>0.41099999999999998</c:v>
                </c:pt>
                <c:pt idx="58">
                  <c:v>0.45300000000000001</c:v>
                </c:pt>
                <c:pt idx="59">
                  <c:v>0.45300000000000001</c:v>
                </c:pt>
                <c:pt idx="60">
                  <c:v>0.45300000000000001</c:v>
                </c:pt>
                <c:pt idx="61">
                  <c:v>0.45300000000000001</c:v>
                </c:pt>
                <c:pt idx="62">
                  <c:v>0.45300000000000001</c:v>
                </c:pt>
                <c:pt idx="63">
                  <c:v>0.45300000000000001</c:v>
                </c:pt>
                <c:pt idx="64">
                  <c:v>0.41610000000000003</c:v>
                </c:pt>
                <c:pt idx="65">
                  <c:v>0.39800000000000002</c:v>
                </c:pt>
                <c:pt idx="66">
                  <c:v>0.39800000000000002</c:v>
                </c:pt>
                <c:pt idx="67">
                  <c:v>0.40899999999999997</c:v>
                </c:pt>
                <c:pt idx="68">
                  <c:v>0.40899999999999997</c:v>
                </c:pt>
                <c:pt idx="69">
                  <c:v>0.40899999999999997</c:v>
                </c:pt>
                <c:pt idx="70">
                  <c:v>0.41299999999999998</c:v>
                </c:pt>
                <c:pt idx="71">
                  <c:v>0.41299999999999998</c:v>
                </c:pt>
                <c:pt idx="72">
                  <c:v>0.41299999999999998</c:v>
                </c:pt>
                <c:pt idx="73">
                  <c:v>0.41299999999999998</c:v>
                </c:pt>
                <c:pt idx="74">
                  <c:v>0.437</c:v>
                </c:pt>
                <c:pt idx="75">
                  <c:v>0.437</c:v>
                </c:pt>
                <c:pt idx="76">
                  <c:v>0.437</c:v>
                </c:pt>
                <c:pt idx="77">
                  <c:v>0.437</c:v>
                </c:pt>
                <c:pt idx="78">
                  <c:v>0.437</c:v>
                </c:pt>
                <c:pt idx="79">
                  <c:v>0.437</c:v>
                </c:pt>
                <c:pt idx="80">
                  <c:v>0.42599999999999999</c:v>
                </c:pt>
                <c:pt idx="81">
                  <c:v>0.42599999999999999</c:v>
                </c:pt>
                <c:pt idx="82">
                  <c:v>0.42599999999999999</c:v>
                </c:pt>
                <c:pt idx="83">
                  <c:v>0.42599999999999999</c:v>
                </c:pt>
                <c:pt idx="84">
                  <c:v>0.44900000000000001</c:v>
                </c:pt>
                <c:pt idx="85">
                  <c:v>0.44900000000000001</c:v>
                </c:pt>
                <c:pt idx="86">
                  <c:v>0.44900000000000001</c:v>
                </c:pt>
                <c:pt idx="87">
                  <c:v>0.44900000000000001</c:v>
                </c:pt>
                <c:pt idx="88">
                  <c:v>0.48899999999999999</c:v>
                </c:pt>
                <c:pt idx="89">
                  <c:v>0.48899999999999999</c:v>
                </c:pt>
                <c:pt idx="90">
                  <c:v>0.48899999999999999</c:v>
                </c:pt>
                <c:pt idx="91">
                  <c:v>0.48899999999999999</c:v>
                </c:pt>
                <c:pt idx="92">
                  <c:v>0.46400000000000002</c:v>
                </c:pt>
                <c:pt idx="93">
                  <c:v>0.46400000000000002</c:v>
                </c:pt>
                <c:pt idx="94">
                  <c:v>0.46400000000000002</c:v>
                </c:pt>
                <c:pt idx="95">
                  <c:v>0.44500000000000001</c:v>
                </c:pt>
                <c:pt idx="96">
                  <c:v>0.44500000000000001</c:v>
                </c:pt>
                <c:pt idx="97">
                  <c:v>0.44500000000000001</c:v>
                </c:pt>
                <c:pt idx="98">
                  <c:v>0.44500000000000001</c:v>
                </c:pt>
                <c:pt idx="99">
                  <c:v>0.44500000000000001</c:v>
                </c:pt>
                <c:pt idx="100">
                  <c:v>0.52</c:v>
                </c:pt>
                <c:pt idx="101">
                  <c:v>0.52</c:v>
                </c:pt>
                <c:pt idx="102">
                  <c:v>0.52</c:v>
                </c:pt>
                <c:pt idx="103">
                  <c:v>0.52</c:v>
                </c:pt>
                <c:pt idx="104">
                  <c:v>0.52</c:v>
                </c:pt>
                <c:pt idx="105">
                  <c:v>0.52</c:v>
                </c:pt>
                <c:pt idx="106">
                  <c:v>0.52</c:v>
                </c:pt>
                <c:pt idx="107">
                  <c:v>0.52</c:v>
                </c:pt>
                <c:pt idx="108">
                  <c:v>0.52</c:v>
                </c:pt>
                <c:pt idx="109">
                  <c:v>0.52</c:v>
                </c:pt>
                <c:pt idx="110">
                  <c:v>0.52</c:v>
                </c:pt>
                <c:pt idx="111">
                  <c:v>0.54700000000000004</c:v>
                </c:pt>
                <c:pt idx="112">
                  <c:v>0.54700000000000004</c:v>
                </c:pt>
                <c:pt idx="113">
                  <c:v>0.54700000000000004</c:v>
                </c:pt>
                <c:pt idx="114">
                  <c:v>0.54700000000000004</c:v>
                </c:pt>
                <c:pt idx="115">
                  <c:v>0.54700000000000004</c:v>
                </c:pt>
                <c:pt idx="116">
                  <c:v>0.54700000000000004</c:v>
                </c:pt>
                <c:pt idx="117">
                  <c:v>0.54700000000000004</c:v>
                </c:pt>
                <c:pt idx="118">
                  <c:v>0.54700000000000004</c:v>
                </c:pt>
                <c:pt idx="119">
                  <c:v>0.54700000000000004</c:v>
                </c:pt>
                <c:pt idx="120">
                  <c:v>0.58099999999999996</c:v>
                </c:pt>
                <c:pt idx="121">
                  <c:v>0.58099999999999996</c:v>
                </c:pt>
                <c:pt idx="122">
                  <c:v>0.58099999999999996</c:v>
                </c:pt>
                <c:pt idx="123">
                  <c:v>0.58099999999999996</c:v>
                </c:pt>
                <c:pt idx="124">
                  <c:v>0.58099999999999996</c:v>
                </c:pt>
                <c:pt idx="125">
                  <c:v>0.58099999999999996</c:v>
                </c:pt>
                <c:pt idx="126">
                  <c:v>0.58099999999999996</c:v>
                </c:pt>
                <c:pt idx="127">
                  <c:v>0.624</c:v>
                </c:pt>
                <c:pt idx="128">
                  <c:v>0.624</c:v>
                </c:pt>
                <c:pt idx="129">
                  <c:v>0.624</c:v>
                </c:pt>
                <c:pt idx="130">
                  <c:v>0.624</c:v>
                </c:pt>
                <c:pt idx="131">
                  <c:v>0.624</c:v>
                </c:pt>
                <c:pt idx="132">
                  <c:v>0.624</c:v>
                </c:pt>
                <c:pt idx="133">
                  <c:v>0.624</c:v>
                </c:pt>
                <c:pt idx="134">
                  <c:v>0.624</c:v>
                </c:pt>
                <c:pt idx="135">
                  <c:v>0.624</c:v>
                </c:pt>
                <c:pt idx="136">
                  <c:v>0.624</c:v>
                </c:pt>
                <c:pt idx="137">
                  <c:v>0.624</c:v>
                </c:pt>
                <c:pt idx="138">
                  <c:v>0.624</c:v>
                </c:pt>
                <c:pt idx="139">
                  <c:v>0.624</c:v>
                </c:pt>
                <c:pt idx="140">
                  <c:v>0.624</c:v>
                </c:pt>
                <c:pt idx="141">
                  <c:v>0.624</c:v>
                </c:pt>
                <c:pt idx="142">
                  <c:v>0.871</c:v>
                </c:pt>
                <c:pt idx="143">
                  <c:v>0.871</c:v>
                </c:pt>
                <c:pt idx="144">
                  <c:v>0.871</c:v>
                </c:pt>
                <c:pt idx="145">
                  <c:v>0.871</c:v>
                </c:pt>
                <c:pt idx="146">
                  <c:v>0.871</c:v>
                </c:pt>
                <c:pt idx="147">
                  <c:v>0.871</c:v>
                </c:pt>
                <c:pt idx="148">
                  <c:v>0.871</c:v>
                </c:pt>
                <c:pt idx="149">
                  <c:v>0.871</c:v>
                </c:pt>
                <c:pt idx="150">
                  <c:v>0.871</c:v>
                </c:pt>
                <c:pt idx="151">
                  <c:v>0.871</c:v>
                </c:pt>
                <c:pt idx="152">
                  <c:v>0.871</c:v>
                </c:pt>
                <c:pt idx="153">
                  <c:v>0.871</c:v>
                </c:pt>
                <c:pt idx="154">
                  <c:v>0.871</c:v>
                </c:pt>
                <c:pt idx="155">
                  <c:v>0.871</c:v>
                </c:pt>
                <c:pt idx="156">
                  <c:v>0.871</c:v>
                </c:pt>
                <c:pt idx="157">
                  <c:v>0.60499999999999998</c:v>
                </c:pt>
                <c:pt idx="158">
                  <c:v>0.60499999999999998</c:v>
                </c:pt>
                <c:pt idx="159">
                  <c:v>0.871</c:v>
                </c:pt>
                <c:pt idx="160">
                  <c:v>0.60499999999999998</c:v>
                </c:pt>
                <c:pt idx="161">
                  <c:v>0.60499999999999998</c:v>
                </c:pt>
                <c:pt idx="162">
                  <c:v>0.60499999999999998</c:v>
                </c:pt>
                <c:pt idx="163">
                  <c:v>0.60499999999999998</c:v>
                </c:pt>
                <c:pt idx="164">
                  <c:v>0.60499999999999998</c:v>
                </c:pt>
                <c:pt idx="165">
                  <c:v>0.60499999999999998</c:v>
                </c:pt>
                <c:pt idx="166">
                  <c:v>0.60499999999999998</c:v>
                </c:pt>
                <c:pt idx="167">
                  <c:v>0.60499999999999998</c:v>
                </c:pt>
                <c:pt idx="168">
                  <c:v>0.60499999999999998</c:v>
                </c:pt>
                <c:pt idx="169">
                  <c:v>0.60499999999999998</c:v>
                </c:pt>
                <c:pt idx="170">
                  <c:v>0.60499999999999998</c:v>
                </c:pt>
                <c:pt idx="171">
                  <c:v>0.60499999999999998</c:v>
                </c:pt>
                <c:pt idx="172">
                  <c:v>0.51</c:v>
                </c:pt>
                <c:pt idx="173">
                  <c:v>0.51</c:v>
                </c:pt>
                <c:pt idx="174">
                  <c:v>0.51</c:v>
                </c:pt>
                <c:pt idx="175">
                  <c:v>0.51</c:v>
                </c:pt>
                <c:pt idx="176">
                  <c:v>0.51</c:v>
                </c:pt>
                <c:pt idx="177">
                  <c:v>0.51</c:v>
                </c:pt>
                <c:pt idx="178">
                  <c:v>0.51</c:v>
                </c:pt>
                <c:pt idx="179">
                  <c:v>0.48799999999999999</c:v>
                </c:pt>
                <c:pt idx="180">
                  <c:v>0.48799999999999999</c:v>
                </c:pt>
                <c:pt idx="181">
                  <c:v>0.48799999999999999</c:v>
                </c:pt>
                <c:pt idx="182">
                  <c:v>0.48799999999999999</c:v>
                </c:pt>
                <c:pt idx="183">
                  <c:v>0.48799999999999999</c:v>
                </c:pt>
                <c:pt idx="184">
                  <c:v>0.48799999999999999</c:v>
                </c:pt>
                <c:pt idx="185">
                  <c:v>0.48799999999999999</c:v>
                </c:pt>
                <c:pt idx="186">
                  <c:v>0.48799999999999999</c:v>
                </c:pt>
                <c:pt idx="187">
                  <c:v>0.437</c:v>
                </c:pt>
                <c:pt idx="188">
                  <c:v>0.437</c:v>
                </c:pt>
                <c:pt idx="189">
                  <c:v>0.437</c:v>
                </c:pt>
                <c:pt idx="190">
                  <c:v>0.437</c:v>
                </c:pt>
                <c:pt idx="191">
                  <c:v>0.437</c:v>
                </c:pt>
                <c:pt idx="192">
                  <c:v>0.437</c:v>
                </c:pt>
                <c:pt idx="193">
                  <c:v>0.40100000000000002</c:v>
                </c:pt>
                <c:pt idx="194">
                  <c:v>0.40100000000000002</c:v>
                </c:pt>
                <c:pt idx="195">
                  <c:v>0.42199999999999999</c:v>
                </c:pt>
                <c:pt idx="196">
                  <c:v>0.40400000000000003</c:v>
                </c:pt>
                <c:pt idx="197">
                  <c:v>0.40400000000000003</c:v>
                </c:pt>
                <c:pt idx="198">
                  <c:v>0.40400000000000003</c:v>
                </c:pt>
                <c:pt idx="199">
                  <c:v>0.40300000000000002</c:v>
                </c:pt>
                <c:pt idx="200">
                  <c:v>0.40300000000000002</c:v>
                </c:pt>
                <c:pt idx="201">
                  <c:v>0.41499999999999998</c:v>
                </c:pt>
                <c:pt idx="202">
                  <c:v>0.41499999999999998</c:v>
                </c:pt>
                <c:pt idx="203">
                  <c:v>0.41610000000000003</c:v>
                </c:pt>
                <c:pt idx="204">
                  <c:v>0.41610000000000003</c:v>
                </c:pt>
                <c:pt idx="205">
                  <c:v>0.48899999999999999</c:v>
                </c:pt>
                <c:pt idx="206">
                  <c:v>0.48899999999999999</c:v>
                </c:pt>
                <c:pt idx="207">
                  <c:v>0.48899999999999999</c:v>
                </c:pt>
                <c:pt idx="208">
                  <c:v>0.48899999999999999</c:v>
                </c:pt>
                <c:pt idx="209">
                  <c:v>0.48899999999999999</c:v>
                </c:pt>
                <c:pt idx="210">
                  <c:v>0.48899999999999999</c:v>
                </c:pt>
                <c:pt idx="211">
                  <c:v>0.48899999999999999</c:v>
                </c:pt>
                <c:pt idx="212">
                  <c:v>0.48899999999999999</c:v>
                </c:pt>
                <c:pt idx="213">
                  <c:v>0.48899999999999999</c:v>
                </c:pt>
                <c:pt idx="214">
                  <c:v>0.48899999999999999</c:v>
                </c:pt>
                <c:pt idx="215">
                  <c:v>0.48899999999999999</c:v>
                </c:pt>
                <c:pt idx="216">
                  <c:v>0.55000000000000004</c:v>
                </c:pt>
                <c:pt idx="217">
                  <c:v>0.55000000000000004</c:v>
                </c:pt>
                <c:pt idx="218">
                  <c:v>0.55000000000000004</c:v>
                </c:pt>
                <c:pt idx="219">
                  <c:v>0.55000000000000004</c:v>
                </c:pt>
                <c:pt idx="220">
                  <c:v>0.50700000000000001</c:v>
                </c:pt>
                <c:pt idx="221">
                  <c:v>0.50700000000000001</c:v>
                </c:pt>
                <c:pt idx="222">
                  <c:v>0.50700000000000001</c:v>
                </c:pt>
                <c:pt idx="223">
                  <c:v>0.50700000000000001</c:v>
                </c:pt>
                <c:pt idx="224">
                  <c:v>0.504</c:v>
                </c:pt>
                <c:pt idx="225">
                  <c:v>0.504</c:v>
                </c:pt>
                <c:pt idx="226">
                  <c:v>0.504</c:v>
                </c:pt>
                <c:pt idx="227">
                  <c:v>0.504</c:v>
                </c:pt>
                <c:pt idx="228">
                  <c:v>0.504</c:v>
                </c:pt>
                <c:pt idx="229">
                  <c:v>0.504</c:v>
                </c:pt>
                <c:pt idx="230">
                  <c:v>0.504</c:v>
                </c:pt>
                <c:pt idx="231">
                  <c:v>0.504</c:v>
                </c:pt>
                <c:pt idx="232">
                  <c:v>0.50700000000000001</c:v>
                </c:pt>
                <c:pt idx="233">
                  <c:v>0.50700000000000001</c:v>
                </c:pt>
                <c:pt idx="234">
                  <c:v>0.50700000000000001</c:v>
                </c:pt>
                <c:pt idx="235">
                  <c:v>0.50700000000000001</c:v>
                </c:pt>
                <c:pt idx="236">
                  <c:v>0.50700000000000001</c:v>
                </c:pt>
                <c:pt idx="237">
                  <c:v>0.50700000000000001</c:v>
                </c:pt>
                <c:pt idx="238">
                  <c:v>0.42799999999999999</c:v>
                </c:pt>
                <c:pt idx="239">
                  <c:v>0.42799999999999999</c:v>
                </c:pt>
                <c:pt idx="240">
                  <c:v>0.42799999999999999</c:v>
                </c:pt>
                <c:pt idx="241">
                  <c:v>0.42799999999999999</c:v>
                </c:pt>
                <c:pt idx="242">
                  <c:v>0.42799999999999999</c:v>
                </c:pt>
                <c:pt idx="243">
                  <c:v>0.42799999999999999</c:v>
                </c:pt>
                <c:pt idx="244">
                  <c:v>0.43099999999999999</c:v>
                </c:pt>
                <c:pt idx="245">
                  <c:v>0.43099999999999999</c:v>
                </c:pt>
                <c:pt idx="246">
                  <c:v>0.43099999999999999</c:v>
                </c:pt>
                <c:pt idx="247">
                  <c:v>0.43099999999999999</c:v>
                </c:pt>
                <c:pt idx="248">
                  <c:v>0.43099999999999999</c:v>
                </c:pt>
                <c:pt idx="249">
                  <c:v>0.43099999999999999</c:v>
                </c:pt>
                <c:pt idx="250">
                  <c:v>0.43099999999999999</c:v>
                </c:pt>
                <c:pt idx="251">
                  <c:v>0.43099999999999999</c:v>
                </c:pt>
                <c:pt idx="252">
                  <c:v>0.43099999999999999</c:v>
                </c:pt>
                <c:pt idx="253">
                  <c:v>0.43099999999999999</c:v>
                </c:pt>
                <c:pt idx="254">
                  <c:v>0.39200000000000002</c:v>
                </c:pt>
                <c:pt idx="255">
                  <c:v>0.39200000000000002</c:v>
                </c:pt>
                <c:pt idx="256">
                  <c:v>0.39400000000000002</c:v>
                </c:pt>
                <c:pt idx="257">
                  <c:v>0.64700000000000002</c:v>
                </c:pt>
                <c:pt idx="258">
                  <c:v>0.64700000000000002</c:v>
                </c:pt>
                <c:pt idx="259">
                  <c:v>0.64700000000000002</c:v>
                </c:pt>
                <c:pt idx="260">
                  <c:v>0.64700000000000002</c:v>
                </c:pt>
                <c:pt idx="261">
                  <c:v>0.64700000000000002</c:v>
                </c:pt>
                <c:pt idx="262">
                  <c:v>0.64700000000000002</c:v>
                </c:pt>
                <c:pt idx="263">
                  <c:v>0.64700000000000002</c:v>
                </c:pt>
                <c:pt idx="264">
                  <c:v>0.64700000000000002</c:v>
                </c:pt>
                <c:pt idx="265">
                  <c:v>0.64700000000000002</c:v>
                </c:pt>
                <c:pt idx="266">
                  <c:v>0.64700000000000002</c:v>
                </c:pt>
                <c:pt idx="267">
                  <c:v>0.57499999999999996</c:v>
                </c:pt>
                <c:pt idx="268">
                  <c:v>0.57499999999999996</c:v>
                </c:pt>
                <c:pt idx="269">
                  <c:v>0.46400000000000002</c:v>
                </c:pt>
                <c:pt idx="270">
                  <c:v>0.46400000000000002</c:v>
                </c:pt>
                <c:pt idx="271">
                  <c:v>0.46400000000000002</c:v>
                </c:pt>
                <c:pt idx="272">
                  <c:v>0.46400000000000002</c:v>
                </c:pt>
                <c:pt idx="273">
                  <c:v>0.46400000000000002</c:v>
                </c:pt>
                <c:pt idx="274">
                  <c:v>0.44700000000000001</c:v>
                </c:pt>
                <c:pt idx="275">
                  <c:v>0.44700000000000001</c:v>
                </c:pt>
                <c:pt idx="276">
                  <c:v>0.44700000000000001</c:v>
                </c:pt>
                <c:pt idx="277">
                  <c:v>0.44700000000000001</c:v>
                </c:pt>
                <c:pt idx="278">
                  <c:v>0.44700000000000001</c:v>
                </c:pt>
                <c:pt idx="279">
                  <c:v>0.44290000000000002</c:v>
                </c:pt>
                <c:pt idx="280">
                  <c:v>0.44290000000000002</c:v>
                </c:pt>
                <c:pt idx="281">
                  <c:v>0.44290000000000002</c:v>
                </c:pt>
                <c:pt idx="282">
                  <c:v>0.44290000000000002</c:v>
                </c:pt>
                <c:pt idx="283">
                  <c:v>0.40100000000000002</c:v>
                </c:pt>
                <c:pt idx="284">
                  <c:v>0.4</c:v>
                </c:pt>
                <c:pt idx="285">
                  <c:v>0.38900000000000001</c:v>
                </c:pt>
                <c:pt idx="286">
                  <c:v>0.38500000000000001</c:v>
                </c:pt>
                <c:pt idx="287">
                  <c:v>0.40500000000000003</c:v>
                </c:pt>
                <c:pt idx="288">
                  <c:v>0.40500000000000003</c:v>
                </c:pt>
                <c:pt idx="289">
                  <c:v>0.40500000000000003</c:v>
                </c:pt>
                <c:pt idx="290">
                  <c:v>0.41099999999999998</c:v>
                </c:pt>
                <c:pt idx="291">
                  <c:v>0.41099999999999998</c:v>
                </c:pt>
                <c:pt idx="292">
                  <c:v>0.41099999999999998</c:v>
                </c:pt>
                <c:pt idx="293">
                  <c:v>0.437</c:v>
                </c:pt>
                <c:pt idx="294">
                  <c:v>0.437</c:v>
                </c:pt>
                <c:pt idx="295">
                  <c:v>0.437</c:v>
                </c:pt>
                <c:pt idx="296">
                  <c:v>0.437</c:v>
                </c:pt>
                <c:pt idx="297">
                  <c:v>0.437</c:v>
                </c:pt>
                <c:pt idx="298">
                  <c:v>0.4</c:v>
                </c:pt>
                <c:pt idx="299">
                  <c:v>0.4</c:v>
                </c:pt>
                <c:pt idx="300">
                  <c:v>0.4</c:v>
                </c:pt>
                <c:pt idx="301">
                  <c:v>0.433</c:v>
                </c:pt>
                <c:pt idx="302">
                  <c:v>0.433</c:v>
                </c:pt>
                <c:pt idx="303">
                  <c:v>0.433</c:v>
                </c:pt>
                <c:pt idx="304">
                  <c:v>0.47199999999999998</c:v>
                </c:pt>
                <c:pt idx="305">
                  <c:v>0.47199999999999998</c:v>
                </c:pt>
                <c:pt idx="306">
                  <c:v>0.47199999999999998</c:v>
                </c:pt>
                <c:pt idx="307">
                  <c:v>0.47199999999999998</c:v>
                </c:pt>
                <c:pt idx="308">
                  <c:v>0.54400000000000004</c:v>
                </c:pt>
                <c:pt idx="309">
                  <c:v>0.54400000000000004</c:v>
                </c:pt>
                <c:pt idx="310">
                  <c:v>0.54400000000000004</c:v>
                </c:pt>
                <c:pt idx="311">
                  <c:v>0.54400000000000004</c:v>
                </c:pt>
                <c:pt idx="312">
                  <c:v>0.54400000000000004</c:v>
                </c:pt>
                <c:pt idx="313">
                  <c:v>0.54400000000000004</c:v>
                </c:pt>
                <c:pt idx="314">
                  <c:v>0.54400000000000004</c:v>
                </c:pt>
                <c:pt idx="315">
                  <c:v>0.54400000000000004</c:v>
                </c:pt>
                <c:pt idx="316">
                  <c:v>0.54400000000000004</c:v>
                </c:pt>
                <c:pt idx="317">
                  <c:v>0.54400000000000004</c:v>
                </c:pt>
                <c:pt idx="318">
                  <c:v>0.54400000000000004</c:v>
                </c:pt>
                <c:pt idx="319">
                  <c:v>0.54400000000000004</c:v>
                </c:pt>
                <c:pt idx="320">
                  <c:v>0.49299999999999999</c:v>
                </c:pt>
                <c:pt idx="321">
                  <c:v>0.49299999999999999</c:v>
                </c:pt>
                <c:pt idx="322">
                  <c:v>0.49299999999999999</c:v>
                </c:pt>
                <c:pt idx="323">
                  <c:v>0.49299999999999999</c:v>
                </c:pt>
                <c:pt idx="324">
                  <c:v>0.49299999999999999</c:v>
                </c:pt>
                <c:pt idx="325">
                  <c:v>0.49299999999999999</c:v>
                </c:pt>
                <c:pt idx="326">
                  <c:v>0.49299999999999999</c:v>
                </c:pt>
                <c:pt idx="327">
                  <c:v>0.49299999999999999</c:v>
                </c:pt>
                <c:pt idx="328">
                  <c:v>0.46</c:v>
                </c:pt>
                <c:pt idx="329">
                  <c:v>0.46</c:v>
                </c:pt>
                <c:pt idx="330">
                  <c:v>0.46</c:v>
                </c:pt>
                <c:pt idx="331">
                  <c:v>0.43790000000000001</c:v>
                </c:pt>
                <c:pt idx="332">
                  <c:v>0.43790000000000001</c:v>
                </c:pt>
                <c:pt idx="333">
                  <c:v>0.51500000000000001</c:v>
                </c:pt>
                <c:pt idx="334">
                  <c:v>0.51500000000000001</c:v>
                </c:pt>
                <c:pt idx="335">
                  <c:v>0.51500000000000001</c:v>
                </c:pt>
                <c:pt idx="336">
                  <c:v>0.51500000000000001</c:v>
                </c:pt>
                <c:pt idx="337">
                  <c:v>0.51500000000000001</c:v>
                </c:pt>
                <c:pt idx="338">
                  <c:v>0.51500000000000001</c:v>
                </c:pt>
                <c:pt idx="339">
                  <c:v>0.51500000000000001</c:v>
                </c:pt>
                <c:pt idx="340">
                  <c:v>0.51500000000000001</c:v>
                </c:pt>
                <c:pt idx="341">
                  <c:v>0.442</c:v>
                </c:pt>
                <c:pt idx="342">
                  <c:v>0.51800000000000002</c:v>
                </c:pt>
                <c:pt idx="343">
                  <c:v>0.48399999999999999</c:v>
                </c:pt>
                <c:pt idx="344">
                  <c:v>0.48399999999999999</c:v>
                </c:pt>
                <c:pt idx="345">
                  <c:v>0.442</c:v>
                </c:pt>
                <c:pt idx="346">
                  <c:v>0.442</c:v>
                </c:pt>
                <c:pt idx="347">
                  <c:v>0.42899999999999999</c:v>
                </c:pt>
                <c:pt idx="348">
                  <c:v>0.435</c:v>
                </c:pt>
                <c:pt idx="349">
                  <c:v>0.42899999999999999</c:v>
                </c:pt>
                <c:pt idx="350">
                  <c:v>0.42899999999999999</c:v>
                </c:pt>
                <c:pt idx="351">
                  <c:v>0.41099999999999998</c:v>
                </c:pt>
                <c:pt idx="352">
                  <c:v>0.41099999999999998</c:v>
                </c:pt>
                <c:pt idx="353">
                  <c:v>0.41</c:v>
                </c:pt>
                <c:pt idx="354">
                  <c:v>0.41299999999999998</c:v>
                </c:pt>
                <c:pt idx="355">
                  <c:v>0.41299999999999998</c:v>
                </c:pt>
                <c:pt idx="356">
                  <c:v>0.77</c:v>
                </c:pt>
                <c:pt idx="357">
                  <c:v>0.77</c:v>
                </c:pt>
                <c:pt idx="358">
                  <c:v>0.77</c:v>
                </c:pt>
                <c:pt idx="359">
                  <c:v>0.77</c:v>
                </c:pt>
                <c:pt idx="360">
                  <c:v>0.77</c:v>
                </c:pt>
                <c:pt idx="361">
                  <c:v>0.77</c:v>
                </c:pt>
                <c:pt idx="362">
                  <c:v>0.77</c:v>
                </c:pt>
                <c:pt idx="363">
                  <c:v>0.77</c:v>
                </c:pt>
                <c:pt idx="364">
                  <c:v>0.71799999999999997</c:v>
                </c:pt>
                <c:pt idx="365">
                  <c:v>0.71799999999999997</c:v>
                </c:pt>
                <c:pt idx="366">
                  <c:v>0.71799999999999997</c:v>
                </c:pt>
                <c:pt idx="367">
                  <c:v>0.63100000000000001</c:v>
                </c:pt>
                <c:pt idx="368">
                  <c:v>0.63100000000000001</c:v>
                </c:pt>
                <c:pt idx="369">
                  <c:v>0.63100000000000001</c:v>
                </c:pt>
                <c:pt idx="370">
                  <c:v>0.63100000000000001</c:v>
                </c:pt>
                <c:pt idx="371">
                  <c:v>0.63100000000000001</c:v>
                </c:pt>
                <c:pt idx="372">
                  <c:v>0.66800000000000004</c:v>
                </c:pt>
                <c:pt idx="373">
                  <c:v>0.66800000000000004</c:v>
                </c:pt>
                <c:pt idx="374">
                  <c:v>0.66800000000000004</c:v>
                </c:pt>
                <c:pt idx="375">
                  <c:v>0.67100000000000004</c:v>
                </c:pt>
                <c:pt idx="376">
                  <c:v>0.67100000000000004</c:v>
                </c:pt>
                <c:pt idx="377">
                  <c:v>0.67100000000000004</c:v>
                </c:pt>
                <c:pt idx="378">
                  <c:v>0.67100000000000004</c:v>
                </c:pt>
                <c:pt idx="379">
                  <c:v>0.67100000000000004</c:v>
                </c:pt>
                <c:pt idx="380">
                  <c:v>0.67100000000000004</c:v>
                </c:pt>
                <c:pt idx="381">
                  <c:v>0.67100000000000004</c:v>
                </c:pt>
                <c:pt idx="382">
                  <c:v>0.7</c:v>
                </c:pt>
                <c:pt idx="383">
                  <c:v>0.7</c:v>
                </c:pt>
                <c:pt idx="384">
                  <c:v>0.7</c:v>
                </c:pt>
                <c:pt idx="385">
                  <c:v>0.7</c:v>
                </c:pt>
                <c:pt idx="386">
                  <c:v>0.7</c:v>
                </c:pt>
                <c:pt idx="387">
                  <c:v>0.7</c:v>
                </c:pt>
                <c:pt idx="388">
                  <c:v>0.7</c:v>
                </c:pt>
                <c:pt idx="389">
                  <c:v>0.7</c:v>
                </c:pt>
                <c:pt idx="390">
                  <c:v>0.7</c:v>
                </c:pt>
                <c:pt idx="391">
                  <c:v>0.7</c:v>
                </c:pt>
                <c:pt idx="392">
                  <c:v>0.7</c:v>
                </c:pt>
                <c:pt idx="393">
                  <c:v>0.69299999999999995</c:v>
                </c:pt>
                <c:pt idx="394">
                  <c:v>0.69299999999999995</c:v>
                </c:pt>
                <c:pt idx="395">
                  <c:v>0.69299999999999995</c:v>
                </c:pt>
                <c:pt idx="396">
                  <c:v>0.69299999999999995</c:v>
                </c:pt>
                <c:pt idx="397">
                  <c:v>0.69299999999999995</c:v>
                </c:pt>
                <c:pt idx="398">
                  <c:v>0.69299999999999995</c:v>
                </c:pt>
                <c:pt idx="399">
                  <c:v>0.69299999999999995</c:v>
                </c:pt>
                <c:pt idx="400">
                  <c:v>0.69299999999999995</c:v>
                </c:pt>
                <c:pt idx="401">
                  <c:v>0.69299999999999995</c:v>
                </c:pt>
                <c:pt idx="402">
                  <c:v>0.69299999999999995</c:v>
                </c:pt>
                <c:pt idx="403">
                  <c:v>0.69299999999999995</c:v>
                </c:pt>
                <c:pt idx="404">
                  <c:v>0.69299999999999995</c:v>
                </c:pt>
                <c:pt idx="405">
                  <c:v>0.69299999999999995</c:v>
                </c:pt>
                <c:pt idx="406">
                  <c:v>0.65900000000000003</c:v>
                </c:pt>
                <c:pt idx="407">
                  <c:v>0.65900000000000003</c:v>
                </c:pt>
                <c:pt idx="408">
                  <c:v>0.59699999999999998</c:v>
                </c:pt>
                <c:pt idx="409">
                  <c:v>0.59699999999999998</c:v>
                </c:pt>
                <c:pt idx="410">
                  <c:v>0.59699999999999998</c:v>
                </c:pt>
                <c:pt idx="411">
                  <c:v>0.59699999999999998</c:v>
                </c:pt>
                <c:pt idx="412">
                  <c:v>0.59699999999999998</c:v>
                </c:pt>
                <c:pt idx="413">
                  <c:v>0.59699999999999998</c:v>
                </c:pt>
                <c:pt idx="414">
                  <c:v>0.69299999999999995</c:v>
                </c:pt>
                <c:pt idx="415">
                  <c:v>0.67900000000000005</c:v>
                </c:pt>
                <c:pt idx="416">
                  <c:v>0.67900000000000005</c:v>
                </c:pt>
                <c:pt idx="417">
                  <c:v>0.67900000000000005</c:v>
                </c:pt>
                <c:pt idx="418">
                  <c:v>0.67900000000000005</c:v>
                </c:pt>
                <c:pt idx="419">
                  <c:v>0.71799999999999997</c:v>
                </c:pt>
                <c:pt idx="420">
                  <c:v>0.71799999999999997</c:v>
                </c:pt>
                <c:pt idx="421">
                  <c:v>0.71799999999999997</c:v>
                </c:pt>
                <c:pt idx="422">
                  <c:v>0.61399999999999999</c:v>
                </c:pt>
                <c:pt idx="423">
                  <c:v>0.61399999999999999</c:v>
                </c:pt>
                <c:pt idx="424">
                  <c:v>0.58399999999999996</c:v>
                </c:pt>
                <c:pt idx="425">
                  <c:v>0.67900000000000005</c:v>
                </c:pt>
                <c:pt idx="426">
                  <c:v>0.58399999999999996</c:v>
                </c:pt>
                <c:pt idx="427">
                  <c:v>0.67900000000000005</c:v>
                </c:pt>
                <c:pt idx="428">
                  <c:v>0.67900000000000005</c:v>
                </c:pt>
                <c:pt idx="429">
                  <c:v>0.67900000000000005</c:v>
                </c:pt>
                <c:pt idx="430">
                  <c:v>0.58399999999999996</c:v>
                </c:pt>
                <c:pt idx="431">
                  <c:v>0.58399999999999996</c:v>
                </c:pt>
                <c:pt idx="432">
                  <c:v>0.58399999999999996</c:v>
                </c:pt>
                <c:pt idx="433">
                  <c:v>0.71299999999999997</c:v>
                </c:pt>
                <c:pt idx="434">
                  <c:v>0.71299999999999997</c:v>
                </c:pt>
                <c:pt idx="435">
                  <c:v>0.74</c:v>
                </c:pt>
                <c:pt idx="436">
                  <c:v>0.74</c:v>
                </c:pt>
                <c:pt idx="437">
                  <c:v>0.74</c:v>
                </c:pt>
                <c:pt idx="438">
                  <c:v>0.74</c:v>
                </c:pt>
                <c:pt idx="439">
                  <c:v>0.74</c:v>
                </c:pt>
                <c:pt idx="440">
                  <c:v>0.74</c:v>
                </c:pt>
                <c:pt idx="441">
                  <c:v>0.74</c:v>
                </c:pt>
                <c:pt idx="442">
                  <c:v>0.74</c:v>
                </c:pt>
                <c:pt idx="443">
                  <c:v>0.74</c:v>
                </c:pt>
                <c:pt idx="444">
                  <c:v>0.74</c:v>
                </c:pt>
                <c:pt idx="445">
                  <c:v>0.74</c:v>
                </c:pt>
                <c:pt idx="446">
                  <c:v>0.74</c:v>
                </c:pt>
                <c:pt idx="447">
                  <c:v>0.74</c:v>
                </c:pt>
                <c:pt idx="448">
                  <c:v>0.71299999999999997</c:v>
                </c:pt>
                <c:pt idx="449">
                  <c:v>0.71299999999999997</c:v>
                </c:pt>
                <c:pt idx="450">
                  <c:v>0.71299999999999997</c:v>
                </c:pt>
                <c:pt idx="451">
                  <c:v>0.71299999999999997</c:v>
                </c:pt>
                <c:pt idx="452">
                  <c:v>0.71299999999999997</c:v>
                </c:pt>
                <c:pt idx="453">
                  <c:v>0.71299999999999997</c:v>
                </c:pt>
                <c:pt idx="454">
                  <c:v>0.71299999999999997</c:v>
                </c:pt>
                <c:pt idx="455">
                  <c:v>0.71299999999999997</c:v>
                </c:pt>
                <c:pt idx="456">
                  <c:v>0.71299999999999997</c:v>
                </c:pt>
                <c:pt idx="457">
                  <c:v>0.71299999999999997</c:v>
                </c:pt>
                <c:pt idx="458">
                  <c:v>0.71299999999999997</c:v>
                </c:pt>
                <c:pt idx="459">
                  <c:v>0.71299999999999997</c:v>
                </c:pt>
                <c:pt idx="460">
                  <c:v>0.71299999999999997</c:v>
                </c:pt>
                <c:pt idx="461">
                  <c:v>0.71299999999999997</c:v>
                </c:pt>
                <c:pt idx="462">
                  <c:v>0.71299999999999997</c:v>
                </c:pt>
                <c:pt idx="463">
                  <c:v>0.71299999999999997</c:v>
                </c:pt>
                <c:pt idx="464">
                  <c:v>0.65500000000000003</c:v>
                </c:pt>
                <c:pt idx="465">
                  <c:v>0.65500000000000003</c:v>
                </c:pt>
                <c:pt idx="466">
                  <c:v>0.65500000000000003</c:v>
                </c:pt>
                <c:pt idx="467">
                  <c:v>0.58399999999999996</c:v>
                </c:pt>
                <c:pt idx="468">
                  <c:v>0.57999999999999996</c:v>
                </c:pt>
                <c:pt idx="469">
                  <c:v>0.57999999999999996</c:v>
                </c:pt>
                <c:pt idx="470">
                  <c:v>0.57999999999999996</c:v>
                </c:pt>
                <c:pt idx="471">
                  <c:v>0.53200000000000003</c:v>
                </c:pt>
                <c:pt idx="472">
                  <c:v>0.57999999999999996</c:v>
                </c:pt>
                <c:pt idx="473">
                  <c:v>0.61399999999999999</c:v>
                </c:pt>
                <c:pt idx="474">
                  <c:v>0.58399999999999996</c:v>
                </c:pt>
                <c:pt idx="475">
                  <c:v>0.58399999999999996</c:v>
                </c:pt>
                <c:pt idx="476">
                  <c:v>0.61399999999999999</c:v>
                </c:pt>
                <c:pt idx="477">
                  <c:v>0.61399999999999999</c:v>
                </c:pt>
                <c:pt idx="478">
                  <c:v>0.61399999999999999</c:v>
                </c:pt>
                <c:pt idx="479">
                  <c:v>0.61399999999999999</c:v>
                </c:pt>
                <c:pt idx="480">
                  <c:v>0.53200000000000003</c:v>
                </c:pt>
                <c:pt idx="481">
                  <c:v>0.53200000000000003</c:v>
                </c:pt>
                <c:pt idx="482">
                  <c:v>0.53200000000000003</c:v>
                </c:pt>
                <c:pt idx="483">
                  <c:v>0.53200000000000003</c:v>
                </c:pt>
                <c:pt idx="484">
                  <c:v>0.58299999999999996</c:v>
                </c:pt>
                <c:pt idx="485">
                  <c:v>0.58299999999999996</c:v>
                </c:pt>
                <c:pt idx="486">
                  <c:v>0.58299999999999996</c:v>
                </c:pt>
                <c:pt idx="487">
                  <c:v>0.58299999999999996</c:v>
                </c:pt>
                <c:pt idx="488">
                  <c:v>0.60899999999999999</c:v>
                </c:pt>
                <c:pt idx="489">
                  <c:v>0.60899999999999999</c:v>
                </c:pt>
                <c:pt idx="490">
                  <c:v>0.60899999999999999</c:v>
                </c:pt>
                <c:pt idx="491">
                  <c:v>0.60899999999999999</c:v>
                </c:pt>
                <c:pt idx="492">
                  <c:v>0.60899999999999999</c:v>
                </c:pt>
                <c:pt idx="493">
                  <c:v>0.58499999999999996</c:v>
                </c:pt>
                <c:pt idx="494">
                  <c:v>0.58499999999999996</c:v>
                </c:pt>
                <c:pt idx="495">
                  <c:v>0.58499999999999996</c:v>
                </c:pt>
                <c:pt idx="496">
                  <c:v>0.58499999999999996</c:v>
                </c:pt>
                <c:pt idx="497">
                  <c:v>0.58499999999999996</c:v>
                </c:pt>
                <c:pt idx="498">
                  <c:v>0.58499999999999996</c:v>
                </c:pt>
                <c:pt idx="499">
                  <c:v>0.58499999999999996</c:v>
                </c:pt>
                <c:pt idx="500">
                  <c:v>0.58499999999999996</c:v>
                </c:pt>
                <c:pt idx="501">
                  <c:v>0.57299999999999995</c:v>
                </c:pt>
                <c:pt idx="502">
                  <c:v>0.57299999999999995</c:v>
                </c:pt>
                <c:pt idx="503">
                  <c:v>0.57299999999999995</c:v>
                </c:pt>
                <c:pt idx="504">
                  <c:v>0.57299999999999995</c:v>
                </c:pt>
                <c:pt idx="505">
                  <c:v>0.57299999999999995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346752"/>
        <c:axId val="142692288"/>
      </c:lineChart>
      <c:catAx>
        <c:axId val="142346752"/>
        <c:scaling>
          <c:orientation val="minMax"/>
        </c:scaling>
        <c:delete val="0"/>
        <c:axPos val="b"/>
        <c:majorTickMark val="out"/>
        <c:minorTickMark val="none"/>
        <c:tickLblPos val="nextTo"/>
        <c:crossAx val="142692288"/>
        <c:crosses val="autoZero"/>
        <c:auto val="1"/>
        <c:lblAlgn val="ctr"/>
        <c:lblOffset val="100"/>
        <c:noMultiLvlLbl val="0"/>
      </c:catAx>
      <c:valAx>
        <c:axId val="1426922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423467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보스턴주택가격!$F$2</c:f>
              <c:strCache>
                <c:ptCount val="1"/>
                <c:pt idx="0">
                  <c:v>방개수</c:v>
                </c:pt>
              </c:strCache>
            </c:strRef>
          </c:tx>
          <c:val>
            <c:numRef>
              <c:f>보스턴주택가격!$F$3:$F$508</c:f>
              <c:numCache>
                <c:formatCode>General</c:formatCode>
                <c:ptCount val="506"/>
                <c:pt idx="0">
                  <c:v>6.5750000000000002</c:v>
                </c:pt>
                <c:pt idx="1">
                  <c:v>6.4210000000000003</c:v>
                </c:pt>
                <c:pt idx="2">
                  <c:v>7.1849999999999996</c:v>
                </c:pt>
                <c:pt idx="3">
                  <c:v>6.9980000000000002</c:v>
                </c:pt>
                <c:pt idx="4">
                  <c:v>7.1470000000000002</c:v>
                </c:pt>
                <c:pt idx="5">
                  <c:v>6.43</c:v>
                </c:pt>
                <c:pt idx="6">
                  <c:v>6.0119999999999996</c:v>
                </c:pt>
                <c:pt idx="7">
                  <c:v>6.1719999999999997</c:v>
                </c:pt>
                <c:pt idx="8">
                  <c:v>5.6310000000000002</c:v>
                </c:pt>
                <c:pt idx="9">
                  <c:v>6.0039999999999996</c:v>
                </c:pt>
                <c:pt idx="10">
                  <c:v>6.3769999999999998</c:v>
                </c:pt>
                <c:pt idx="11">
                  <c:v>6.0090000000000003</c:v>
                </c:pt>
                <c:pt idx="12">
                  <c:v>5.8890000000000002</c:v>
                </c:pt>
                <c:pt idx="13">
                  <c:v>5.9489999999999998</c:v>
                </c:pt>
                <c:pt idx="14">
                  <c:v>6.0960000000000001</c:v>
                </c:pt>
                <c:pt idx="15">
                  <c:v>5.8339999999999996</c:v>
                </c:pt>
                <c:pt idx="16">
                  <c:v>5.9349999999999996</c:v>
                </c:pt>
                <c:pt idx="17">
                  <c:v>5.99</c:v>
                </c:pt>
                <c:pt idx="18">
                  <c:v>5.4560000000000004</c:v>
                </c:pt>
                <c:pt idx="19">
                  <c:v>5.7270000000000003</c:v>
                </c:pt>
                <c:pt idx="20">
                  <c:v>5.57</c:v>
                </c:pt>
                <c:pt idx="21">
                  <c:v>5.9649999999999999</c:v>
                </c:pt>
                <c:pt idx="22">
                  <c:v>6.1420000000000003</c:v>
                </c:pt>
                <c:pt idx="23">
                  <c:v>5.8129999999999997</c:v>
                </c:pt>
                <c:pt idx="24">
                  <c:v>5.9240000000000004</c:v>
                </c:pt>
                <c:pt idx="25">
                  <c:v>5.5990000000000002</c:v>
                </c:pt>
                <c:pt idx="26">
                  <c:v>5.8129999999999997</c:v>
                </c:pt>
                <c:pt idx="27">
                  <c:v>6.0469999999999997</c:v>
                </c:pt>
                <c:pt idx="28">
                  <c:v>6.4950000000000001</c:v>
                </c:pt>
                <c:pt idx="29">
                  <c:v>6.6740000000000004</c:v>
                </c:pt>
                <c:pt idx="30">
                  <c:v>5.7130000000000001</c:v>
                </c:pt>
                <c:pt idx="31">
                  <c:v>6.0720000000000001</c:v>
                </c:pt>
                <c:pt idx="32">
                  <c:v>5.95</c:v>
                </c:pt>
                <c:pt idx="33">
                  <c:v>5.7009999999999996</c:v>
                </c:pt>
                <c:pt idx="34">
                  <c:v>6.0960000000000001</c:v>
                </c:pt>
                <c:pt idx="35">
                  <c:v>5.9329999999999998</c:v>
                </c:pt>
                <c:pt idx="36">
                  <c:v>5.8410000000000002</c:v>
                </c:pt>
                <c:pt idx="37">
                  <c:v>5.85</c:v>
                </c:pt>
                <c:pt idx="38">
                  <c:v>5.9660000000000002</c:v>
                </c:pt>
                <c:pt idx="39">
                  <c:v>6.5949999999999998</c:v>
                </c:pt>
                <c:pt idx="40">
                  <c:v>7.024</c:v>
                </c:pt>
                <c:pt idx="41">
                  <c:v>6.77</c:v>
                </c:pt>
                <c:pt idx="42">
                  <c:v>6.1689999999999996</c:v>
                </c:pt>
                <c:pt idx="43">
                  <c:v>6.2110000000000003</c:v>
                </c:pt>
                <c:pt idx="44">
                  <c:v>6.069</c:v>
                </c:pt>
                <c:pt idx="45">
                  <c:v>5.6820000000000004</c:v>
                </c:pt>
                <c:pt idx="46">
                  <c:v>5.7859999999999996</c:v>
                </c:pt>
                <c:pt idx="47">
                  <c:v>6.03</c:v>
                </c:pt>
                <c:pt idx="48">
                  <c:v>5.399</c:v>
                </c:pt>
                <c:pt idx="49">
                  <c:v>5.6020000000000003</c:v>
                </c:pt>
                <c:pt idx="50">
                  <c:v>5.9630000000000001</c:v>
                </c:pt>
                <c:pt idx="51">
                  <c:v>6.1150000000000002</c:v>
                </c:pt>
                <c:pt idx="52">
                  <c:v>6.5110000000000001</c:v>
                </c:pt>
                <c:pt idx="53">
                  <c:v>5.9980000000000002</c:v>
                </c:pt>
                <c:pt idx="54">
                  <c:v>5.8879999999999999</c:v>
                </c:pt>
                <c:pt idx="55">
                  <c:v>7.2489999999999997</c:v>
                </c:pt>
                <c:pt idx="56">
                  <c:v>6.383</c:v>
                </c:pt>
                <c:pt idx="57">
                  <c:v>6.8159999999999998</c:v>
                </c:pt>
                <c:pt idx="58">
                  <c:v>6.1449999999999996</c:v>
                </c:pt>
                <c:pt idx="59">
                  <c:v>5.9269999999999996</c:v>
                </c:pt>
                <c:pt idx="60">
                  <c:v>5.7409999999999997</c:v>
                </c:pt>
                <c:pt idx="61">
                  <c:v>5.9660000000000002</c:v>
                </c:pt>
                <c:pt idx="62">
                  <c:v>6.4560000000000004</c:v>
                </c:pt>
                <c:pt idx="63">
                  <c:v>6.7619999999999996</c:v>
                </c:pt>
                <c:pt idx="64">
                  <c:v>7.1040000000000001</c:v>
                </c:pt>
                <c:pt idx="65">
                  <c:v>6.29</c:v>
                </c:pt>
                <c:pt idx="66">
                  <c:v>5.7869999999999999</c:v>
                </c:pt>
                <c:pt idx="67">
                  <c:v>5.8780000000000001</c:v>
                </c:pt>
                <c:pt idx="68">
                  <c:v>5.5940000000000003</c:v>
                </c:pt>
                <c:pt idx="69">
                  <c:v>5.8849999999999998</c:v>
                </c:pt>
                <c:pt idx="70">
                  <c:v>6.4169999999999998</c:v>
                </c:pt>
                <c:pt idx="71">
                  <c:v>5.9610000000000003</c:v>
                </c:pt>
                <c:pt idx="72">
                  <c:v>6.0650000000000004</c:v>
                </c:pt>
                <c:pt idx="73">
                  <c:v>6.2450000000000001</c:v>
                </c:pt>
                <c:pt idx="74">
                  <c:v>6.2729999999999997</c:v>
                </c:pt>
                <c:pt idx="75">
                  <c:v>6.2859999999999996</c:v>
                </c:pt>
                <c:pt idx="76">
                  <c:v>6.2789999999999999</c:v>
                </c:pt>
                <c:pt idx="77">
                  <c:v>6.14</c:v>
                </c:pt>
                <c:pt idx="78">
                  <c:v>6.2320000000000002</c:v>
                </c:pt>
                <c:pt idx="79">
                  <c:v>5.8739999999999997</c:v>
                </c:pt>
                <c:pt idx="80">
                  <c:v>6.7270000000000003</c:v>
                </c:pt>
                <c:pt idx="81">
                  <c:v>6.6189999999999998</c:v>
                </c:pt>
                <c:pt idx="82">
                  <c:v>6.3019999999999996</c:v>
                </c:pt>
                <c:pt idx="83">
                  <c:v>6.1669999999999998</c:v>
                </c:pt>
                <c:pt idx="84">
                  <c:v>6.3890000000000002</c:v>
                </c:pt>
                <c:pt idx="85">
                  <c:v>6.63</c:v>
                </c:pt>
                <c:pt idx="86">
                  <c:v>6.0149999999999997</c:v>
                </c:pt>
                <c:pt idx="87">
                  <c:v>6.1210000000000004</c:v>
                </c:pt>
                <c:pt idx="88">
                  <c:v>7.0069999999999997</c:v>
                </c:pt>
                <c:pt idx="89">
                  <c:v>7.0789999999999997</c:v>
                </c:pt>
                <c:pt idx="90">
                  <c:v>6.4169999999999998</c:v>
                </c:pt>
                <c:pt idx="91">
                  <c:v>6.4050000000000002</c:v>
                </c:pt>
                <c:pt idx="92">
                  <c:v>6.4420000000000002</c:v>
                </c:pt>
                <c:pt idx="93">
                  <c:v>6.2110000000000003</c:v>
                </c:pt>
                <c:pt idx="94">
                  <c:v>6.2489999999999997</c:v>
                </c:pt>
                <c:pt idx="95">
                  <c:v>6.625</c:v>
                </c:pt>
                <c:pt idx="96">
                  <c:v>6.1630000000000003</c:v>
                </c:pt>
                <c:pt idx="97">
                  <c:v>8.0690000000000008</c:v>
                </c:pt>
                <c:pt idx="98">
                  <c:v>7.82</c:v>
                </c:pt>
                <c:pt idx="99">
                  <c:v>7.4160000000000004</c:v>
                </c:pt>
                <c:pt idx="100">
                  <c:v>6.7270000000000003</c:v>
                </c:pt>
                <c:pt idx="101">
                  <c:v>6.7809999999999997</c:v>
                </c:pt>
                <c:pt idx="102">
                  <c:v>6.4050000000000002</c:v>
                </c:pt>
                <c:pt idx="103">
                  <c:v>6.1369999999999996</c:v>
                </c:pt>
                <c:pt idx="104">
                  <c:v>6.1669999999999998</c:v>
                </c:pt>
                <c:pt idx="105">
                  <c:v>5.851</c:v>
                </c:pt>
                <c:pt idx="106">
                  <c:v>5.8360000000000003</c:v>
                </c:pt>
                <c:pt idx="107">
                  <c:v>6.1269999999999998</c:v>
                </c:pt>
                <c:pt idx="108">
                  <c:v>6.4740000000000002</c:v>
                </c:pt>
                <c:pt idx="109">
                  <c:v>6.2290000000000001</c:v>
                </c:pt>
                <c:pt idx="110">
                  <c:v>6.1950000000000003</c:v>
                </c:pt>
                <c:pt idx="111">
                  <c:v>6.7149999999999999</c:v>
                </c:pt>
                <c:pt idx="112">
                  <c:v>5.9130000000000003</c:v>
                </c:pt>
                <c:pt idx="113">
                  <c:v>6.0919999999999996</c:v>
                </c:pt>
                <c:pt idx="114">
                  <c:v>6.2539999999999996</c:v>
                </c:pt>
                <c:pt idx="115">
                  <c:v>5.9279999999999999</c:v>
                </c:pt>
                <c:pt idx="116">
                  <c:v>6.1760000000000002</c:v>
                </c:pt>
                <c:pt idx="117">
                  <c:v>6.0209999999999999</c:v>
                </c:pt>
                <c:pt idx="118">
                  <c:v>5.8719999999999999</c:v>
                </c:pt>
                <c:pt idx="119">
                  <c:v>5.7309999999999999</c:v>
                </c:pt>
                <c:pt idx="120">
                  <c:v>5.87</c:v>
                </c:pt>
                <c:pt idx="121">
                  <c:v>6.0039999999999996</c:v>
                </c:pt>
                <c:pt idx="122">
                  <c:v>5.9610000000000003</c:v>
                </c:pt>
                <c:pt idx="123">
                  <c:v>5.8559999999999999</c:v>
                </c:pt>
                <c:pt idx="124">
                  <c:v>5.8789999999999996</c:v>
                </c:pt>
                <c:pt idx="125">
                  <c:v>5.9859999999999998</c:v>
                </c:pt>
                <c:pt idx="126">
                  <c:v>5.6130000000000004</c:v>
                </c:pt>
                <c:pt idx="127">
                  <c:v>5.6929999999999996</c:v>
                </c:pt>
                <c:pt idx="128">
                  <c:v>6.431</c:v>
                </c:pt>
                <c:pt idx="129">
                  <c:v>5.6369999999999996</c:v>
                </c:pt>
                <c:pt idx="130">
                  <c:v>6.4580000000000002</c:v>
                </c:pt>
                <c:pt idx="131">
                  <c:v>6.3259999999999996</c:v>
                </c:pt>
                <c:pt idx="132">
                  <c:v>6.3719999999999999</c:v>
                </c:pt>
                <c:pt idx="133">
                  <c:v>5.8220000000000001</c:v>
                </c:pt>
                <c:pt idx="134">
                  <c:v>5.7569999999999997</c:v>
                </c:pt>
                <c:pt idx="135">
                  <c:v>6.335</c:v>
                </c:pt>
                <c:pt idx="136">
                  <c:v>5.9420000000000002</c:v>
                </c:pt>
                <c:pt idx="137">
                  <c:v>6.4539999999999997</c:v>
                </c:pt>
                <c:pt idx="138">
                  <c:v>5.8570000000000002</c:v>
                </c:pt>
                <c:pt idx="139">
                  <c:v>6.1509999999999998</c:v>
                </c:pt>
                <c:pt idx="140">
                  <c:v>6.1740000000000004</c:v>
                </c:pt>
                <c:pt idx="141">
                  <c:v>5.0190000000000001</c:v>
                </c:pt>
                <c:pt idx="142">
                  <c:v>5.4029999999999996</c:v>
                </c:pt>
                <c:pt idx="143">
                  <c:v>5.468</c:v>
                </c:pt>
                <c:pt idx="144">
                  <c:v>4.9029999999999996</c:v>
                </c:pt>
                <c:pt idx="145">
                  <c:v>6.13</c:v>
                </c:pt>
                <c:pt idx="146">
                  <c:v>5.6280000000000001</c:v>
                </c:pt>
                <c:pt idx="147">
                  <c:v>4.9260000000000002</c:v>
                </c:pt>
                <c:pt idx="148">
                  <c:v>5.1859999999999999</c:v>
                </c:pt>
                <c:pt idx="149">
                  <c:v>5.5970000000000004</c:v>
                </c:pt>
                <c:pt idx="150">
                  <c:v>6.1219999999999999</c:v>
                </c:pt>
                <c:pt idx="151">
                  <c:v>5.4039999999999999</c:v>
                </c:pt>
                <c:pt idx="152">
                  <c:v>5.0119999999999996</c:v>
                </c:pt>
                <c:pt idx="153">
                  <c:v>5.7089999999999996</c:v>
                </c:pt>
                <c:pt idx="154">
                  <c:v>6.1289999999999996</c:v>
                </c:pt>
                <c:pt idx="155">
                  <c:v>6.1520000000000001</c:v>
                </c:pt>
                <c:pt idx="156">
                  <c:v>5.2720000000000002</c:v>
                </c:pt>
                <c:pt idx="157">
                  <c:v>6.9429999999999996</c:v>
                </c:pt>
                <c:pt idx="158">
                  <c:v>6.0659999999999998</c:v>
                </c:pt>
                <c:pt idx="159">
                  <c:v>6.51</c:v>
                </c:pt>
                <c:pt idx="160">
                  <c:v>6.25</c:v>
                </c:pt>
                <c:pt idx="161">
                  <c:v>7.4889999999999999</c:v>
                </c:pt>
                <c:pt idx="162">
                  <c:v>7.8019999999999996</c:v>
                </c:pt>
                <c:pt idx="163">
                  <c:v>8.375</c:v>
                </c:pt>
                <c:pt idx="164">
                  <c:v>5.8540000000000001</c:v>
                </c:pt>
                <c:pt idx="165">
                  <c:v>6.101</c:v>
                </c:pt>
                <c:pt idx="166">
                  <c:v>7.9290000000000003</c:v>
                </c:pt>
                <c:pt idx="167">
                  <c:v>5.8769999999999998</c:v>
                </c:pt>
                <c:pt idx="168">
                  <c:v>6.319</c:v>
                </c:pt>
                <c:pt idx="169">
                  <c:v>6.4020000000000001</c:v>
                </c:pt>
                <c:pt idx="170">
                  <c:v>5.875</c:v>
                </c:pt>
                <c:pt idx="171">
                  <c:v>5.88</c:v>
                </c:pt>
                <c:pt idx="172">
                  <c:v>5.5720000000000001</c:v>
                </c:pt>
                <c:pt idx="173">
                  <c:v>6.4160000000000004</c:v>
                </c:pt>
                <c:pt idx="174">
                  <c:v>5.859</c:v>
                </c:pt>
                <c:pt idx="175">
                  <c:v>6.5460000000000003</c:v>
                </c:pt>
                <c:pt idx="176">
                  <c:v>6.02</c:v>
                </c:pt>
                <c:pt idx="177">
                  <c:v>6.3150000000000004</c:v>
                </c:pt>
                <c:pt idx="178">
                  <c:v>6.86</c:v>
                </c:pt>
                <c:pt idx="179">
                  <c:v>6.98</c:v>
                </c:pt>
                <c:pt idx="180">
                  <c:v>7.7649999999999997</c:v>
                </c:pt>
                <c:pt idx="181">
                  <c:v>6.1440000000000001</c:v>
                </c:pt>
                <c:pt idx="182">
                  <c:v>7.1550000000000002</c:v>
                </c:pt>
                <c:pt idx="183">
                  <c:v>6.5629999999999997</c:v>
                </c:pt>
                <c:pt idx="184">
                  <c:v>5.6040000000000001</c:v>
                </c:pt>
                <c:pt idx="185">
                  <c:v>6.1529999999999996</c:v>
                </c:pt>
                <c:pt idx="186">
                  <c:v>7.8310000000000004</c:v>
                </c:pt>
                <c:pt idx="187">
                  <c:v>6.782</c:v>
                </c:pt>
                <c:pt idx="188">
                  <c:v>6.556</c:v>
                </c:pt>
                <c:pt idx="189">
                  <c:v>7.1849999999999996</c:v>
                </c:pt>
                <c:pt idx="190">
                  <c:v>6.9509999999999996</c:v>
                </c:pt>
                <c:pt idx="191">
                  <c:v>6.7389999999999999</c:v>
                </c:pt>
                <c:pt idx="192">
                  <c:v>7.1779999999999999</c:v>
                </c:pt>
                <c:pt idx="193">
                  <c:v>6.8</c:v>
                </c:pt>
                <c:pt idx="194">
                  <c:v>6.6040000000000001</c:v>
                </c:pt>
                <c:pt idx="195">
                  <c:v>7.875</c:v>
                </c:pt>
                <c:pt idx="196">
                  <c:v>7.2869999999999999</c:v>
                </c:pt>
                <c:pt idx="197">
                  <c:v>7.1070000000000002</c:v>
                </c:pt>
                <c:pt idx="198">
                  <c:v>7.274</c:v>
                </c:pt>
                <c:pt idx="199">
                  <c:v>6.9749999999999996</c:v>
                </c:pt>
                <c:pt idx="200">
                  <c:v>7.1349999999999998</c:v>
                </c:pt>
                <c:pt idx="201">
                  <c:v>6.1619999999999999</c:v>
                </c:pt>
                <c:pt idx="202">
                  <c:v>7.61</c:v>
                </c:pt>
                <c:pt idx="203">
                  <c:v>7.8529999999999998</c:v>
                </c:pt>
                <c:pt idx="204">
                  <c:v>8.0340000000000007</c:v>
                </c:pt>
                <c:pt idx="205">
                  <c:v>5.891</c:v>
                </c:pt>
                <c:pt idx="206">
                  <c:v>6.3259999999999996</c:v>
                </c:pt>
                <c:pt idx="207">
                  <c:v>5.7830000000000004</c:v>
                </c:pt>
                <c:pt idx="208">
                  <c:v>6.0640000000000001</c:v>
                </c:pt>
                <c:pt idx="209">
                  <c:v>5.3440000000000003</c:v>
                </c:pt>
                <c:pt idx="210">
                  <c:v>5.96</c:v>
                </c:pt>
                <c:pt idx="211">
                  <c:v>5.4039999999999999</c:v>
                </c:pt>
                <c:pt idx="212">
                  <c:v>5.8070000000000004</c:v>
                </c:pt>
                <c:pt idx="213">
                  <c:v>6.375</c:v>
                </c:pt>
                <c:pt idx="214">
                  <c:v>5.4119999999999999</c:v>
                </c:pt>
                <c:pt idx="215">
                  <c:v>6.1820000000000004</c:v>
                </c:pt>
                <c:pt idx="216">
                  <c:v>5.8879999999999999</c:v>
                </c:pt>
                <c:pt idx="217">
                  <c:v>6.6420000000000003</c:v>
                </c:pt>
                <c:pt idx="218">
                  <c:v>5.9509999999999996</c:v>
                </c:pt>
                <c:pt idx="219">
                  <c:v>6.3730000000000002</c:v>
                </c:pt>
                <c:pt idx="220">
                  <c:v>6.9509999999999996</c:v>
                </c:pt>
                <c:pt idx="221">
                  <c:v>6.1639999999999997</c:v>
                </c:pt>
                <c:pt idx="222">
                  <c:v>6.8789999999999996</c:v>
                </c:pt>
                <c:pt idx="223">
                  <c:v>6.6180000000000003</c:v>
                </c:pt>
                <c:pt idx="224">
                  <c:v>8.266</c:v>
                </c:pt>
                <c:pt idx="225">
                  <c:v>8.7249999999999996</c:v>
                </c:pt>
                <c:pt idx="226">
                  <c:v>8.0399999999999991</c:v>
                </c:pt>
                <c:pt idx="227">
                  <c:v>7.1630000000000003</c:v>
                </c:pt>
                <c:pt idx="228">
                  <c:v>7.6859999999999999</c:v>
                </c:pt>
                <c:pt idx="229">
                  <c:v>6.5519999999999996</c:v>
                </c:pt>
                <c:pt idx="230">
                  <c:v>5.9809999999999999</c:v>
                </c:pt>
                <c:pt idx="231">
                  <c:v>7.4119999999999999</c:v>
                </c:pt>
                <c:pt idx="232">
                  <c:v>8.3369999999999997</c:v>
                </c:pt>
                <c:pt idx="233">
                  <c:v>8.2469999999999999</c:v>
                </c:pt>
                <c:pt idx="234">
                  <c:v>6.726</c:v>
                </c:pt>
                <c:pt idx="235">
                  <c:v>6.0860000000000003</c:v>
                </c:pt>
                <c:pt idx="236">
                  <c:v>6.6310000000000002</c:v>
                </c:pt>
                <c:pt idx="237">
                  <c:v>7.3579999999999997</c:v>
                </c:pt>
                <c:pt idx="238">
                  <c:v>6.4809999999999999</c:v>
                </c:pt>
                <c:pt idx="239">
                  <c:v>6.6059999999999999</c:v>
                </c:pt>
                <c:pt idx="240">
                  <c:v>6.8970000000000002</c:v>
                </c:pt>
                <c:pt idx="241">
                  <c:v>6.0949999999999998</c:v>
                </c:pt>
                <c:pt idx="242">
                  <c:v>6.3579999999999997</c:v>
                </c:pt>
                <c:pt idx="243">
                  <c:v>6.3929999999999998</c:v>
                </c:pt>
                <c:pt idx="244">
                  <c:v>5.593</c:v>
                </c:pt>
                <c:pt idx="245">
                  <c:v>5.6050000000000004</c:v>
                </c:pt>
                <c:pt idx="246">
                  <c:v>6.1079999999999997</c:v>
                </c:pt>
                <c:pt idx="247">
                  <c:v>6.226</c:v>
                </c:pt>
                <c:pt idx="248">
                  <c:v>6.4329999999999998</c:v>
                </c:pt>
                <c:pt idx="249">
                  <c:v>6.718</c:v>
                </c:pt>
                <c:pt idx="250">
                  <c:v>6.4870000000000001</c:v>
                </c:pt>
                <c:pt idx="251">
                  <c:v>6.4379999999999997</c:v>
                </c:pt>
                <c:pt idx="252">
                  <c:v>6.9569999999999999</c:v>
                </c:pt>
                <c:pt idx="253">
                  <c:v>8.2590000000000003</c:v>
                </c:pt>
                <c:pt idx="254">
                  <c:v>6.1079999999999997</c:v>
                </c:pt>
                <c:pt idx="255">
                  <c:v>5.8760000000000003</c:v>
                </c:pt>
                <c:pt idx="256">
                  <c:v>7.4539999999999997</c:v>
                </c:pt>
                <c:pt idx="257">
                  <c:v>8.7040000000000006</c:v>
                </c:pt>
                <c:pt idx="258">
                  <c:v>7.3330000000000002</c:v>
                </c:pt>
                <c:pt idx="259">
                  <c:v>6.8419999999999996</c:v>
                </c:pt>
                <c:pt idx="260">
                  <c:v>7.2030000000000003</c:v>
                </c:pt>
                <c:pt idx="261">
                  <c:v>7.52</c:v>
                </c:pt>
                <c:pt idx="262">
                  <c:v>8.3979999999999997</c:v>
                </c:pt>
                <c:pt idx="263">
                  <c:v>7.327</c:v>
                </c:pt>
                <c:pt idx="264">
                  <c:v>7.2060000000000004</c:v>
                </c:pt>
                <c:pt idx="265">
                  <c:v>5.56</c:v>
                </c:pt>
                <c:pt idx="266">
                  <c:v>7.0140000000000002</c:v>
                </c:pt>
                <c:pt idx="267">
                  <c:v>8.2970000000000006</c:v>
                </c:pt>
                <c:pt idx="268">
                  <c:v>7.47</c:v>
                </c:pt>
                <c:pt idx="269">
                  <c:v>5.92</c:v>
                </c:pt>
                <c:pt idx="270">
                  <c:v>5.8559999999999999</c:v>
                </c:pt>
                <c:pt idx="271">
                  <c:v>6.24</c:v>
                </c:pt>
                <c:pt idx="272">
                  <c:v>6.5380000000000003</c:v>
                </c:pt>
                <c:pt idx="273">
                  <c:v>7.6909999999999998</c:v>
                </c:pt>
                <c:pt idx="274">
                  <c:v>6.758</c:v>
                </c:pt>
                <c:pt idx="275">
                  <c:v>6.8540000000000001</c:v>
                </c:pt>
                <c:pt idx="276">
                  <c:v>7.2670000000000003</c:v>
                </c:pt>
                <c:pt idx="277">
                  <c:v>6.8259999999999996</c:v>
                </c:pt>
                <c:pt idx="278">
                  <c:v>6.4820000000000002</c:v>
                </c:pt>
                <c:pt idx="279">
                  <c:v>6.8120000000000003</c:v>
                </c:pt>
                <c:pt idx="280">
                  <c:v>7.82</c:v>
                </c:pt>
                <c:pt idx="281">
                  <c:v>6.968</c:v>
                </c:pt>
                <c:pt idx="282">
                  <c:v>7.6449999999999996</c:v>
                </c:pt>
                <c:pt idx="283">
                  <c:v>7.923</c:v>
                </c:pt>
                <c:pt idx="284">
                  <c:v>7.0880000000000001</c:v>
                </c:pt>
                <c:pt idx="285">
                  <c:v>6.4530000000000003</c:v>
                </c:pt>
                <c:pt idx="286">
                  <c:v>6.23</c:v>
                </c:pt>
                <c:pt idx="287">
                  <c:v>6.2089999999999996</c:v>
                </c:pt>
                <c:pt idx="288">
                  <c:v>6.3150000000000004</c:v>
                </c:pt>
                <c:pt idx="289">
                  <c:v>6.5650000000000004</c:v>
                </c:pt>
                <c:pt idx="290">
                  <c:v>6.8609999999999998</c:v>
                </c:pt>
                <c:pt idx="291">
                  <c:v>7.1479999999999997</c:v>
                </c:pt>
                <c:pt idx="292">
                  <c:v>6.63</c:v>
                </c:pt>
                <c:pt idx="293">
                  <c:v>6.1269999999999998</c:v>
                </c:pt>
                <c:pt idx="294">
                  <c:v>6.0090000000000003</c:v>
                </c:pt>
                <c:pt idx="295">
                  <c:v>6.6779999999999999</c:v>
                </c:pt>
                <c:pt idx="296">
                  <c:v>6.5490000000000004</c:v>
                </c:pt>
                <c:pt idx="297">
                  <c:v>5.79</c:v>
                </c:pt>
                <c:pt idx="298">
                  <c:v>6.3449999999999998</c:v>
                </c:pt>
                <c:pt idx="299">
                  <c:v>7.0410000000000004</c:v>
                </c:pt>
                <c:pt idx="300">
                  <c:v>6.8710000000000004</c:v>
                </c:pt>
                <c:pt idx="301">
                  <c:v>6.59</c:v>
                </c:pt>
                <c:pt idx="302">
                  <c:v>6.4950000000000001</c:v>
                </c:pt>
                <c:pt idx="303">
                  <c:v>6.9820000000000002</c:v>
                </c:pt>
                <c:pt idx="304">
                  <c:v>7.2359999999999998</c:v>
                </c:pt>
                <c:pt idx="305">
                  <c:v>6.6159999999999997</c:v>
                </c:pt>
                <c:pt idx="306">
                  <c:v>7.42</c:v>
                </c:pt>
                <c:pt idx="307">
                  <c:v>6.8490000000000002</c:v>
                </c:pt>
                <c:pt idx="308">
                  <c:v>6.6349999999999998</c:v>
                </c:pt>
                <c:pt idx="309">
                  <c:v>5.9720000000000004</c:v>
                </c:pt>
                <c:pt idx="310">
                  <c:v>4.9729999999999999</c:v>
                </c:pt>
                <c:pt idx="311">
                  <c:v>6.1219999999999999</c:v>
                </c:pt>
                <c:pt idx="312">
                  <c:v>6.0229999999999997</c:v>
                </c:pt>
                <c:pt idx="313">
                  <c:v>6.266</c:v>
                </c:pt>
                <c:pt idx="314">
                  <c:v>6.5670000000000002</c:v>
                </c:pt>
                <c:pt idx="315">
                  <c:v>5.7050000000000001</c:v>
                </c:pt>
                <c:pt idx="316">
                  <c:v>5.9139999999999997</c:v>
                </c:pt>
                <c:pt idx="317">
                  <c:v>5.782</c:v>
                </c:pt>
                <c:pt idx="318">
                  <c:v>6.3819999999999997</c:v>
                </c:pt>
                <c:pt idx="319">
                  <c:v>6.1130000000000004</c:v>
                </c:pt>
                <c:pt idx="320">
                  <c:v>6.4260000000000002</c:v>
                </c:pt>
                <c:pt idx="321">
                  <c:v>6.3760000000000003</c:v>
                </c:pt>
                <c:pt idx="322">
                  <c:v>6.0410000000000004</c:v>
                </c:pt>
                <c:pt idx="323">
                  <c:v>5.7080000000000002</c:v>
                </c:pt>
                <c:pt idx="324">
                  <c:v>6.415</c:v>
                </c:pt>
                <c:pt idx="325">
                  <c:v>6.431</c:v>
                </c:pt>
                <c:pt idx="326">
                  <c:v>6.3120000000000003</c:v>
                </c:pt>
                <c:pt idx="327">
                  <c:v>6.0830000000000002</c:v>
                </c:pt>
                <c:pt idx="328">
                  <c:v>5.8680000000000003</c:v>
                </c:pt>
                <c:pt idx="329">
                  <c:v>6.3330000000000002</c:v>
                </c:pt>
                <c:pt idx="330">
                  <c:v>6.1440000000000001</c:v>
                </c:pt>
                <c:pt idx="331">
                  <c:v>5.7060000000000004</c:v>
                </c:pt>
                <c:pt idx="332">
                  <c:v>6.0309999999999997</c:v>
                </c:pt>
                <c:pt idx="333">
                  <c:v>6.3159999999999998</c:v>
                </c:pt>
                <c:pt idx="334">
                  <c:v>6.31</c:v>
                </c:pt>
                <c:pt idx="335">
                  <c:v>6.0369999999999999</c:v>
                </c:pt>
                <c:pt idx="336">
                  <c:v>5.8689999999999998</c:v>
                </c:pt>
                <c:pt idx="337">
                  <c:v>5.8949999999999996</c:v>
                </c:pt>
                <c:pt idx="338">
                  <c:v>6.0590000000000002</c:v>
                </c:pt>
                <c:pt idx="339">
                  <c:v>5.9850000000000003</c:v>
                </c:pt>
                <c:pt idx="340">
                  <c:v>5.968</c:v>
                </c:pt>
                <c:pt idx="341">
                  <c:v>7.2409999999999997</c:v>
                </c:pt>
                <c:pt idx="342">
                  <c:v>6.54</c:v>
                </c:pt>
                <c:pt idx="343">
                  <c:v>6.6959999999999997</c:v>
                </c:pt>
                <c:pt idx="344">
                  <c:v>6.8739999999999997</c:v>
                </c:pt>
                <c:pt idx="345">
                  <c:v>6.0140000000000002</c:v>
                </c:pt>
                <c:pt idx="346">
                  <c:v>5.8979999999999997</c:v>
                </c:pt>
                <c:pt idx="347">
                  <c:v>6.516</c:v>
                </c:pt>
                <c:pt idx="348">
                  <c:v>6.6349999999999998</c:v>
                </c:pt>
                <c:pt idx="349">
                  <c:v>6.9390000000000001</c:v>
                </c:pt>
                <c:pt idx="350">
                  <c:v>6.49</c:v>
                </c:pt>
                <c:pt idx="351">
                  <c:v>6.5789999999999997</c:v>
                </c:pt>
                <c:pt idx="352">
                  <c:v>5.8840000000000003</c:v>
                </c:pt>
                <c:pt idx="353">
                  <c:v>6.7279999999999998</c:v>
                </c:pt>
                <c:pt idx="354">
                  <c:v>5.6630000000000003</c:v>
                </c:pt>
                <c:pt idx="355">
                  <c:v>5.9359999999999999</c:v>
                </c:pt>
                <c:pt idx="356">
                  <c:v>6.2119999999999997</c:v>
                </c:pt>
                <c:pt idx="357">
                  <c:v>6.3949999999999996</c:v>
                </c:pt>
                <c:pt idx="358">
                  <c:v>6.1269999999999998</c:v>
                </c:pt>
                <c:pt idx="359">
                  <c:v>6.1120000000000001</c:v>
                </c:pt>
                <c:pt idx="360">
                  <c:v>6.3979999999999997</c:v>
                </c:pt>
                <c:pt idx="361">
                  <c:v>6.2510000000000003</c:v>
                </c:pt>
                <c:pt idx="362">
                  <c:v>5.3620000000000001</c:v>
                </c:pt>
                <c:pt idx="363">
                  <c:v>5.8029999999999999</c:v>
                </c:pt>
                <c:pt idx="364">
                  <c:v>8.7799999999999994</c:v>
                </c:pt>
                <c:pt idx="365">
                  <c:v>3.5609999999999999</c:v>
                </c:pt>
                <c:pt idx="366">
                  <c:v>4.9630000000000001</c:v>
                </c:pt>
                <c:pt idx="367">
                  <c:v>3.863</c:v>
                </c:pt>
                <c:pt idx="368">
                  <c:v>4.97</c:v>
                </c:pt>
                <c:pt idx="369">
                  <c:v>6.6829999999999998</c:v>
                </c:pt>
                <c:pt idx="370">
                  <c:v>7.016</c:v>
                </c:pt>
                <c:pt idx="371">
                  <c:v>6.2160000000000002</c:v>
                </c:pt>
                <c:pt idx="372">
                  <c:v>5.875</c:v>
                </c:pt>
                <c:pt idx="373">
                  <c:v>4.9059999999999997</c:v>
                </c:pt>
                <c:pt idx="374">
                  <c:v>4.1379999999999999</c:v>
                </c:pt>
                <c:pt idx="375">
                  <c:v>7.3129999999999997</c:v>
                </c:pt>
                <c:pt idx="376">
                  <c:v>6.649</c:v>
                </c:pt>
                <c:pt idx="377">
                  <c:v>6.7939999999999996</c:v>
                </c:pt>
                <c:pt idx="378">
                  <c:v>6.38</c:v>
                </c:pt>
                <c:pt idx="379">
                  <c:v>6.2229999999999999</c:v>
                </c:pt>
                <c:pt idx="380">
                  <c:v>6.968</c:v>
                </c:pt>
                <c:pt idx="381">
                  <c:v>6.5449999999999999</c:v>
                </c:pt>
                <c:pt idx="382">
                  <c:v>5.5359999999999996</c:v>
                </c:pt>
                <c:pt idx="383">
                  <c:v>5.52</c:v>
                </c:pt>
                <c:pt idx="384">
                  <c:v>4.3680000000000003</c:v>
                </c:pt>
                <c:pt idx="385">
                  <c:v>5.2770000000000001</c:v>
                </c:pt>
                <c:pt idx="386">
                  <c:v>4.6520000000000001</c:v>
                </c:pt>
                <c:pt idx="387">
                  <c:v>5</c:v>
                </c:pt>
                <c:pt idx="388">
                  <c:v>4.88</c:v>
                </c:pt>
                <c:pt idx="389">
                  <c:v>5.39</c:v>
                </c:pt>
                <c:pt idx="390">
                  <c:v>5.7130000000000001</c:v>
                </c:pt>
                <c:pt idx="391">
                  <c:v>6.0510000000000002</c:v>
                </c:pt>
                <c:pt idx="392">
                  <c:v>5.0359999999999996</c:v>
                </c:pt>
                <c:pt idx="393">
                  <c:v>6.1929999999999996</c:v>
                </c:pt>
                <c:pt idx="394">
                  <c:v>5.8869999999999996</c:v>
                </c:pt>
                <c:pt idx="395">
                  <c:v>6.4710000000000001</c:v>
                </c:pt>
                <c:pt idx="396">
                  <c:v>6.4050000000000002</c:v>
                </c:pt>
                <c:pt idx="397">
                  <c:v>5.7469999999999999</c:v>
                </c:pt>
                <c:pt idx="398">
                  <c:v>5.4530000000000003</c:v>
                </c:pt>
                <c:pt idx="399">
                  <c:v>5.8520000000000003</c:v>
                </c:pt>
                <c:pt idx="400">
                  <c:v>5.9870000000000001</c:v>
                </c:pt>
                <c:pt idx="401">
                  <c:v>6.343</c:v>
                </c:pt>
                <c:pt idx="402">
                  <c:v>6.4039999999999999</c:v>
                </c:pt>
                <c:pt idx="403">
                  <c:v>5.3490000000000002</c:v>
                </c:pt>
                <c:pt idx="404">
                  <c:v>5.5309999999999997</c:v>
                </c:pt>
                <c:pt idx="405">
                  <c:v>5.6829999999999998</c:v>
                </c:pt>
                <c:pt idx="406">
                  <c:v>4.1379999999999999</c:v>
                </c:pt>
                <c:pt idx="407">
                  <c:v>5.6079999999999997</c:v>
                </c:pt>
                <c:pt idx="408">
                  <c:v>5.617</c:v>
                </c:pt>
                <c:pt idx="409">
                  <c:v>6.8520000000000003</c:v>
                </c:pt>
                <c:pt idx="410">
                  <c:v>5.7569999999999997</c:v>
                </c:pt>
                <c:pt idx="411">
                  <c:v>6.657</c:v>
                </c:pt>
                <c:pt idx="412">
                  <c:v>4.6280000000000001</c:v>
                </c:pt>
                <c:pt idx="413">
                  <c:v>5.1550000000000002</c:v>
                </c:pt>
                <c:pt idx="414">
                  <c:v>4.5190000000000001</c:v>
                </c:pt>
                <c:pt idx="415">
                  <c:v>6.4340000000000002</c:v>
                </c:pt>
                <c:pt idx="416">
                  <c:v>6.782</c:v>
                </c:pt>
                <c:pt idx="417">
                  <c:v>5.3040000000000003</c:v>
                </c:pt>
                <c:pt idx="418">
                  <c:v>5.9569999999999999</c:v>
                </c:pt>
                <c:pt idx="419">
                  <c:v>6.8239999999999998</c:v>
                </c:pt>
                <c:pt idx="420">
                  <c:v>6.4109999999999996</c:v>
                </c:pt>
                <c:pt idx="421">
                  <c:v>6.0060000000000002</c:v>
                </c:pt>
                <c:pt idx="422">
                  <c:v>5.6479999999999997</c:v>
                </c:pt>
                <c:pt idx="423">
                  <c:v>6.1029999999999998</c:v>
                </c:pt>
                <c:pt idx="424">
                  <c:v>5.5650000000000004</c:v>
                </c:pt>
                <c:pt idx="425">
                  <c:v>5.8959999999999999</c:v>
                </c:pt>
                <c:pt idx="426">
                  <c:v>5.8369999999999997</c:v>
                </c:pt>
                <c:pt idx="427">
                  <c:v>6.202</c:v>
                </c:pt>
                <c:pt idx="428">
                  <c:v>6.1929999999999996</c:v>
                </c:pt>
                <c:pt idx="429">
                  <c:v>6.38</c:v>
                </c:pt>
                <c:pt idx="430">
                  <c:v>6.3479999999999999</c:v>
                </c:pt>
                <c:pt idx="431">
                  <c:v>6.8330000000000002</c:v>
                </c:pt>
                <c:pt idx="432">
                  <c:v>6.4249999999999998</c:v>
                </c:pt>
                <c:pt idx="433">
                  <c:v>6.4359999999999999</c:v>
                </c:pt>
                <c:pt idx="434">
                  <c:v>6.2080000000000002</c:v>
                </c:pt>
                <c:pt idx="435">
                  <c:v>6.6289999999999996</c:v>
                </c:pt>
                <c:pt idx="436">
                  <c:v>6.4610000000000003</c:v>
                </c:pt>
                <c:pt idx="437">
                  <c:v>6.1520000000000001</c:v>
                </c:pt>
                <c:pt idx="438">
                  <c:v>5.9349999999999996</c:v>
                </c:pt>
                <c:pt idx="439">
                  <c:v>5.6269999999999998</c:v>
                </c:pt>
                <c:pt idx="440">
                  <c:v>5.8179999999999996</c:v>
                </c:pt>
                <c:pt idx="441">
                  <c:v>6.4059999999999997</c:v>
                </c:pt>
                <c:pt idx="442">
                  <c:v>6.2190000000000003</c:v>
                </c:pt>
                <c:pt idx="443">
                  <c:v>6.4850000000000003</c:v>
                </c:pt>
                <c:pt idx="444">
                  <c:v>5.8540000000000001</c:v>
                </c:pt>
                <c:pt idx="445">
                  <c:v>6.4589999999999996</c:v>
                </c:pt>
                <c:pt idx="446">
                  <c:v>6.3410000000000002</c:v>
                </c:pt>
                <c:pt idx="447">
                  <c:v>6.2510000000000003</c:v>
                </c:pt>
                <c:pt idx="448">
                  <c:v>6.1849999999999996</c:v>
                </c:pt>
                <c:pt idx="449">
                  <c:v>6.4169999999999998</c:v>
                </c:pt>
                <c:pt idx="450">
                  <c:v>6.7489999999999997</c:v>
                </c:pt>
                <c:pt idx="451">
                  <c:v>6.6550000000000002</c:v>
                </c:pt>
                <c:pt idx="452">
                  <c:v>6.2969999999999997</c:v>
                </c:pt>
                <c:pt idx="453">
                  <c:v>7.3929999999999998</c:v>
                </c:pt>
                <c:pt idx="454">
                  <c:v>6.7279999999999998</c:v>
                </c:pt>
                <c:pt idx="455">
                  <c:v>6.5250000000000004</c:v>
                </c:pt>
                <c:pt idx="456">
                  <c:v>5.976</c:v>
                </c:pt>
                <c:pt idx="457">
                  <c:v>5.9359999999999999</c:v>
                </c:pt>
                <c:pt idx="458">
                  <c:v>6.3010000000000002</c:v>
                </c:pt>
                <c:pt idx="459">
                  <c:v>6.0810000000000004</c:v>
                </c:pt>
                <c:pt idx="460">
                  <c:v>6.7009999999999996</c:v>
                </c:pt>
                <c:pt idx="461">
                  <c:v>6.3760000000000003</c:v>
                </c:pt>
                <c:pt idx="462">
                  <c:v>6.3170000000000002</c:v>
                </c:pt>
                <c:pt idx="463">
                  <c:v>6.5129999999999999</c:v>
                </c:pt>
                <c:pt idx="464">
                  <c:v>6.2089999999999996</c:v>
                </c:pt>
                <c:pt idx="465">
                  <c:v>5.7590000000000003</c:v>
                </c:pt>
                <c:pt idx="466">
                  <c:v>5.952</c:v>
                </c:pt>
                <c:pt idx="467">
                  <c:v>6.0030000000000001</c:v>
                </c:pt>
                <c:pt idx="468">
                  <c:v>5.9260000000000002</c:v>
                </c:pt>
                <c:pt idx="469">
                  <c:v>5.7130000000000001</c:v>
                </c:pt>
                <c:pt idx="470">
                  <c:v>6.1669999999999998</c:v>
                </c:pt>
                <c:pt idx="471">
                  <c:v>6.2290000000000001</c:v>
                </c:pt>
                <c:pt idx="472">
                  <c:v>6.4370000000000003</c:v>
                </c:pt>
                <c:pt idx="473">
                  <c:v>6.98</c:v>
                </c:pt>
                <c:pt idx="474">
                  <c:v>5.4269999999999996</c:v>
                </c:pt>
                <c:pt idx="475">
                  <c:v>6.1619999999999999</c:v>
                </c:pt>
                <c:pt idx="476">
                  <c:v>6.484</c:v>
                </c:pt>
                <c:pt idx="477">
                  <c:v>5.3040000000000003</c:v>
                </c:pt>
                <c:pt idx="478">
                  <c:v>6.1849999999999996</c:v>
                </c:pt>
                <c:pt idx="479">
                  <c:v>6.2290000000000001</c:v>
                </c:pt>
                <c:pt idx="480">
                  <c:v>6.242</c:v>
                </c:pt>
                <c:pt idx="481">
                  <c:v>6.75</c:v>
                </c:pt>
                <c:pt idx="482">
                  <c:v>7.0609999999999999</c:v>
                </c:pt>
                <c:pt idx="483">
                  <c:v>5.7619999999999996</c:v>
                </c:pt>
                <c:pt idx="484">
                  <c:v>5.8710000000000004</c:v>
                </c:pt>
                <c:pt idx="485">
                  <c:v>6.3120000000000003</c:v>
                </c:pt>
                <c:pt idx="486">
                  <c:v>6.1139999999999999</c:v>
                </c:pt>
                <c:pt idx="487">
                  <c:v>5.9050000000000002</c:v>
                </c:pt>
                <c:pt idx="488">
                  <c:v>5.4539999999999997</c:v>
                </c:pt>
                <c:pt idx="489">
                  <c:v>5.4139999999999997</c:v>
                </c:pt>
                <c:pt idx="490">
                  <c:v>5.093</c:v>
                </c:pt>
                <c:pt idx="491">
                  <c:v>5.9829999999999997</c:v>
                </c:pt>
                <c:pt idx="492">
                  <c:v>5.9829999999999997</c:v>
                </c:pt>
                <c:pt idx="493">
                  <c:v>5.7069999999999999</c:v>
                </c:pt>
                <c:pt idx="494">
                  <c:v>5.9260000000000002</c:v>
                </c:pt>
                <c:pt idx="495">
                  <c:v>5.67</c:v>
                </c:pt>
                <c:pt idx="496">
                  <c:v>5.39</c:v>
                </c:pt>
                <c:pt idx="497">
                  <c:v>5.7939999999999996</c:v>
                </c:pt>
                <c:pt idx="498">
                  <c:v>6.0190000000000001</c:v>
                </c:pt>
                <c:pt idx="499">
                  <c:v>5.569</c:v>
                </c:pt>
                <c:pt idx="500">
                  <c:v>6.0270000000000001</c:v>
                </c:pt>
                <c:pt idx="501">
                  <c:v>6.593</c:v>
                </c:pt>
                <c:pt idx="502">
                  <c:v>6.12</c:v>
                </c:pt>
                <c:pt idx="503">
                  <c:v>6.976</c:v>
                </c:pt>
                <c:pt idx="504">
                  <c:v>6.7939999999999996</c:v>
                </c:pt>
                <c:pt idx="505">
                  <c:v>6.03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347264"/>
        <c:axId val="142694016"/>
      </c:lineChart>
      <c:catAx>
        <c:axId val="142347264"/>
        <c:scaling>
          <c:orientation val="minMax"/>
        </c:scaling>
        <c:delete val="0"/>
        <c:axPos val="b"/>
        <c:majorTickMark val="out"/>
        <c:minorTickMark val="none"/>
        <c:tickLblPos val="nextTo"/>
        <c:crossAx val="142694016"/>
        <c:crosses val="autoZero"/>
        <c:auto val="1"/>
        <c:lblAlgn val="ctr"/>
        <c:lblOffset val="100"/>
        <c:noMultiLvlLbl val="0"/>
      </c:catAx>
      <c:valAx>
        <c:axId val="1426940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423472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보스턴주택가격!$G$2</c:f>
              <c:strCache>
                <c:ptCount val="1"/>
                <c:pt idx="0">
                  <c:v>노후건물비율</c:v>
                </c:pt>
              </c:strCache>
            </c:strRef>
          </c:tx>
          <c:val>
            <c:numRef>
              <c:f>보스턴주택가격!$G$3:$G$508</c:f>
              <c:numCache>
                <c:formatCode>General</c:formatCode>
                <c:ptCount val="506"/>
                <c:pt idx="0">
                  <c:v>65.2</c:v>
                </c:pt>
                <c:pt idx="1">
                  <c:v>78.900000000000006</c:v>
                </c:pt>
                <c:pt idx="2">
                  <c:v>61.1</c:v>
                </c:pt>
                <c:pt idx="3">
                  <c:v>45.8</c:v>
                </c:pt>
                <c:pt idx="4">
                  <c:v>54.2</c:v>
                </c:pt>
                <c:pt idx="5">
                  <c:v>58.7</c:v>
                </c:pt>
                <c:pt idx="6">
                  <c:v>66.599999999999994</c:v>
                </c:pt>
                <c:pt idx="7">
                  <c:v>96.1</c:v>
                </c:pt>
                <c:pt idx="8">
                  <c:v>100</c:v>
                </c:pt>
                <c:pt idx="9">
                  <c:v>85.9</c:v>
                </c:pt>
                <c:pt idx="10">
                  <c:v>94.3</c:v>
                </c:pt>
                <c:pt idx="11">
                  <c:v>82.9</c:v>
                </c:pt>
                <c:pt idx="12">
                  <c:v>39</c:v>
                </c:pt>
                <c:pt idx="13">
                  <c:v>61.8</c:v>
                </c:pt>
                <c:pt idx="14">
                  <c:v>84.5</c:v>
                </c:pt>
                <c:pt idx="15">
                  <c:v>56.5</c:v>
                </c:pt>
                <c:pt idx="16">
                  <c:v>29.3</c:v>
                </c:pt>
                <c:pt idx="17">
                  <c:v>81.7</c:v>
                </c:pt>
                <c:pt idx="18">
                  <c:v>36.6</c:v>
                </c:pt>
                <c:pt idx="19">
                  <c:v>69.5</c:v>
                </c:pt>
                <c:pt idx="20">
                  <c:v>98.1</c:v>
                </c:pt>
                <c:pt idx="21">
                  <c:v>89.2</c:v>
                </c:pt>
                <c:pt idx="22">
                  <c:v>91.7</c:v>
                </c:pt>
                <c:pt idx="23">
                  <c:v>100</c:v>
                </c:pt>
                <c:pt idx="24">
                  <c:v>94.1</c:v>
                </c:pt>
                <c:pt idx="25">
                  <c:v>85.7</c:v>
                </c:pt>
                <c:pt idx="26">
                  <c:v>90.3</c:v>
                </c:pt>
                <c:pt idx="27">
                  <c:v>88.8</c:v>
                </c:pt>
                <c:pt idx="28">
                  <c:v>94.4</c:v>
                </c:pt>
                <c:pt idx="29">
                  <c:v>87.3</c:v>
                </c:pt>
                <c:pt idx="30">
                  <c:v>94.1</c:v>
                </c:pt>
                <c:pt idx="31">
                  <c:v>100</c:v>
                </c:pt>
                <c:pt idx="32">
                  <c:v>82</c:v>
                </c:pt>
                <c:pt idx="33">
                  <c:v>95</c:v>
                </c:pt>
                <c:pt idx="34">
                  <c:v>96.9</c:v>
                </c:pt>
                <c:pt idx="35">
                  <c:v>68.2</c:v>
                </c:pt>
                <c:pt idx="36">
                  <c:v>61.4</c:v>
                </c:pt>
                <c:pt idx="37">
                  <c:v>41.5</c:v>
                </c:pt>
                <c:pt idx="38">
                  <c:v>30.2</c:v>
                </c:pt>
                <c:pt idx="39">
                  <c:v>21.8</c:v>
                </c:pt>
                <c:pt idx="40">
                  <c:v>15.8</c:v>
                </c:pt>
                <c:pt idx="41">
                  <c:v>2.9</c:v>
                </c:pt>
                <c:pt idx="42">
                  <c:v>6.6</c:v>
                </c:pt>
                <c:pt idx="43">
                  <c:v>6.5</c:v>
                </c:pt>
                <c:pt idx="44">
                  <c:v>40</c:v>
                </c:pt>
                <c:pt idx="45">
                  <c:v>33.799999999999997</c:v>
                </c:pt>
                <c:pt idx="46">
                  <c:v>33.299999999999997</c:v>
                </c:pt>
                <c:pt idx="47">
                  <c:v>85.5</c:v>
                </c:pt>
                <c:pt idx="48">
                  <c:v>95.3</c:v>
                </c:pt>
                <c:pt idx="49">
                  <c:v>62</c:v>
                </c:pt>
                <c:pt idx="50">
                  <c:v>45.7</c:v>
                </c:pt>
                <c:pt idx="51">
                  <c:v>63</c:v>
                </c:pt>
                <c:pt idx="52">
                  <c:v>21.1</c:v>
                </c:pt>
                <c:pt idx="53">
                  <c:v>21.4</c:v>
                </c:pt>
                <c:pt idx="54">
                  <c:v>47.6</c:v>
                </c:pt>
                <c:pt idx="55">
                  <c:v>21.9</c:v>
                </c:pt>
                <c:pt idx="56">
                  <c:v>35.700000000000003</c:v>
                </c:pt>
                <c:pt idx="57">
                  <c:v>40.5</c:v>
                </c:pt>
                <c:pt idx="58">
                  <c:v>29.2</c:v>
                </c:pt>
                <c:pt idx="59">
                  <c:v>47.2</c:v>
                </c:pt>
                <c:pt idx="60">
                  <c:v>66.2</c:v>
                </c:pt>
                <c:pt idx="61">
                  <c:v>93.4</c:v>
                </c:pt>
                <c:pt idx="62">
                  <c:v>67.8</c:v>
                </c:pt>
                <c:pt idx="63">
                  <c:v>43.4</c:v>
                </c:pt>
                <c:pt idx="64">
                  <c:v>59.5</c:v>
                </c:pt>
                <c:pt idx="65">
                  <c:v>17.8</c:v>
                </c:pt>
                <c:pt idx="66">
                  <c:v>31.1</c:v>
                </c:pt>
                <c:pt idx="67">
                  <c:v>21.4</c:v>
                </c:pt>
                <c:pt idx="68">
                  <c:v>36.799999999999997</c:v>
                </c:pt>
                <c:pt idx="69">
                  <c:v>33</c:v>
                </c:pt>
                <c:pt idx="70">
                  <c:v>6.6</c:v>
                </c:pt>
                <c:pt idx="71">
                  <c:v>17.5</c:v>
                </c:pt>
                <c:pt idx="72">
                  <c:v>7.8</c:v>
                </c:pt>
                <c:pt idx="73">
                  <c:v>6.2</c:v>
                </c:pt>
                <c:pt idx="74">
                  <c:v>6</c:v>
                </c:pt>
                <c:pt idx="75">
                  <c:v>45</c:v>
                </c:pt>
                <c:pt idx="76">
                  <c:v>74.5</c:v>
                </c:pt>
                <c:pt idx="77">
                  <c:v>45.8</c:v>
                </c:pt>
                <c:pt idx="78">
                  <c:v>53.7</c:v>
                </c:pt>
                <c:pt idx="79">
                  <c:v>36.6</c:v>
                </c:pt>
                <c:pt idx="80">
                  <c:v>33.5</c:v>
                </c:pt>
                <c:pt idx="81">
                  <c:v>70.400000000000006</c:v>
                </c:pt>
                <c:pt idx="82">
                  <c:v>32.200000000000003</c:v>
                </c:pt>
                <c:pt idx="83">
                  <c:v>46.7</c:v>
                </c:pt>
                <c:pt idx="84">
                  <c:v>48</c:v>
                </c:pt>
                <c:pt idx="85">
                  <c:v>56.1</c:v>
                </c:pt>
                <c:pt idx="86">
                  <c:v>45.1</c:v>
                </c:pt>
                <c:pt idx="87">
                  <c:v>56.8</c:v>
                </c:pt>
                <c:pt idx="88">
                  <c:v>86.3</c:v>
                </c:pt>
                <c:pt idx="89">
                  <c:v>63.1</c:v>
                </c:pt>
                <c:pt idx="90">
                  <c:v>66.099999999999994</c:v>
                </c:pt>
                <c:pt idx="91">
                  <c:v>73.900000000000006</c:v>
                </c:pt>
                <c:pt idx="92">
                  <c:v>53.6</c:v>
                </c:pt>
                <c:pt idx="93">
                  <c:v>28.9</c:v>
                </c:pt>
                <c:pt idx="94">
                  <c:v>77.3</c:v>
                </c:pt>
                <c:pt idx="95">
                  <c:v>57.8</c:v>
                </c:pt>
                <c:pt idx="96">
                  <c:v>69.599999999999994</c:v>
                </c:pt>
                <c:pt idx="97">
                  <c:v>76</c:v>
                </c:pt>
                <c:pt idx="98">
                  <c:v>36.9</c:v>
                </c:pt>
                <c:pt idx="99">
                  <c:v>62.5</c:v>
                </c:pt>
                <c:pt idx="100">
                  <c:v>79.900000000000006</c:v>
                </c:pt>
                <c:pt idx="101">
                  <c:v>71.3</c:v>
                </c:pt>
                <c:pt idx="102">
                  <c:v>85.4</c:v>
                </c:pt>
                <c:pt idx="103">
                  <c:v>87.4</c:v>
                </c:pt>
                <c:pt idx="104">
                  <c:v>90</c:v>
                </c:pt>
                <c:pt idx="105">
                  <c:v>96.7</c:v>
                </c:pt>
                <c:pt idx="106">
                  <c:v>91.9</c:v>
                </c:pt>
                <c:pt idx="107">
                  <c:v>85.2</c:v>
                </c:pt>
                <c:pt idx="108">
                  <c:v>97.1</c:v>
                </c:pt>
                <c:pt idx="109">
                  <c:v>91.2</c:v>
                </c:pt>
                <c:pt idx="110">
                  <c:v>54.4</c:v>
                </c:pt>
                <c:pt idx="111">
                  <c:v>81.599999999999994</c:v>
                </c:pt>
                <c:pt idx="112">
                  <c:v>92.9</c:v>
                </c:pt>
                <c:pt idx="113">
                  <c:v>95.4</c:v>
                </c:pt>
                <c:pt idx="114">
                  <c:v>84.2</c:v>
                </c:pt>
                <c:pt idx="115">
                  <c:v>88.2</c:v>
                </c:pt>
                <c:pt idx="116">
                  <c:v>72.5</c:v>
                </c:pt>
                <c:pt idx="117">
                  <c:v>82.6</c:v>
                </c:pt>
                <c:pt idx="118">
                  <c:v>73.099999999999994</c:v>
                </c:pt>
                <c:pt idx="119">
                  <c:v>65.2</c:v>
                </c:pt>
                <c:pt idx="120">
                  <c:v>69.7</c:v>
                </c:pt>
                <c:pt idx="121">
                  <c:v>84.1</c:v>
                </c:pt>
                <c:pt idx="122">
                  <c:v>92.9</c:v>
                </c:pt>
                <c:pt idx="123">
                  <c:v>97</c:v>
                </c:pt>
                <c:pt idx="124">
                  <c:v>95.8</c:v>
                </c:pt>
                <c:pt idx="125">
                  <c:v>88.4</c:v>
                </c:pt>
                <c:pt idx="126">
                  <c:v>95.6</c:v>
                </c:pt>
                <c:pt idx="127">
                  <c:v>96</c:v>
                </c:pt>
                <c:pt idx="128">
                  <c:v>98.8</c:v>
                </c:pt>
                <c:pt idx="129">
                  <c:v>94.7</c:v>
                </c:pt>
                <c:pt idx="130">
                  <c:v>98.9</c:v>
                </c:pt>
                <c:pt idx="131">
                  <c:v>97.7</c:v>
                </c:pt>
                <c:pt idx="132">
                  <c:v>97.9</c:v>
                </c:pt>
                <c:pt idx="133">
                  <c:v>95.4</c:v>
                </c:pt>
                <c:pt idx="134">
                  <c:v>98.4</c:v>
                </c:pt>
                <c:pt idx="135">
                  <c:v>98.2</c:v>
                </c:pt>
                <c:pt idx="136">
                  <c:v>93.5</c:v>
                </c:pt>
                <c:pt idx="137">
                  <c:v>98.4</c:v>
                </c:pt>
                <c:pt idx="138">
                  <c:v>98.2</c:v>
                </c:pt>
                <c:pt idx="139">
                  <c:v>97.9</c:v>
                </c:pt>
                <c:pt idx="140">
                  <c:v>93.6</c:v>
                </c:pt>
                <c:pt idx="141">
                  <c:v>100</c:v>
                </c:pt>
                <c:pt idx="142">
                  <c:v>100</c:v>
                </c:pt>
                <c:pt idx="143">
                  <c:v>100</c:v>
                </c:pt>
                <c:pt idx="144">
                  <c:v>97.8</c:v>
                </c:pt>
                <c:pt idx="145">
                  <c:v>100</c:v>
                </c:pt>
                <c:pt idx="146">
                  <c:v>100</c:v>
                </c:pt>
                <c:pt idx="147">
                  <c:v>95.7</c:v>
                </c:pt>
                <c:pt idx="148">
                  <c:v>93.8</c:v>
                </c:pt>
                <c:pt idx="149">
                  <c:v>94.9</c:v>
                </c:pt>
                <c:pt idx="150">
                  <c:v>97.3</c:v>
                </c:pt>
                <c:pt idx="151">
                  <c:v>100</c:v>
                </c:pt>
                <c:pt idx="152">
                  <c:v>88</c:v>
                </c:pt>
                <c:pt idx="153">
                  <c:v>98.5</c:v>
                </c:pt>
                <c:pt idx="154">
                  <c:v>96</c:v>
                </c:pt>
                <c:pt idx="155">
                  <c:v>82.6</c:v>
                </c:pt>
                <c:pt idx="156">
                  <c:v>94</c:v>
                </c:pt>
                <c:pt idx="157">
                  <c:v>97.4</c:v>
                </c:pt>
                <c:pt idx="158">
                  <c:v>100</c:v>
                </c:pt>
                <c:pt idx="159">
                  <c:v>100</c:v>
                </c:pt>
                <c:pt idx="160">
                  <c:v>92.6</c:v>
                </c:pt>
                <c:pt idx="161">
                  <c:v>90.8</c:v>
                </c:pt>
                <c:pt idx="162">
                  <c:v>98.2</c:v>
                </c:pt>
                <c:pt idx="163">
                  <c:v>93.9</c:v>
                </c:pt>
                <c:pt idx="164">
                  <c:v>91.8</c:v>
                </c:pt>
                <c:pt idx="165">
                  <c:v>93</c:v>
                </c:pt>
                <c:pt idx="166">
                  <c:v>96.2</c:v>
                </c:pt>
                <c:pt idx="167">
                  <c:v>79.2</c:v>
                </c:pt>
                <c:pt idx="168">
                  <c:v>96.1</c:v>
                </c:pt>
                <c:pt idx="169">
                  <c:v>95.2</c:v>
                </c:pt>
                <c:pt idx="170">
                  <c:v>94.6</c:v>
                </c:pt>
                <c:pt idx="171">
                  <c:v>97.3</c:v>
                </c:pt>
                <c:pt idx="172">
                  <c:v>88.5</c:v>
                </c:pt>
                <c:pt idx="173">
                  <c:v>84.1</c:v>
                </c:pt>
                <c:pt idx="174">
                  <c:v>68.7</c:v>
                </c:pt>
                <c:pt idx="175">
                  <c:v>33.1</c:v>
                </c:pt>
                <c:pt idx="176">
                  <c:v>47.2</c:v>
                </c:pt>
                <c:pt idx="177">
                  <c:v>73.400000000000006</c:v>
                </c:pt>
                <c:pt idx="178">
                  <c:v>74.400000000000006</c:v>
                </c:pt>
                <c:pt idx="179">
                  <c:v>58.4</c:v>
                </c:pt>
                <c:pt idx="180">
                  <c:v>83.3</c:v>
                </c:pt>
                <c:pt idx="181">
                  <c:v>62.2</c:v>
                </c:pt>
                <c:pt idx="182">
                  <c:v>92.2</c:v>
                </c:pt>
                <c:pt idx="183">
                  <c:v>95.6</c:v>
                </c:pt>
                <c:pt idx="184">
                  <c:v>89.8</c:v>
                </c:pt>
                <c:pt idx="185">
                  <c:v>68.8</c:v>
                </c:pt>
                <c:pt idx="186">
                  <c:v>53.6</c:v>
                </c:pt>
                <c:pt idx="187">
                  <c:v>41.1</c:v>
                </c:pt>
                <c:pt idx="188">
                  <c:v>29.1</c:v>
                </c:pt>
                <c:pt idx="189">
                  <c:v>38.9</c:v>
                </c:pt>
                <c:pt idx="190">
                  <c:v>21.5</c:v>
                </c:pt>
                <c:pt idx="191">
                  <c:v>30.8</c:v>
                </c:pt>
                <c:pt idx="192">
                  <c:v>26.3</c:v>
                </c:pt>
                <c:pt idx="193">
                  <c:v>9.9</c:v>
                </c:pt>
                <c:pt idx="194">
                  <c:v>18.8</c:v>
                </c:pt>
                <c:pt idx="195">
                  <c:v>32</c:v>
                </c:pt>
                <c:pt idx="196">
                  <c:v>34.1</c:v>
                </c:pt>
                <c:pt idx="197">
                  <c:v>36.6</c:v>
                </c:pt>
                <c:pt idx="198">
                  <c:v>38.299999999999997</c:v>
                </c:pt>
                <c:pt idx="199">
                  <c:v>15.3</c:v>
                </c:pt>
                <c:pt idx="200">
                  <c:v>13.9</c:v>
                </c:pt>
                <c:pt idx="201">
                  <c:v>38.4</c:v>
                </c:pt>
                <c:pt idx="202">
                  <c:v>15.7</c:v>
                </c:pt>
                <c:pt idx="203">
                  <c:v>33.200000000000003</c:v>
                </c:pt>
                <c:pt idx="204">
                  <c:v>31.9</c:v>
                </c:pt>
                <c:pt idx="205">
                  <c:v>22.3</c:v>
                </c:pt>
                <c:pt idx="206">
                  <c:v>52.5</c:v>
                </c:pt>
                <c:pt idx="207">
                  <c:v>72.7</c:v>
                </c:pt>
                <c:pt idx="208">
                  <c:v>59.1</c:v>
                </c:pt>
                <c:pt idx="209">
                  <c:v>100</c:v>
                </c:pt>
                <c:pt idx="210">
                  <c:v>92.1</c:v>
                </c:pt>
                <c:pt idx="211">
                  <c:v>88.6</c:v>
                </c:pt>
                <c:pt idx="212">
                  <c:v>53.8</c:v>
                </c:pt>
                <c:pt idx="213">
                  <c:v>32.299999999999997</c:v>
                </c:pt>
                <c:pt idx="214">
                  <c:v>9.8000000000000007</c:v>
                </c:pt>
                <c:pt idx="215">
                  <c:v>42.4</c:v>
                </c:pt>
                <c:pt idx="216">
                  <c:v>56</c:v>
                </c:pt>
                <c:pt idx="217">
                  <c:v>85.1</c:v>
                </c:pt>
                <c:pt idx="218">
                  <c:v>93.8</c:v>
                </c:pt>
                <c:pt idx="219">
                  <c:v>92.4</c:v>
                </c:pt>
                <c:pt idx="220">
                  <c:v>88.5</c:v>
                </c:pt>
                <c:pt idx="221">
                  <c:v>91.3</c:v>
                </c:pt>
                <c:pt idx="222">
                  <c:v>77.7</c:v>
                </c:pt>
                <c:pt idx="223">
                  <c:v>80.8</c:v>
                </c:pt>
                <c:pt idx="224">
                  <c:v>78.3</c:v>
                </c:pt>
                <c:pt idx="225">
                  <c:v>83</c:v>
                </c:pt>
                <c:pt idx="226">
                  <c:v>86.5</c:v>
                </c:pt>
                <c:pt idx="227">
                  <c:v>79.900000000000006</c:v>
                </c:pt>
                <c:pt idx="228">
                  <c:v>17</c:v>
                </c:pt>
                <c:pt idx="229">
                  <c:v>21.4</c:v>
                </c:pt>
                <c:pt idx="230">
                  <c:v>68.099999999999994</c:v>
                </c:pt>
                <c:pt idx="231">
                  <c:v>76.900000000000006</c:v>
                </c:pt>
                <c:pt idx="232">
                  <c:v>73.3</c:v>
                </c:pt>
                <c:pt idx="233">
                  <c:v>70.400000000000006</c:v>
                </c:pt>
                <c:pt idx="234">
                  <c:v>66.5</c:v>
                </c:pt>
                <c:pt idx="235">
                  <c:v>61.5</c:v>
                </c:pt>
                <c:pt idx="236">
                  <c:v>76.5</c:v>
                </c:pt>
                <c:pt idx="237">
                  <c:v>71.599999999999994</c:v>
                </c:pt>
                <c:pt idx="238">
                  <c:v>18.5</c:v>
                </c:pt>
                <c:pt idx="239">
                  <c:v>42.2</c:v>
                </c:pt>
                <c:pt idx="240">
                  <c:v>54.3</c:v>
                </c:pt>
                <c:pt idx="241">
                  <c:v>65.099999999999994</c:v>
                </c:pt>
                <c:pt idx="242">
                  <c:v>52.9</c:v>
                </c:pt>
                <c:pt idx="243">
                  <c:v>7.8</c:v>
                </c:pt>
                <c:pt idx="244">
                  <c:v>76.5</c:v>
                </c:pt>
                <c:pt idx="245">
                  <c:v>70.2</c:v>
                </c:pt>
                <c:pt idx="246">
                  <c:v>34.9</c:v>
                </c:pt>
                <c:pt idx="247">
                  <c:v>79.2</c:v>
                </c:pt>
                <c:pt idx="248">
                  <c:v>49.1</c:v>
                </c:pt>
                <c:pt idx="249">
                  <c:v>17.5</c:v>
                </c:pt>
                <c:pt idx="250">
                  <c:v>13</c:v>
                </c:pt>
                <c:pt idx="251">
                  <c:v>8.9</c:v>
                </c:pt>
                <c:pt idx="252">
                  <c:v>6.8</c:v>
                </c:pt>
                <c:pt idx="253">
                  <c:v>8.4</c:v>
                </c:pt>
                <c:pt idx="254">
                  <c:v>32</c:v>
                </c:pt>
                <c:pt idx="255">
                  <c:v>19.100000000000001</c:v>
                </c:pt>
                <c:pt idx="256">
                  <c:v>34.200000000000003</c:v>
                </c:pt>
                <c:pt idx="257">
                  <c:v>86.9</c:v>
                </c:pt>
                <c:pt idx="258">
                  <c:v>100</c:v>
                </c:pt>
                <c:pt idx="259">
                  <c:v>100</c:v>
                </c:pt>
                <c:pt idx="260">
                  <c:v>81.8</c:v>
                </c:pt>
                <c:pt idx="261">
                  <c:v>89.4</c:v>
                </c:pt>
                <c:pt idx="262">
                  <c:v>91.5</c:v>
                </c:pt>
                <c:pt idx="263">
                  <c:v>94.5</c:v>
                </c:pt>
                <c:pt idx="264">
                  <c:v>91.6</c:v>
                </c:pt>
                <c:pt idx="265">
                  <c:v>62.8</c:v>
                </c:pt>
                <c:pt idx="266">
                  <c:v>84.6</c:v>
                </c:pt>
                <c:pt idx="267">
                  <c:v>67</c:v>
                </c:pt>
                <c:pt idx="268">
                  <c:v>52.6</c:v>
                </c:pt>
                <c:pt idx="269">
                  <c:v>61.5</c:v>
                </c:pt>
                <c:pt idx="270">
                  <c:v>42.1</c:v>
                </c:pt>
                <c:pt idx="271">
                  <c:v>16.3</c:v>
                </c:pt>
                <c:pt idx="272">
                  <c:v>58.7</c:v>
                </c:pt>
                <c:pt idx="273">
                  <c:v>51.8</c:v>
                </c:pt>
                <c:pt idx="274">
                  <c:v>32.9</c:v>
                </c:pt>
                <c:pt idx="275">
                  <c:v>42.8</c:v>
                </c:pt>
                <c:pt idx="276">
                  <c:v>49</c:v>
                </c:pt>
                <c:pt idx="277">
                  <c:v>27.6</c:v>
                </c:pt>
                <c:pt idx="278">
                  <c:v>32.1</c:v>
                </c:pt>
                <c:pt idx="279">
                  <c:v>32.200000000000003</c:v>
                </c:pt>
                <c:pt idx="280">
                  <c:v>64.5</c:v>
                </c:pt>
                <c:pt idx="281">
                  <c:v>37.200000000000003</c:v>
                </c:pt>
                <c:pt idx="282">
                  <c:v>49.7</c:v>
                </c:pt>
                <c:pt idx="283">
                  <c:v>24.8</c:v>
                </c:pt>
                <c:pt idx="284">
                  <c:v>20.8</c:v>
                </c:pt>
                <c:pt idx="285">
                  <c:v>31.9</c:v>
                </c:pt>
                <c:pt idx="286">
                  <c:v>31.5</c:v>
                </c:pt>
                <c:pt idx="287">
                  <c:v>31.3</c:v>
                </c:pt>
                <c:pt idx="288">
                  <c:v>45.6</c:v>
                </c:pt>
                <c:pt idx="289">
                  <c:v>22.9</c:v>
                </c:pt>
                <c:pt idx="290">
                  <c:v>27.9</c:v>
                </c:pt>
                <c:pt idx="291">
                  <c:v>27.7</c:v>
                </c:pt>
                <c:pt idx="292">
                  <c:v>23.4</c:v>
                </c:pt>
                <c:pt idx="293">
                  <c:v>18.399999999999999</c:v>
                </c:pt>
                <c:pt idx="294">
                  <c:v>42.3</c:v>
                </c:pt>
                <c:pt idx="295">
                  <c:v>31.1</c:v>
                </c:pt>
                <c:pt idx="296">
                  <c:v>51</c:v>
                </c:pt>
                <c:pt idx="297">
                  <c:v>58</c:v>
                </c:pt>
                <c:pt idx="298">
                  <c:v>20.100000000000001</c:v>
                </c:pt>
                <c:pt idx="299">
                  <c:v>10</c:v>
                </c:pt>
                <c:pt idx="300">
                  <c:v>47.4</c:v>
                </c:pt>
                <c:pt idx="301">
                  <c:v>40.4</c:v>
                </c:pt>
                <c:pt idx="302">
                  <c:v>18.399999999999999</c:v>
                </c:pt>
                <c:pt idx="303">
                  <c:v>17.7</c:v>
                </c:pt>
                <c:pt idx="304">
                  <c:v>41.1</c:v>
                </c:pt>
                <c:pt idx="305">
                  <c:v>58.1</c:v>
                </c:pt>
                <c:pt idx="306">
                  <c:v>71.900000000000006</c:v>
                </c:pt>
                <c:pt idx="307">
                  <c:v>70.3</c:v>
                </c:pt>
                <c:pt idx="308">
                  <c:v>82.5</c:v>
                </c:pt>
                <c:pt idx="309">
                  <c:v>76.7</c:v>
                </c:pt>
                <c:pt idx="310">
                  <c:v>37.799999999999997</c:v>
                </c:pt>
                <c:pt idx="311">
                  <c:v>52.8</c:v>
                </c:pt>
                <c:pt idx="312">
                  <c:v>90.4</c:v>
                </c:pt>
                <c:pt idx="313">
                  <c:v>82.8</c:v>
                </c:pt>
                <c:pt idx="314">
                  <c:v>87.3</c:v>
                </c:pt>
                <c:pt idx="315">
                  <c:v>77.7</c:v>
                </c:pt>
                <c:pt idx="316">
                  <c:v>83.2</c:v>
                </c:pt>
                <c:pt idx="317">
                  <c:v>71.7</c:v>
                </c:pt>
                <c:pt idx="318">
                  <c:v>67.2</c:v>
                </c:pt>
                <c:pt idx="319">
                  <c:v>58.8</c:v>
                </c:pt>
                <c:pt idx="320">
                  <c:v>52.3</c:v>
                </c:pt>
                <c:pt idx="321">
                  <c:v>54.3</c:v>
                </c:pt>
                <c:pt idx="322">
                  <c:v>49.9</c:v>
                </c:pt>
                <c:pt idx="323">
                  <c:v>74.3</c:v>
                </c:pt>
                <c:pt idx="324">
                  <c:v>40.1</c:v>
                </c:pt>
                <c:pt idx="325">
                  <c:v>14.7</c:v>
                </c:pt>
                <c:pt idx="326">
                  <c:v>28.9</c:v>
                </c:pt>
                <c:pt idx="327">
                  <c:v>43.7</c:v>
                </c:pt>
                <c:pt idx="328">
                  <c:v>25.8</c:v>
                </c:pt>
                <c:pt idx="329">
                  <c:v>17.2</c:v>
                </c:pt>
                <c:pt idx="330">
                  <c:v>32.200000000000003</c:v>
                </c:pt>
                <c:pt idx="331">
                  <c:v>28.4</c:v>
                </c:pt>
                <c:pt idx="332">
                  <c:v>23.3</c:v>
                </c:pt>
                <c:pt idx="333">
                  <c:v>38.1</c:v>
                </c:pt>
                <c:pt idx="334">
                  <c:v>38.5</c:v>
                </c:pt>
                <c:pt idx="335">
                  <c:v>34.5</c:v>
                </c:pt>
                <c:pt idx="336">
                  <c:v>46.3</c:v>
                </c:pt>
                <c:pt idx="337">
                  <c:v>59.6</c:v>
                </c:pt>
                <c:pt idx="338">
                  <c:v>37.299999999999997</c:v>
                </c:pt>
                <c:pt idx="339">
                  <c:v>45.4</c:v>
                </c:pt>
                <c:pt idx="340">
                  <c:v>58.5</c:v>
                </c:pt>
                <c:pt idx="341">
                  <c:v>49.3</c:v>
                </c:pt>
                <c:pt idx="342">
                  <c:v>59.7</c:v>
                </c:pt>
                <c:pt idx="343">
                  <c:v>56.4</c:v>
                </c:pt>
                <c:pt idx="344">
                  <c:v>28.1</c:v>
                </c:pt>
                <c:pt idx="345">
                  <c:v>48.5</c:v>
                </c:pt>
                <c:pt idx="346">
                  <c:v>52.3</c:v>
                </c:pt>
                <c:pt idx="347">
                  <c:v>27.7</c:v>
                </c:pt>
                <c:pt idx="348">
                  <c:v>29.7</c:v>
                </c:pt>
                <c:pt idx="349">
                  <c:v>34.5</c:v>
                </c:pt>
                <c:pt idx="350">
                  <c:v>44.4</c:v>
                </c:pt>
                <c:pt idx="351">
                  <c:v>35.9</c:v>
                </c:pt>
                <c:pt idx="352">
                  <c:v>18.5</c:v>
                </c:pt>
                <c:pt idx="353">
                  <c:v>36.1</c:v>
                </c:pt>
                <c:pt idx="354">
                  <c:v>21.9</c:v>
                </c:pt>
                <c:pt idx="355">
                  <c:v>19.5</c:v>
                </c:pt>
                <c:pt idx="356">
                  <c:v>97.4</c:v>
                </c:pt>
                <c:pt idx="357">
                  <c:v>91</c:v>
                </c:pt>
                <c:pt idx="358">
                  <c:v>83.4</c:v>
                </c:pt>
                <c:pt idx="359">
                  <c:v>81.3</c:v>
                </c:pt>
                <c:pt idx="360">
                  <c:v>88</c:v>
                </c:pt>
                <c:pt idx="361">
                  <c:v>91.1</c:v>
                </c:pt>
                <c:pt idx="362">
                  <c:v>96.2</c:v>
                </c:pt>
                <c:pt idx="363">
                  <c:v>89</c:v>
                </c:pt>
                <c:pt idx="364">
                  <c:v>82.9</c:v>
                </c:pt>
                <c:pt idx="365">
                  <c:v>87.9</c:v>
                </c:pt>
                <c:pt idx="366">
                  <c:v>91.4</c:v>
                </c:pt>
                <c:pt idx="367">
                  <c:v>100</c:v>
                </c:pt>
                <c:pt idx="368">
                  <c:v>100</c:v>
                </c:pt>
                <c:pt idx="369">
                  <c:v>96.8</c:v>
                </c:pt>
                <c:pt idx="370">
                  <c:v>97.5</c:v>
                </c:pt>
                <c:pt idx="371">
                  <c:v>100</c:v>
                </c:pt>
                <c:pt idx="372">
                  <c:v>89.6</c:v>
                </c:pt>
                <c:pt idx="373">
                  <c:v>100</c:v>
                </c:pt>
                <c:pt idx="374">
                  <c:v>100</c:v>
                </c:pt>
                <c:pt idx="375">
                  <c:v>97.9</c:v>
                </c:pt>
                <c:pt idx="376">
                  <c:v>93.3</c:v>
                </c:pt>
                <c:pt idx="377">
                  <c:v>98.8</c:v>
                </c:pt>
                <c:pt idx="378">
                  <c:v>96.2</c:v>
                </c:pt>
                <c:pt idx="379">
                  <c:v>100</c:v>
                </c:pt>
                <c:pt idx="380">
                  <c:v>91.9</c:v>
                </c:pt>
                <c:pt idx="381">
                  <c:v>99.1</c:v>
                </c:pt>
                <c:pt idx="382">
                  <c:v>100</c:v>
                </c:pt>
                <c:pt idx="383">
                  <c:v>100</c:v>
                </c:pt>
                <c:pt idx="384">
                  <c:v>91.2</c:v>
                </c:pt>
                <c:pt idx="385">
                  <c:v>98.1</c:v>
                </c:pt>
                <c:pt idx="386">
                  <c:v>100</c:v>
                </c:pt>
                <c:pt idx="387">
                  <c:v>89.5</c:v>
                </c:pt>
                <c:pt idx="388">
                  <c:v>100</c:v>
                </c:pt>
                <c:pt idx="389">
                  <c:v>98.9</c:v>
                </c:pt>
                <c:pt idx="390">
                  <c:v>97</c:v>
                </c:pt>
                <c:pt idx="391">
                  <c:v>82.5</c:v>
                </c:pt>
                <c:pt idx="392">
                  <c:v>97</c:v>
                </c:pt>
                <c:pt idx="393">
                  <c:v>92.6</c:v>
                </c:pt>
                <c:pt idx="394">
                  <c:v>94.7</c:v>
                </c:pt>
                <c:pt idx="395">
                  <c:v>98.8</c:v>
                </c:pt>
                <c:pt idx="396">
                  <c:v>96</c:v>
                </c:pt>
                <c:pt idx="397">
                  <c:v>98.9</c:v>
                </c:pt>
                <c:pt idx="398">
                  <c:v>100</c:v>
                </c:pt>
                <c:pt idx="399">
                  <c:v>77.8</c:v>
                </c:pt>
                <c:pt idx="400">
                  <c:v>100</c:v>
                </c:pt>
                <c:pt idx="401">
                  <c:v>100</c:v>
                </c:pt>
                <c:pt idx="402">
                  <c:v>100</c:v>
                </c:pt>
                <c:pt idx="403">
                  <c:v>96</c:v>
                </c:pt>
                <c:pt idx="404">
                  <c:v>85.4</c:v>
                </c:pt>
                <c:pt idx="405">
                  <c:v>100</c:v>
                </c:pt>
                <c:pt idx="406">
                  <c:v>100</c:v>
                </c:pt>
                <c:pt idx="407">
                  <c:v>100</c:v>
                </c:pt>
                <c:pt idx="408">
                  <c:v>97.9</c:v>
                </c:pt>
                <c:pt idx="409">
                  <c:v>100</c:v>
                </c:pt>
                <c:pt idx="410">
                  <c:v>100</c:v>
                </c:pt>
                <c:pt idx="411">
                  <c:v>100</c:v>
                </c:pt>
                <c:pt idx="412">
                  <c:v>100</c:v>
                </c:pt>
                <c:pt idx="413">
                  <c:v>100</c:v>
                </c:pt>
                <c:pt idx="414">
                  <c:v>100</c:v>
                </c:pt>
                <c:pt idx="415">
                  <c:v>100</c:v>
                </c:pt>
                <c:pt idx="416">
                  <c:v>90.8</c:v>
                </c:pt>
                <c:pt idx="417">
                  <c:v>89.1</c:v>
                </c:pt>
                <c:pt idx="418">
                  <c:v>100</c:v>
                </c:pt>
                <c:pt idx="419">
                  <c:v>76.5</c:v>
                </c:pt>
                <c:pt idx="420">
                  <c:v>100</c:v>
                </c:pt>
                <c:pt idx="421">
                  <c:v>95.3</c:v>
                </c:pt>
                <c:pt idx="422">
                  <c:v>87.6</c:v>
                </c:pt>
                <c:pt idx="423">
                  <c:v>85.1</c:v>
                </c:pt>
                <c:pt idx="424">
                  <c:v>70.599999999999994</c:v>
                </c:pt>
                <c:pt idx="425">
                  <c:v>95.4</c:v>
                </c:pt>
                <c:pt idx="426">
                  <c:v>59.7</c:v>
                </c:pt>
                <c:pt idx="427">
                  <c:v>78.7</c:v>
                </c:pt>
                <c:pt idx="428">
                  <c:v>78.099999999999994</c:v>
                </c:pt>
                <c:pt idx="429">
                  <c:v>95.6</c:v>
                </c:pt>
                <c:pt idx="430">
                  <c:v>86.1</c:v>
                </c:pt>
                <c:pt idx="431">
                  <c:v>94.3</c:v>
                </c:pt>
                <c:pt idx="432">
                  <c:v>74.8</c:v>
                </c:pt>
                <c:pt idx="433">
                  <c:v>87.9</c:v>
                </c:pt>
                <c:pt idx="434">
                  <c:v>95</c:v>
                </c:pt>
                <c:pt idx="435">
                  <c:v>94.6</c:v>
                </c:pt>
                <c:pt idx="436">
                  <c:v>93.3</c:v>
                </c:pt>
                <c:pt idx="437">
                  <c:v>100</c:v>
                </c:pt>
                <c:pt idx="438">
                  <c:v>87.9</c:v>
                </c:pt>
                <c:pt idx="439">
                  <c:v>93.9</c:v>
                </c:pt>
                <c:pt idx="440">
                  <c:v>92.4</c:v>
                </c:pt>
                <c:pt idx="441">
                  <c:v>97.2</c:v>
                </c:pt>
                <c:pt idx="442">
                  <c:v>100</c:v>
                </c:pt>
                <c:pt idx="443">
                  <c:v>100</c:v>
                </c:pt>
                <c:pt idx="444">
                  <c:v>96.6</c:v>
                </c:pt>
                <c:pt idx="445">
                  <c:v>94.8</c:v>
                </c:pt>
                <c:pt idx="446">
                  <c:v>96.4</c:v>
                </c:pt>
                <c:pt idx="447">
                  <c:v>96.6</c:v>
                </c:pt>
                <c:pt idx="448">
                  <c:v>98.7</c:v>
                </c:pt>
                <c:pt idx="449">
                  <c:v>98.3</c:v>
                </c:pt>
                <c:pt idx="450">
                  <c:v>92.6</c:v>
                </c:pt>
                <c:pt idx="451">
                  <c:v>98.2</c:v>
                </c:pt>
                <c:pt idx="452">
                  <c:v>91.8</c:v>
                </c:pt>
                <c:pt idx="453">
                  <c:v>99.3</c:v>
                </c:pt>
                <c:pt idx="454">
                  <c:v>94.1</c:v>
                </c:pt>
                <c:pt idx="455">
                  <c:v>86.5</c:v>
                </c:pt>
                <c:pt idx="456">
                  <c:v>87.9</c:v>
                </c:pt>
                <c:pt idx="457">
                  <c:v>80.3</c:v>
                </c:pt>
                <c:pt idx="458">
                  <c:v>83.7</c:v>
                </c:pt>
                <c:pt idx="459">
                  <c:v>84.4</c:v>
                </c:pt>
                <c:pt idx="460">
                  <c:v>90</c:v>
                </c:pt>
                <c:pt idx="461">
                  <c:v>88.4</c:v>
                </c:pt>
                <c:pt idx="462">
                  <c:v>83</c:v>
                </c:pt>
                <c:pt idx="463">
                  <c:v>89.9</c:v>
                </c:pt>
                <c:pt idx="464">
                  <c:v>65.400000000000006</c:v>
                </c:pt>
                <c:pt idx="465">
                  <c:v>48.2</c:v>
                </c:pt>
                <c:pt idx="466">
                  <c:v>84.7</c:v>
                </c:pt>
                <c:pt idx="467">
                  <c:v>94.5</c:v>
                </c:pt>
                <c:pt idx="468">
                  <c:v>71</c:v>
                </c:pt>
                <c:pt idx="469">
                  <c:v>56.7</c:v>
                </c:pt>
                <c:pt idx="470">
                  <c:v>84</c:v>
                </c:pt>
                <c:pt idx="471">
                  <c:v>90.7</c:v>
                </c:pt>
                <c:pt idx="472">
                  <c:v>75</c:v>
                </c:pt>
                <c:pt idx="473">
                  <c:v>67.599999999999994</c:v>
                </c:pt>
                <c:pt idx="474">
                  <c:v>95.4</c:v>
                </c:pt>
                <c:pt idx="475">
                  <c:v>97.4</c:v>
                </c:pt>
                <c:pt idx="476">
                  <c:v>93.6</c:v>
                </c:pt>
                <c:pt idx="477">
                  <c:v>97.3</c:v>
                </c:pt>
                <c:pt idx="478">
                  <c:v>96.7</c:v>
                </c:pt>
                <c:pt idx="479">
                  <c:v>88</c:v>
                </c:pt>
                <c:pt idx="480">
                  <c:v>64.7</c:v>
                </c:pt>
                <c:pt idx="481">
                  <c:v>74.900000000000006</c:v>
                </c:pt>
                <c:pt idx="482">
                  <c:v>77</c:v>
                </c:pt>
                <c:pt idx="483">
                  <c:v>40.299999999999997</c:v>
                </c:pt>
                <c:pt idx="484">
                  <c:v>41.9</c:v>
                </c:pt>
                <c:pt idx="485">
                  <c:v>51.9</c:v>
                </c:pt>
                <c:pt idx="486">
                  <c:v>79.8</c:v>
                </c:pt>
                <c:pt idx="487">
                  <c:v>53.2</c:v>
                </c:pt>
                <c:pt idx="488">
                  <c:v>92.7</c:v>
                </c:pt>
                <c:pt idx="489">
                  <c:v>98.3</c:v>
                </c:pt>
                <c:pt idx="490">
                  <c:v>98</c:v>
                </c:pt>
                <c:pt idx="491">
                  <c:v>98.8</c:v>
                </c:pt>
                <c:pt idx="492">
                  <c:v>83.5</c:v>
                </c:pt>
                <c:pt idx="493">
                  <c:v>54</c:v>
                </c:pt>
                <c:pt idx="494">
                  <c:v>42.6</c:v>
                </c:pt>
                <c:pt idx="495">
                  <c:v>28.8</c:v>
                </c:pt>
                <c:pt idx="496">
                  <c:v>72.900000000000006</c:v>
                </c:pt>
                <c:pt idx="497">
                  <c:v>70.599999999999994</c:v>
                </c:pt>
                <c:pt idx="498">
                  <c:v>65.3</c:v>
                </c:pt>
                <c:pt idx="499">
                  <c:v>73.5</c:v>
                </c:pt>
                <c:pt idx="500">
                  <c:v>79.7</c:v>
                </c:pt>
                <c:pt idx="501">
                  <c:v>69.099999999999994</c:v>
                </c:pt>
                <c:pt idx="502">
                  <c:v>76.7</c:v>
                </c:pt>
                <c:pt idx="503">
                  <c:v>91</c:v>
                </c:pt>
                <c:pt idx="504">
                  <c:v>89.3</c:v>
                </c:pt>
                <c:pt idx="505">
                  <c:v>80.8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347776"/>
        <c:axId val="142695744"/>
      </c:lineChart>
      <c:catAx>
        <c:axId val="142347776"/>
        <c:scaling>
          <c:orientation val="minMax"/>
        </c:scaling>
        <c:delete val="0"/>
        <c:axPos val="b"/>
        <c:majorTickMark val="out"/>
        <c:minorTickMark val="none"/>
        <c:tickLblPos val="nextTo"/>
        <c:crossAx val="142695744"/>
        <c:crosses val="autoZero"/>
        <c:auto val="1"/>
        <c:lblAlgn val="ctr"/>
        <c:lblOffset val="100"/>
        <c:noMultiLvlLbl val="0"/>
      </c:catAx>
      <c:valAx>
        <c:axId val="1426957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423477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보스턴주택가격!$H$2</c:f>
              <c:strCache>
                <c:ptCount val="1"/>
                <c:pt idx="0">
                  <c:v>고용센터접근성</c:v>
                </c:pt>
              </c:strCache>
            </c:strRef>
          </c:tx>
          <c:val>
            <c:numRef>
              <c:f>보스턴주택가격!$H$3:$H$508</c:f>
              <c:numCache>
                <c:formatCode>General</c:formatCode>
                <c:ptCount val="506"/>
                <c:pt idx="0">
                  <c:v>4.09</c:v>
                </c:pt>
                <c:pt idx="1">
                  <c:v>4.9671000000000003</c:v>
                </c:pt>
                <c:pt idx="2">
                  <c:v>4.9671000000000003</c:v>
                </c:pt>
                <c:pt idx="3">
                  <c:v>6.0621999999999998</c:v>
                </c:pt>
                <c:pt idx="4">
                  <c:v>6.0621999999999998</c:v>
                </c:pt>
                <c:pt idx="5">
                  <c:v>6.0621999999999998</c:v>
                </c:pt>
                <c:pt idx="6">
                  <c:v>5.5605000000000002</c:v>
                </c:pt>
                <c:pt idx="7">
                  <c:v>5.9504999999999999</c:v>
                </c:pt>
                <c:pt idx="8">
                  <c:v>6.0820999999999996</c:v>
                </c:pt>
                <c:pt idx="9">
                  <c:v>6.5921000000000003</c:v>
                </c:pt>
                <c:pt idx="10">
                  <c:v>6.3467000000000002</c:v>
                </c:pt>
                <c:pt idx="11">
                  <c:v>6.2267000000000001</c:v>
                </c:pt>
                <c:pt idx="12">
                  <c:v>5.4508999999999999</c:v>
                </c:pt>
                <c:pt idx="13">
                  <c:v>4.7074999999999996</c:v>
                </c:pt>
                <c:pt idx="14">
                  <c:v>4.4619</c:v>
                </c:pt>
                <c:pt idx="15">
                  <c:v>4.4985999999999997</c:v>
                </c:pt>
                <c:pt idx="16">
                  <c:v>4.4985999999999997</c:v>
                </c:pt>
                <c:pt idx="17">
                  <c:v>4.2579000000000002</c:v>
                </c:pt>
                <c:pt idx="18">
                  <c:v>3.7965</c:v>
                </c:pt>
                <c:pt idx="19">
                  <c:v>3.7965</c:v>
                </c:pt>
                <c:pt idx="20">
                  <c:v>3.7978999999999998</c:v>
                </c:pt>
                <c:pt idx="21">
                  <c:v>4.0122999999999998</c:v>
                </c:pt>
                <c:pt idx="22">
                  <c:v>3.9769000000000001</c:v>
                </c:pt>
                <c:pt idx="23">
                  <c:v>4.0952000000000002</c:v>
                </c:pt>
                <c:pt idx="24">
                  <c:v>4.3996000000000004</c:v>
                </c:pt>
                <c:pt idx="25">
                  <c:v>4.4546000000000001</c:v>
                </c:pt>
                <c:pt idx="26">
                  <c:v>4.6820000000000004</c:v>
                </c:pt>
                <c:pt idx="27">
                  <c:v>4.4534000000000002</c:v>
                </c:pt>
                <c:pt idx="28">
                  <c:v>4.4546999999999999</c:v>
                </c:pt>
                <c:pt idx="29">
                  <c:v>4.2389999999999999</c:v>
                </c:pt>
                <c:pt idx="30">
                  <c:v>4.2329999999999997</c:v>
                </c:pt>
                <c:pt idx="31">
                  <c:v>4.1749999999999998</c:v>
                </c:pt>
                <c:pt idx="32">
                  <c:v>3.99</c:v>
                </c:pt>
                <c:pt idx="33">
                  <c:v>3.7871999999999999</c:v>
                </c:pt>
                <c:pt idx="34">
                  <c:v>3.7597999999999998</c:v>
                </c:pt>
                <c:pt idx="35">
                  <c:v>3.3603000000000001</c:v>
                </c:pt>
                <c:pt idx="36">
                  <c:v>3.3778999999999999</c:v>
                </c:pt>
                <c:pt idx="37">
                  <c:v>3.9342000000000001</c:v>
                </c:pt>
                <c:pt idx="38">
                  <c:v>3.8473000000000002</c:v>
                </c:pt>
                <c:pt idx="39">
                  <c:v>5.4010999999999996</c:v>
                </c:pt>
                <c:pt idx="40">
                  <c:v>5.4010999999999996</c:v>
                </c:pt>
                <c:pt idx="41">
                  <c:v>5.7209000000000003</c:v>
                </c:pt>
                <c:pt idx="42">
                  <c:v>5.7209000000000003</c:v>
                </c:pt>
                <c:pt idx="43">
                  <c:v>5.7209000000000003</c:v>
                </c:pt>
                <c:pt idx="44">
                  <c:v>5.7209000000000003</c:v>
                </c:pt>
                <c:pt idx="45">
                  <c:v>5.1003999999999996</c:v>
                </c:pt>
                <c:pt idx="46">
                  <c:v>5.1003999999999996</c:v>
                </c:pt>
                <c:pt idx="47">
                  <c:v>5.6894</c:v>
                </c:pt>
                <c:pt idx="48">
                  <c:v>5.87</c:v>
                </c:pt>
                <c:pt idx="49">
                  <c:v>6.0876999999999999</c:v>
                </c:pt>
                <c:pt idx="50">
                  <c:v>6.8147000000000002</c:v>
                </c:pt>
                <c:pt idx="51">
                  <c:v>6.8147000000000002</c:v>
                </c:pt>
                <c:pt idx="52">
                  <c:v>6.8147000000000002</c:v>
                </c:pt>
                <c:pt idx="53">
                  <c:v>6.8147000000000002</c:v>
                </c:pt>
                <c:pt idx="54">
                  <c:v>7.3197000000000001</c:v>
                </c:pt>
                <c:pt idx="55">
                  <c:v>8.6966000000000001</c:v>
                </c:pt>
                <c:pt idx="56">
                  <c:v>9.1875999999999998</c:v>
                </c:pt>
                <c:pt idx="57">
                  <c:v>8.3247999999999998</c:v>
                </c:pt>
                <c:pt idx="58">
                  <c:v>7.8148</c:v>
                </c:pt>
                <c:pt idx="59">
                  <c:v>6.9320000000000004</c:v>
                </c:pt>
                <c:pt idx="60">
                  <c:v>7.2253999999999996</c:v>
                </c:pt>
                <c:pt idx="61">
                  <c:v>6.8185000000000002</c:v>
                </c:pt>
                <c:pt idx="62">
                  <c:v>7.2255000000000003</c:v>
                </c:pt>
                <c:pt idx="63">
                  <c:v>7.9809000000000001</c:v>
                </c:pt>
                <c:pt idx="64">
                  <c:v>9.2228999999999992</c:v>
                </c:pt>
                <c:pt idx="65">
                  <c:v>6.6115000000000004</c:v>
                </c:pt>
                <c:pt idx="66">
                  <c:v>6.6115000000000004</c:v>
                </c:pt>
                <c:pt idx="67">
                  <c:v>6.4980000000000002</c:v>
                </c:pt>
                <c:pt idx="68">
                  <c:v>6.4980000000000002</c:v>
                </c:pt>
                <c:pt idx="69">
                  <c:v>6.4980000000000002</c:v>
                </c:pt>
                <c:pt idx="70">
                  <c:v>5.2873000000000001</c:v>
                </c:pt>
                <c:pt idx="71">
                  <c:v>5.2873000000000001</c:v>
                </c:pt>
                <c:pt idx="72">
                  <c:v>5.2873000000000001</c:v>
                </c:pt>
                <c:pt idx="73">
                  <c:v>5.2873000000000001</c:v>
                </c:pt>
                <c:pt idx="74">
                  <c:v>4.2515000000000001</c:v>
                </c:pt>
                <c:pt idx="75">
                  <c:v>4.5026000000000002</c:v>
                </c:pt>
                <c:pt idx="76">
                  <c:v>4.0522</c:v>
                </c:pt>
                <c:pt idx="77">
                  <c:v>4.0904999999999996</c:v>
                </c:pt>
                <c:pt idx="78">
                  <c:v>5.0141</c:v>
                </c:pt>
                <c:pt idx="79">
                  <c:v>4.5026000000000002</c:v>
                </c:pt>
                <c:pt idx="80">
                  <c:v>5.4006999999999996</c:v>
                </c:pt>
                <c:pt idx="81">
                  <c:v>5.4006999999999996</c:v>
                </c:pt>
                <c:pt idx="82">
                  <c:v>5.4006999999999996</c:v>
                </c:pt>
                <c:pt idx="83">
                  <c:v>5.4006999999999996</c:v>
                </c:pt>
                <c:pt idx="84">
                  <c:v>4.7793999999999999</c:v>
                </c:pt>
                <c:pt idx="85">
                  <c:v>4.4377000000000004</c:v>
                </c:pt>
                <c:pt idx="86">
                  <c:v>4.4272</c:v>
                </c:pt>
                <c:pt idx="87">
                  <c:v>3.7475999999999998</c:v>
                </c:pt>
                <c:pt idx="88">
                  <c:v>3.4217</c:v>
                </c:pt>
                <c:pt idx="89">
                  <c:v>3.4144999999999999</c:v>
                </c:pt>
                <c:pt idx="90">
                  <c:v>3.0922999999999998</c:v>
                </c:pt>
                <c:pt idx="91">
                  <c:v>3.0920999999999998</c:v>
                </c:pt>
                <c:pt idx="92">
                  <c:v>3.6659000000000002</c:v>
                </c:pt>
                <c:pt idx="93">
                  <c:v>3.6659000000000002</c:v>
                </c:pt>
                <c:pt idx="94">
                  <c:v>3.6150000000000002</c:v>
                </c:pt>
                <c:pt idx="95">
                  <c:v>3.4952000000000001</c:v>
                </c:pt>
                <c:pt idx="96">
                  <c:v>3.4952000000000001</c:v>
                </c:pt>
                <c:pt idx="97">
                  <c:v>3.4952000000000001</c:v>
                </c:pt>
                <c:pt idx="98">
                  <c:v>3.4952000000000001</c:v>
                </c:pt>
                <c:pt idx="99">
                  <c:v>3.4952000000000001</c:v>
                </c:pt>
                <c:pt idx="100">
                  <c:v>2.7778</c:v>
                </c:pt>
                <c:pt idx="101">
                  <c:v>2.8561000000000001</c:v>
                </c:pt>
                <c:pt idx="102">
                  <c:v>2.7147000000000001</c:v>
                </c:pt>
                <c:pt idx="103">
                  <c:v>2.7147000000000001</c:v>
                </c:pt>
                <c:pt idx="104">
                  <c:v>2.4209999999999998</c:v>
                </c:pt>
                <c:pt idx="105">
                  <c:v>2.1069</c:v>
                </c:pt>
                <c:pt idx="106">
                  <c:v>2.2109999999999999</c:v>
                </c:pt>
                <c:pt idx="107">
                  <c:v>2.1223999999999998</c:v>
                </c:pt>
                <c:pt idx="108">
                  <c:v>2.4329000000000001</c:v>
                </c:pt>
                <c:pt idx="109">
                  <c:v>2.5451000000000001</c:v>
                </c:pt>
                <c:pt idx="110">
                  <c:v>2.7778</c:v>
                </c:pt>
                <c:pt idx="111">
                  <c:v>2.6775000000000002</c:v>
                </c:pt>
                <c:pt idx="112">
                  <c:v>2.3534000000000002</c:v>
                </c:pt>
                <c:pt idx="113">
                  <c:v>2.548</c:v>
                </c:pt>
                <c:pt idx="114">
                  <c:v>2.2565</c:v>
                </c:pt>
                <c:pt idx="115">
                  <c:v>2.4630999999999998</c:v>
                </c:pt>
                <c:pt idx="116">
                  <c:v>2.7301000000000002</c:v>
                </c:pt>
                <c:pt idx="117">
                  <c:v>2.7473999999999998</c:v>
                </c:pt>
                <c:pt idx="118">
                  <c:v>2.4775</c:v>
                </c:pt>
                <c:pt idx="119">
                  <c:v>2.7591999999999999</c:v>
                </c:pt>
                <c:pt idx="120">
                  <c:v>2.2576999999999998</c:v>
                </c:pt>
                <c:pt idx="121">
                  <c:v>2.1974</c:v>
                </c:pt>
                <c:pt idx="122">
                  <c:v>2.0869</c:v>
                </c:pt>
                <c:pt idx="123">
                  <c:v>1.9443999999999999</c:v>
                </c:pt>
                <c:pt idx="124">
                  <c:v>2.0063</c:v>
                </c:pt>
                <c:pt idx="125">
                  <c:v>1.9928999999999999</c:v>
                </c:pt>
                <c:pt idx="126">
                  <c:v>1.7572000000000001</c:v>
                </c:pt>
                <c:pt idx="127">
                  <c:v>1.7883</c:v>
                </c:pt>
                <c:pt idx="128">
                  <c:v>1.8125</c:v>
                </c:pt>
                <c:pt idx="129">
                  <c:v>1.9799</c:v>
                </c:pt>
                <c:pt idx="130">
                  <c:v>2.1185</c:v>
                </c:pt>
                <c:pt idx="131">
                  <c:v>2.2709999999999999</c:v>
                </c:pt>
                <c:pt idx="132">
                  <c:v>2.3273999999999999</c:v>
                </c:pt>
                <c:pt idx="133">
                  <c:v>2.4699</c:v>
                </c:pt>
                <c:pt idx="134">
                  <c:v>2.3460000000000001</c:v>
                </c:pt>
                <c:pt idx="135">
                  <c:v>2.1107</c:v>
                </c:pt>
                <c:pt idx="136">
                  <c:v>1.9669000000000001</c:v>
                </c:pt>
                <c:pt idx="137">
                  <c:v>1.8498000000000001</c:v>
                </c:pt>
                <c:pt idx="138">
                  <c:v>1.6686000000000001</c:v>
                </c:pt>
                <c:pt idx="139">
                  <c:v>1.6687000000000001</c:v>
                </c:pt>
                <c:pt idx="140">
                  <c:v>1.6119000000000001</c:v>
                </c:pt>
                <c:pt idx="141">
                  <c:v>1.4394</c:v>
                </c:pt>
                <c:pt idx="142">
                  <c:v>1.3216000000000001</c:v>
                </c:pt>
                <c:pt idx="143">
                  <c:v>1.4117999999999999</c:v>
                </c:pt>
                <c:pt idx="144">
                  <c:v>1.3459000000000001</c:v>
                </c:pt>
                <c:pt idx="145">
                  <c:v>1.4191</c:v>
                </c:pt>
                <c:pt idx="146">
                  <c:v>1.5165999999999999</c:v>
                </c:pt>
                <c:pt idx="147">
                  <c:v>1.4608000000000001</c:v>
                </c:pt>
                <c:pt idx="148">
                  <c:v>1.5296000000000001</c:v>
                </c:pt>
                <c:pt idx="149">
                  <c:v>1.5257000000000001</c:v>
                </c:pt>
                <c:pt idx="150">
                  <c:v>1.6180000000000001</c:v>
                </c:pt>
                <c:pt idx="151">
                  <c:v>1.5915999999999999</c:v>
                </c:pt>
                <c:pt idx="152">
                  <c:v>1.6102000000000001</c:v>
                </c:pt>
                <c:pt idx="153">
                  <c:v>1.6232</c:v>
                </c:pt>
                <c:pt idx="154">
                  <c:v>1.7494000000000001</c:v>
                </c:pt>
                <c:pt idx="155">
                  <c:v>1.7455000000000001</c:v>
                </c:pt>
                <c:pt idx="156">
                  <c:v>1.7363999999999999</c:v>
                </c:pt>
                <c:pt idx="157">
                  <c:v>1.8773</c:v>
                </c:pt>
                <c:pt idx="158">
                  <c:v>1.7573000000000001</c:v>
                </c:pt>
                <c:pt idx="159">
                  <c:v>1.7659</c:v>
                </c:pt>
                <c:pt idx="160">
                  <c:v>1.7984</c:v>
                </c:pt>
                <c:pt idx="161">
                  <c:v>1.9709000000000001</c:v>
                </c:pt>
                <c:pt idx="162">
                  <c:v>2.0407000000000002</c:v>
                </c:pt>
                <c:pt idx="163">
                  <c:v>2.1619999999999999</c:v>
                </c:pt>
                <c:pt idx="164">
                  <c:v>2.4220000000000002</c:v>
                </c:pt>
                <c:pt idx="165">
                  <c:v>2.2833999999999999</c:v>
                </c:pt>
                <c:pt idx="166">
                  <c:v>2.0459000000000001</c:v>
                </c:pt>
                <c:pt idx="167">
                  <c:v>2.4258999999999999</c:v>
                </c:pt>
                <c:pt idx="168">
                  <c:v>2.1</c:v>
                </c:pt>
                <c:pt idx="169">
                  <c:v>2.2625000000000002</c:v>
                </c:pt>
                <c:pt idx="170">
                  <c:v>2.4258999999999999</c:v>
                </c:pt>
                <c:pt idx="171">
                  <c:v>2.3887</c:v>
                </c:pt>
                <c:pt idx="172">
                  <c:v>2.5960999999999999</c:v>
                </c:pt>
                <c:pt idx="173">
                  <c:v>2.6463000000000001</c:v>
                </c:pt>
                <c:pt idx="174">
                  <c:v>2.7019000000000002</c:v>
                </c:pt>
                <c:pt idx="175">
                  <c:v>3.1322999999999999</c:v>
                </c:pt>
                <c:pt idx="176">
                  <c:v>3.5548999999999999</c:v>
                </c:pt>
                <c:pt idx="177">
                  <c:v>3.3174999999999999</c:v>
                </c:pt>
                <c:pt idx="178">
                  <c:v>2.9152999999999998</c:v>
                </c:pt>
                <c:pt idx="179">
                  <c:v>2.8290000000000002</c:v>
                </c:pt>
                <c:pt idx="180">
                  <c:v>2.7410000000000001</c:v>
                </c:pt>
                <c:pt idx="181">
                  <c:v>2.5979000000000001</c:v>
                </c:pt>
                <c:pt idx="182">
                  <c:v>2.7006000000000001</c:v>
                </c:pt>
                <c:pt idx="183">
                  <c:v>2.847</c:v>
                </c:pt>
                <c:pt idx="184">
                  <c:v>2.9878999999999998</c:v>
                </c:pt>
                <c:pt idx="185">
                  <c:v>3.2797000000000001</c:v>
                </c:pt>
                <c:pt idx="186">
                  <c:v>3.1991999999999998</c:v>
                </c:pt>
                <c:pt idx="187">
                  <c:v>3.7886000000000002</c:v>
                </c:pt>
                <c:pt idx="188">
                  <c:v>4.5667</c:v>
                </c:pt>
                <c:pt idx="189">
                  <c:v>4.5667</c:v>
                </c:pt>
                <c:pt idx="190">
                  <c:v>6.4798</c:v>
                </c:pt>
                <c:pt idx="191">
                  <c:v>6.4798</c:v>
                </c:pt>
                <c:pt idx="192">
                  <c:v>6.4798</c:v>
                </c:pt>
                <c:pt idx="193">
                  <c:v>6.2195999999999998</c:v>
                </c:pt>
                <c:pt idx="194">
                  <c:v>6.2195999999999998</c:v>
                </c:pt>
                <c:pt idx="195">
                  <c:v>5.6483999999999996</c:v>
                </c:pt>
                <c:pt idx="196">
                  <c:v>7.3090000000000002</c:v>
                </c:pt>
                <c:pt idx="197">
                  <c:v>7.3090000000000002</c:v>
                </c:pt>
                <c:pt idx="198">
                  <c:v>7.3090000000000002</c:v>
                </c:pt>
                <c:pt idx="199">
                  <c:v>7.6534000000000004</c:v>
                </c:pt>
                <c:pt idx="200">
                  <c:v>7.6534000000000004</c:v>
                </c:pt>
                <c:pt idx="201">
                  <c:v>6.27</c:v>
                </c:pt>
                <c:pt idx="202">
                  <c:v>6.27</c:v>
                </c:pt>
                <c:pt idx="203">
                  <c:v>5.1180000000000003</c:v>
                </c:pt>
                <c:pt idx="204">
                  <c:v>5.1180000000000003</c:v>
                </c:pt>
                <c:pt idx="205">
                  <c:v>3.9453999999999998</c:v>
                </c:pt>
                <c:pt idx="206">
                  <c:v>4.3548999999999998</c:v>
                </c:pt>
                <c:pt idx="207">
                  <c:v>4.3548999999999998</c:v>
                </c:pt>
                <c:pt idx="208">
                  <c:v>4.2392000000000003</c:v>
                </c:pt>
                <c:pt idx="209">
                  <c:v>3.875</c:v>
                </c:pt>
                <c:pt idx="210">
                  <c:v>3.8771</c:v>
                </c:pt>
                <c:pt idx="211">
                  <c:v>3.665</c:v>
                </c:pt>
                <c:pt idx="212">
                  <c:v>3.6526000000000001</c:v>
                </c:pt>
                <c:pt idx="213">
                  <c:v>3.9453999999999998</c:v>
                </c:pt>
                <c:pt idx="214">
                  <c:v>3.5874999999999999</c:v>
                </c:pt>
                <c:pt idx="215">
                  <c:v>3.9453999999999998</c:v>
                </c:pt>
                <c:pt idx="216">
                  <c:v>3.1120999999999999</c:v>
                </c:pt>
                <c:pt idx="217">
                  <c:v>3.4211</c:v>
                </c:pt>
                <c:pt idx="218">
                  <c:v>2.8893</c:v>
                </c:pt>
                <c:pt idx="219">
                  <c:v>3.3633000000000002</c:v>
                </c:pt>
                <c:pt idx="220">
                  <c:v>2.8616999999999999</c:v>
                </c:pt>
                <c:pt idx="221">
                  <c:v>3.048</c:v>
                </c:pt>
                <c:pt idx="222">
                  <c:v>3.2721</c:v>
                </c:pt>
                <c:pt idx="223">
                  <c:v>3.2721</c:v>
                </c:pt>
                <c:pt idx="224">
                  <c:v>2.8944000000000001</c:v>
                </c:pt>
                <c:pt idx="225">
                  <c:v>2.8944000000000001</c:v>
                </c:pt>
                <c:pt idx="226">
                  <c:v>3.2157</c:v>
                </c:pt>
                <c:pt idx="227">
                  <c:v>3.2157</c:v>
                </c:pt>
                <c:pt idx="228">
                  <c:v>3.3751000000000002</c:v>
                </c:pt>
                <c:pt idx="229">
                  <c:v>3.3751000000000002</c:v>
                </c:pt>
                <c:pt idx="230">
                  <c:v>3.6715</c:v>
                </c:pt>
                <c:pt idx="231">
                  <c:v>3.6715</c:v>
                </c:pt>
                <c:pt idx="232">
                  <c:v>3.8384</c:v>
                </c:pt>
                <c:pt idx="233">
                  <c:v>3.6518999999999999</c:v>
                </c:pt>
                <c:pt idx="234">
                  <c:v>3.6518999999999999</c:v>
                </c:pt>
                <c:pt idx="235">
                  <c:v>3.6518999999999999</c:v>
                </c:pt>
                <c:pt idx="236">
                  <c:v>4.1479999999999997</c:v>
                </c:pt>
                <c:pt idx="237">
                  <c:v>4.1479999999999997</c:v>
                </c:pt>
                <c:pt idx="238">
                  <c:v>6.1898999999999997</c:v>
                </c:pt>
                <c:pt idx="239">
                  <c:v>6.1898999999999997</c:v>
                </c:pt>
                <c:pt idx="240">
                  <c:v>6.3361000000000001</c:v>
                </c:pt>
                <c:pt idx="241">
                  <c:v>6.3361000000000001</c:v>
                </c:pt>
                <c:pt idx="242">
                  <c:v>7.0354999999999999</c:v>
                </c:pt>
                <c:pt idx="243">
                  <c:v>7.0354999999999999</c:v>
                </c:pt>
                <c:pt idx="244">
                  <c:v>7.9549000000000003</c:v>
                </c:pt>
                <c:pt idx="245">
                  <c:v>7.9549000000000003</c:v>
                </c:pt>
                <c:pt idx="246">
                  <c:v>8.0555000000000003</c:v>
                </c:pt>
                <c:pt idx="247">
                  <c:v>8.0555000000000003</c:v>
                </c:pt>
                <c:pt idx="248">
                  <c:v>7.8265000000000002</c:v>
                </c:pt>
                <c:pt idx="249">
                  <c:v>7.8265000000000002</c:v>
                </c:pt>
                <c:pt idx="250">
                  <c:v>7.3967000000000001</c:v>
                </c:pt>
                <c:pt idx="251">
                  <c:v>7.3967000000000001</c:v>
                </c:pt>
                <c:pt idx="252">
                  <c:v>8.9067000000000007</c:v>
                </c:pt>
                <c:pt idx="253">
                  <c:v>8.9067000000000007</c:v>
                </c:pt>
                <c:pt idx="254">
                  <c:v>9.2202999999999999</c:v>
                </c:pt>
                <c:pt idx="255">
                  <c:v>9.2202999999999999</c:v>
                </c:pt>
                <c:pt idx="256">
                  <c:v>6.3361000000000001</c:v>
                </c:pt>
                <c:pt idx="257">
                  <c:v>1.8009999999999999</c:v>
                </c:pt>
                <c:pt idx="258">
                  <c:v>1.8946000000000001</c:v>
                </c:pt>
                <c:pt idx="259">
                  <c:v>2.0106999999999999</c:v>
                </c:pt>
                <c:pt idx="260">
                  <c:v>2.1120999999999999</c:v>
                </c:pt>
                <c:pt idx="261">
                  <c:v>2.1398000000000001</c:v>
                </c:pt>
                <c:pt idx="262">
                  <c:v>2.2885</c:v>
                </c:pt>
                <c:pt idx="263">
                  <c:v>2.0788000000000002</c:v>
                </c:pt>
                <c:pt idx="264">
                  <c:v>1.9300999999999999</c:v>
                </c:pt>
                <c:pt idx="265">
                  <c:v>1.9864999999999999</c:v>
                </c:pt>
                <c:pt idx="266">
                  <c:v>2.1328999999999998</c:v>
                </c:pt>
                <c:pt idx="267">
                  <c:v>2.4216000000000002</c:v>
                </c:pt>
                <c:pt idx="268">
                  <c:v>2.8719999999999999</c:v>
                </c:pt>
                <c:pt idx="269">
                  <c:v>3.9175</c:v>
                </c:pt>
                <c:pt idx="270">
                  <c:v>4.4290000000000003</c:v>
                </c:pt>
                <c:pt idx="271">
                  <c:v>4.4290000000000003</c:v>
                </c:pt>
                <c:pt idx="272">
                  <c:v>3.9175</c:v>
                </c:pt>
                <c:pt idx="273">
                  <c:v>4.3665000000000003</c:v>
                </c:pt>
                <c:pt idx="274">
                  <c:v>4.0776000000000003</c:v>
                </c:pt>
                <c:pt idx="275">
                  <c:v>4.2672999999999996</c:v>
                </c:pt>
                <c:pt idx="276">
                  <c:v>4.7872000000000003</c:v>
                </c:pt>
                <c:pt idx="277">
                  <c:v>4.8628</c:v>
                </c:pt>
                <c:pt idx="278">
                  <c:v>4.1402999999999999</c:v>
                </c:pt>
                <c:pt idx="279">
                  <c:v>4.1006999999999998</c:v>
                </c:pt>
                <c:pt idx="280">
                  <c:v>4.6947000000000001</c:v>
                </c:pt>
                <c:pt idx="281">
                  <c:v>5.2446999999999999</c:v>
                </c:pt>
                <c:pt idx="282">
                  <c:v>5.2119</c:v>
                </c:pt>
                <c:pt idx="283">
                  <c:v>5.8849999999999998</c:v>
                </c:pt>
                <c:pt idx="284">
                  <c:v>7.3072999999999997</c:v>
                </c:pt>
                <c:pt idx="285">
                  <c:v>7.3072999999999997</c:v>
                </c:pt>
                <c:pt idx="286">
                  <c:v>9.0891999999999999</c:v>
                </c:pt>
                <c:pt idx="287">
                  <c:v>7.3171999999999997</c:v>
                </c:pt>
                <c:pt idx="288">
                  <c:v>7.3171999999999997</c:v>
                </c:pt>
                <c:pt idx="289">
                  <c:v>7.3171999999999997</c:v>
                </c:pt>
                <c:pt idx="290">
                  <c:v>5.1166999999999998</c:v>
                </c:pt>
                <c:pt idx="291">
                  <c:v>5.1166999999999998</c:v>
                </c:pt>
                <c:pt idx="292">
                  <c:v>5.1166999999999998</c:v>
                </c:pt>
                <c:pt idx="293">
                  <c:v>5.5026999999999999</c:v>
                </c:pt>
                <c:pt idx="294">
                  <c:v>5.5026999999999999</c:v>
                </c:pt>
                <c:pt idx="295">
                  <c:v>5.9603999999999999</c:v>
                </c:pt>
                <c:pt idx="296">
                  <c:v>5.9603999999999999</c:v>
                </c:pt>
                <c:pt idx="297">
                  <c:v>6.32</c:v>
                </c:pt>
                <c:pt idx="298">
                  <c:v>7.8277999999999999</c:v>
                </c:pt>
                <c:pt idx="299">
                  <c:v>7.8277999999999999</c:v>
                </c:pt>
                <c:pt idx="300">
                  <c:v>7.8277999999999999</c:v>
                </c:pt>
                <c:pt idx="301">
                  <c:v>5.4916999999999998</c:v>
                </c:pt>
                <c:pt idx="302">
                  <c:v>5.4916999999999998</c:v>
                </c:pt>
                <c:pt idx="303">
                  <c:v>5.4916999999999998</c:v>
                </c:pt>
                <c:pt idx="304">
                  <c:v>4.0220000000000002</c:v>
                </c:pt>
                <c:pt idx="305">
                  <c:v>3.37</c:v>
                </c:pt>
                <c:pt idx="306">
                  <c:v>3.0992000000000002</c:v>
                </c:pt>
                <c:pt idx="307">
                  <c:v>3.1827000000000001</c:v>
                </c:pt>
                <c:pt idx="308">
                  <c:v>3.3174999999999999</c:v>
                </c:pt>
                <c:pt idx="309">
                  <c:v>3.1025</c:v>
                </c:pt>
                <c:pt idx="310">
                  <c:v>2.5194000000000001</c:v>
                </c:pt>
                <c:pt idx="311">
                  <c:v>2.6402999999999999</c:v>
                </c:pt>
                <c:pt idx="312">
                  <c:v>2.8340000000000001</c:v>
                </c:pt>
                <c:pt idx="313">
                  <c:v>3.2627999999999999</c:v>
                </c:pt>
                <c:pt idx="314">
                  <c:v>3.6023000000000001</c:v>
                </c:pt>
                <c:pt idx="315">
                  <c:v>3.9449999999999998</c:v>
                </c:pt>
                <c:pt idx="316">
                  <c:v>3.9986000000000002</c:v>
                </c:pt>
                <c:pt idx="317">
                  <c:v>4.0316999999999998</c:v>
                </c:pt>
                <c:pt idx="318">
                  <c:v>3.5325000000000002</c:v>
                </c:pt>
                <c:pt idx="319">
                  <c:v>4.0019</c:v>
                </c:pt>
                <c:pt idx="320">
                  <c:v>4.5404</c:v>
                </c:pt>
                <c:pt idx="321">
                  <c:v>4.5404</c:v>
                </c:pt>
                <c:pt idx="322">
                  <c:v>4.7210999999999999</c:v>
                </c:pt>
                <c:pt idx="323">
                  <c:v>4.7210999999999999</c:v>
                </c:pt>
                <c:pt idx="324">
                  <c:v>4.7210999999999999</c:v>
                </c:pt>
                <c:pt idx="325">
                  <c:v>5.4158999999999997</c:v>
                </c:pt>
                <c:pt idx="326">
                  <c:v>5.4158999999999997</c:v>
                </c:pt>
                <c:pt idx="327">
                  <c:v>5.4158999999999997</c:v>
                </c:pt>
                <c:pt idx="328">
                  <c:v>5.2145999999999999</c:v>
                </c:pt>
                <c:pt idx="329">
                  <c:v>5.2145999999999999</c:v>
                </c:pt>
                <c:pt idx="330">
                  <c:v>5.8735999999999997</c:v>
                </c:pt>
                <c:pt idx="331">
                  <c:v>6.6406999999999998</c:v>
                </c:pt>
                <c:pt idx="332">
                  <c:v>6.6406999999999998</c:v>
                </c:pt>
                <c:pt idx="333">
                  <c:v>6.4584000000000001</c:v>
                </c:pt>
                <c:pt idx="334">
                  <c:v>6.4584000000000001</c:v>
                </c:pt>
                <c:pt idx="335">
                  <c:v>5.9852999999999996</c:v>
                </c:pt>
                <c:pt idx="336">
                  <c:v>5.2310999999999996</c:v>
                </c:pt>
                <c:pt idx="337">
                  <c:v>5.6150000000000002</c:v>
                </c:pt>
                <c:pt idx="338">
                  <c:v>4.8121999999999998</c:v>
                </c:pt>
                <c:pt idx="339">
                  <c:v>4.8121999999999998</c:v>
                </c:pt>
                <c:pt idx="340">
                  <c:v>4.8121999999999998</c:v>
                </c:pt>
                <c:pt idx="341">
                  <c:v>7.0378999999999996</c:v>
                </c:pt>
                <c:pt idx="342">
                  <c:v>6.2668999999999997</c:v>
                </c:pt>
                <c:pt idx="343">
                  <c:v>5.7321</c:v>
                </c:pt>
                <c:pt idx="344">
                  <c:v>6.4653999999999998</c:v>
                </c:pt>
                <c:pt idx="345">
                  <c:v>8.0136000000000003</c:v>
                </c:pt>
                <c:pt idx="346">
                  <c:v>8.0136000000000003</c:v>
                </c:pt>
                <c:pt idx="347">
                  <c:v>8.5352999999999994</c:v>
                </c:pt>
                <c:pt idx="348">
                  <c:v>8.3439999999999994</c:v>
                </c:pt>
                <c:pt idx="349">
                  <c:v>8.7920999999999996</c:v>
                </c:pt>
                <c:pt idx="350">
                  <c:v>8.7920999999999996</c:v>
                </c:pt>
                <c:pt idx="351">
                  <c:v>10.7103</c:v>
                </c:pt>
                <c:pt idx="352">
                  <c:v>10.7103</c:v>
                </c:pt>
                <c:pt idx="353">
                  <c:v>12.1265</c:v>
                </c:pt>
                <c:pt idx="354">
                  <c:v>10.585699999999999</c:v>
                </c:pt>
                <c:pt idx="355">
                  <c:v>10.585699999999999</c:v>
                </c:pt>
                <c:pt idx="356">
                  <c:v>2.1221999999999999</c:v>
                </c:pt>
                <c:pt idx="357">
                  <c:v>2.5051999999999999</c:v>
                </c:pt>
                <c:pt idx="358">
                  <c:v>2.7227000000000001</c:v>
                </c:pt>
                <c:pt idx="359">
                  <c:v>2.5091000000000001</c:v>
                </c:pt>
                <c:pt idx="360">
                  <c:v>2.5182000000000002</c:v>
                </c:pt>
                <c:pt idx="361">
                  <c:v>2.2955000000000001</c:v>
                </c:pt>
                <c:pt idx="362">
                  <c:v>2.1036000000000001</c:v>
                </c:pt>
                <c:pt idx="363">
                  <c:v>1.9047000000000001</c:v>
                </c:pt>
                <c:pt idx="364">
                  <c:v>1.9047000000000001</c:v>
                </c:pt>
                <c:pt idx="365">
                  <c:v>1.6132</c:v>
                </c:pt>
                <c:pt idx="366">
                  <c:v>1.7523</c:v>
                </c:pt>
                <c:pt idx="367">
                  <c:v>1.5105999999999999</c:v>
                </c:pt>
                <c:pt idx="368">
                  <c:v>1.3325</c:v>
                </c:pt>
                <c:pt idx="369">
                  <c:v>1.3567</c:v>
                </c:pt>
                <c:pt idx="370">
                  <c:v>1.2023999999999999</c:v>
                </c:pt>
                <c:pt idx="371">
                  <c:v>1.1691</c:v>
                </c:pt>
                <c:pt idx="372">
                  <c:v>1.1295999999999999</c:v>
                </c:pt>
                <c:pt idx="373">
                  <c:v>1.1741999999999999</c:v>
                </c:pt>
                <c:pt idx="374">
                  <c:v>1.137</c:v>
                </c:pt>
                <c:pt idx="375">
                  <c:v>1.3163</c:v>
                </c:pt>
                <c:pt idx="376">
                  <c:v>1.3449</c:v>
                </c:pt>
                <c:pt idx="377">
                  <c:v>1.3580000000000001</c:v>
                </c:pt>
                <c:pt idx="378">
                  <c:v>1.3861000000000001</c:v>
                </c:pt>
                <c:pt idx="379">
                  <c:v>1.3861000000000001</c:v>
                </c:pt>
                <c:pt idx="380">
                  <c:v>1.4165000000000001</c:v>
                </c:pt>
                <c:pt idx="381">
                  <c:v>1.5192000000000001</c:v>
                </c:pt>
                <c:pt idx="382">
                  <c:v>1.5804</c:v>
                </c:pt>
                <c:pt idx="383">
                  <c:v>1.5330999999999999</c:v>
                </c:pt>
                <c:pt idx="384">
                  <c:v>1.4395</c:v>
                </c:pt>
                <c:pt idx="385">
                  <c:v>1.4260999999999999</c:v>
                </c:pt>
                <c:pt idx="386">
                  <c:v>1.4672000000000001</c:v>
                </c:pt>
                <c:pt idx="387">
                  <c:v>1.5184</c:v>
                </c:pt>
                <c:pt idx="388">
                  <c:v>1.5894999999999999</c:v>
                </c:pt>
                <c:pt idx="389">
                  <c:v>1.7281</c:v>
                </c:pt>
                <c:pt idx="390">
                  <c:v>1.9265000000000001</c:v>
                </c:pt>
                <c:pt idx="391">
                  <c:v>2.1678000000000002</c:v>
                </c:pt>
                <c:pt idx="392">
                  <c:v>1.77</c:v>
                </c:pt>
                <c:pt idx="393">
                  <c:v>1.7911999999999999</c:v>
                </c:pt>
                <c:pt idx="394">
                  <c:v>1.7821</c:v>
                </c:pt>
                <c:pt idx="395">
                  <c:v>1.7257</c:v>
                </c:pt>
                <c:pt idx="396">
                  <c:v>1.6768000000000001</c:v>
                </c:pt>
                <c:pt idx="397">
                  <c:v>1.6334</c:v>
                </c:pt>
                <c:pt idx="398">
                  <c:v>1.4896</c:v>
                </c:pt>
                <c:pt idx="399">
                  <c:v>1.5004</c:v>
                </c:pt>
                <c:pt idx="400">
                  <c:v>1.5888</c:v>
                </c:pt>
                <c:pt idx="401">
                  <c:v>1.5741000000000001</c:v>
                </c:pt>
                <c:pt idx="402">
                  <c:v>1.639</c:v>
                </c:pt>
                <c:pt idx="403">
                  <c:v>1.7028000000000001</c:v>
                </c:pt>
                <c:pt idx="404">
                  <c:v>1.6073999999999999</c:v>
                </c:pt>
                <c:pt idx="405">
                  <c:v>1.4254</c:v>
                </c:pt>
                <c:pt idx="406">
                  <c:v>1.1780999999999999</c:v>
                </c:pt>
                <c:pt idx="407">
                  <c:v>1.2851999999999999</c:v>
                </c:pt>
                <c:pt idx="408">
                  <c:v>1.4547000000000001</c:v>
                </c:pt>
                <c:pt idx="409">
                  <c:v>1.4655</c:v>
                </c:pt>
                <c:pt idx="410">
                  <c:v>1.413</c:v>
                </c:pt>
                <c:pt idx="411">
                  <c:v>1.5275000000000001</c:v>
                </c:pt>
                <c:pt idx="412">
                  <c:v>1.5539000000000001</c:v>
                </c:pt>
                <c:pt idx="413">
                  <c:v>1.5893999999999999</c:v>
                </c:pt>
                <c:pt idx="414">
                  <c:v>1.6581999999999999</c:v>
                </c:pt>
                <c:pt idx="415">
                  <c:v>1.8347</c:v>
                </c:pt>
                <c:pt idx="416">
                  <c:v>1.8194999999999999</c:v>
                </c:pt>
                <c:pt idx="417">
                  <c:v>1.6475</c:v>
                </c:pt>
                <c:pt idx="418">
                  <c:v>1.8026</c:v>
                </c:pt>
                <c:pt idx="419">
                  <c:v>1.794</c:v>
                </c:pt>
                <c:pt idx="420">
                  <c:v>1.8589</c:v>
                </c:pt>
                <c:pt idx="421">
                  <c:v>1.8746</c:v>
                </c:pt>
                <c:pt idx="422">
                  <c:v>1.9512</c:v>
                </c:pt>
                <c:pt idx="423">
                  <c:v>2.0217999999999998</c:v>
                </c:pt>
                <c:pt idx="424">
                  <c:v>2.0634999999999999</c:v>
                </c:pt>
                <c:pt idx="425">
                  <c:v>1.9096</c:v>
                </c:pt>
                <c:pt idx="426">
                  <c:v>1.9976</c:v>
                </c:pt>
                <c:pt idx="427">
                  <c:v>1.8629</c:v>
                </c:pt>
                <c:pt idx="428">
                  <c:v>1.9356</c:v>
                </c:pt>
                <c:pt idx="429">
                  <c:v>1.9681999999999999</c:v>
                </c:pt>
                <c:pt idx="430">
                  <c:v>2.0527000000000002</c:v>
                </c:pt>
                <c:pt idx="431">
                  <c:v>2.0882000000000001</c:v>
                </c:pt>
                <c:pt idx="432">
                  <c:v>2.2004000000000001</c:v>
                </c:pt>
                <c:pt idx="433">
                  <c:v>2.3157999999999999</c:v>
                </c:pt>
                <c:pt idx="434">
                  <c:v>2.2222</c:v>
                </c:pt>
                <c:pt idx="435">
                  <c:v>2.1246999999999998</c:v>
                </c:pt>
                <c:pt idx="436">
                  <c:v>2.0026000000000002</c:v>
                </c:pt>
                <c:pt idx="437">
                  <c:v>1.9141999999999999</c:v>
                </c:pt>
                <c:pt idx="438">
                  <c:v>1.8206</c:v>
                </c:pt>
                <c:pt idx="439">
                  <c:v>1.8171999999999999</c:v>
                </c:pt>
                <c:pt idx="440">
                  <c:v>1.8662000000000001</c:v>
                </c:pt>
                <c:pt idx="441">
                  <c:v>2.0651000000000002</c:v>
                </c:pt>
                <c:pt idx="442">
                  <c:v>2.0047999999999999</c:v>
                </c:pt>
                <c:pt idx="443">
                  <c:v>1.9783999999999999</c:v>
                </c:pt>
                <c:pt idx="444">
                  <c:v>1.8956</c:v>
                </c:pt>
                <c:pt idx="445">
                  <c:v>1.9879</c:v>
                </c:pt>
                <c:pt idx="446">
                  <c:v>2.0720000000000001</c:v>
                </c:pt>
                <c:pt idx="447">
                  <c:v>2.198</c:v>
                </c:pt>
                <c:pt idx="448">
                  <c:v>2.2616000000000001</c:v>
                </c:pt>
                <c:pt idx="449">
                  <c:v>2.1850000000000001</c:v>
                </c:pt>
                <c:pt idx="450">
                  <c:v>2.3235999999999999</c:v>
                </c:pt>
                <c:pt idx="451">
                  <c:v>2.3552</c:v>
                </c:pt>
                <c:pt idx="452">
                  <c:v>2.3681999999999999</c:v>
                </c:pt>
                <c:pt idx="453">
                  <c:v>2.4527000000000001</c:v>
                </c:pt>
                <c:pt idx="454">
                  <c:v>2.4961000000000002</c:v>
                </c:pt>
                <c:pt idx="455">
                  <c:v>2.4358</c:v>
                </c:pt>
                <c:pt idx="456">
                  <c:v>2.5806</c:v>
                </c:pt>
                <c:pt idx="457">
                  <c:v>2.7791999999999999</c:v>
                </c:pt>
                <c:pt idx="458">
                  <c:v>2.7831000000000001</c:v>
                </c:pt>
                <c:pt idx="459">
                  <c:v>2.7174999999999998</c:v>
                </c:pt>
                <c:pt idx="460">
                  <c:v>2.5975000000000001</c:v>
                </c:pt>
                <c:pt idx="461">
                  <c:v>2.5670999999999999</c:v>
                </c:pt>
                <c:pt idx="462">
                  <c:v>2.7343999999999999</c:v>
                </c:pt>
                <c:pt idx="463">
                  <c:v>2.8016000000000001</c:v>
                </c:pt>
                <c:pt idx="464">
                  <c:v>2.9634</c:v>
                </c:pt>
                <c:pt idx="465">
                  <c:v>3.0665</c:v>
                </c:pt>
                <c:pt idx="466">
                  <c:v>2.8715000000000002</c:v>
                </c:pt>
                <c:pt idx="467">
                  <c:v>2.5402999999999998</c:v>
                </c:pt>
                <c:pt idx="468">
                  <c:v>2.9083999999999999</c:v>
                </c:pt>
                <c:pt idx="469">
                  <c:v>2.8237000000000001</c:v>
                </c:pt>
                <c:pt idx="470">
                  <c:v>3.0333999999999999</c:v>
                </c:pt>
                <c:pt idx="471">
                  <c:v>3.0992999999999999</c:v>
                </c:pt>
                <c:pt idx="472">
                  <c:v>2.8965000000000001</c:v>
                </c:pt>
                <c:pt idx="473">
                  <c:v>2.5329000000000002</c:v>
                </c:pt>
                <c:pt idx="474">
                  <c:v>2.4298000000000002</c:v>
                </c:pt>
                <c:pt idx="475">
                  <c:v>2.206</c:v>
                </c:pt>
                <c:pt idx="476">
                  <c:v>2.3052999999999999</c:v>
                </c:pt>
                <c:pt idx="477">
                  <c:v>2.1006999999999998</c:v>
                </c:pt>
                <c:pt idx="478">
                  <c:v>2.1705000000000001</c:v>
                </c:pt>
                <c:pt idx="479">
                  <c:v>1.9512</c:v>
                </c:pt>
                <c:pt idx="480">
                  <c:v>3.4241999999999999</c:v>
                </c:pt>
                <c:pt idx="481">
                  <c:v>3.3317000000000001</c:v>
                </c:pt>
                <c:pt idx="482">
                  <c:v>3.4106000000000001</c:v>
                </c:pt>
                <c:pt idx="483">
                  <c:v>4.0983000000000001</c:v>
                </c:pt>
                <c:pt idx="484">
                  <c:v>3.7240000000000002</c:v>
                </c:pt>
                <c:pt idx="485">
                  <c:v>3.9916999999999998</c:v>
                </c:pt>
                <c:pt idx="486">
                  <c:v>3.5459000000000001</c:v>
                </c:pt>
                <c:pt idx="487">
                  <c:v>3.1522999999999999</c:v>
                </c:pt>
                <c:pt idx="488">
                  <c:v>1.8209</c:v>
                </c:pt>
                <c:pt idx="489">
                  <c:v>1.7554000000000001</c:v>
                </c:pt>
                <c:pt idx="490">
                  <c:v>1.8226</c:v>
                </c:pt>
                <c:pt idx="491">
                  <c:v>1.8681000000000001</c:v>
                </c:pt>
                <c:pt idx="492">
                  <c:v>2.1099000000000001</c:v>
                </c:pt>
                <c:pt idx="493">
                  <c:v>2.3816999999999999</c:v>
                </c:pt>
                <c:pt idx="494">
                  <c:v>2.3816999999999999</c:v>
                </c:pt>
                <c:pt idx="495">
                  <c:v>2.7986</c:v>
                </c:pt>
                <c:pt idx="496">
                  <c:v>2.7986</c:v>
                </c:pt>
                <c:pt idx="497">
                  <c:v>2.8927</c:v>
                </c:pt>
                <c:pt idx="498">
                  <c:v>2.4091</c:v>
                </c:pt>
                <c:pt idx="499">
                  <c:v>2.3999000000000001</c:v>
                </c:pt>
                <c:pt idx="500">
                  <c:v>2.4982000000000002</c:v>
                </c:pt>
                <c:pt idx="501">
                  <c:v>2.4786000000000001</c:v>
                </c:pt>
                <c:pt idx="502">
                  <c:v>2.2875000000000001</c:v>
                </c:pt>
                <c:pt idx="503">
                  <c:v>2.1675</c:v>
                </c:pt>
                <c:pt idx="504">
                  <c:v>2.3889</c:v>
                </c:pt>
                <c:pt idx="505">
                  <c:v>2.5049999999999999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111616"/>
        <c:axId val="704930944"/>
      </c:lineChart>
      <c:catAx>
        <c:axId val="704111616"/>
        <c:scaling>
          <c:orientation val="minMax"/>
        </c:scaling>
        <c:delete val="0"/>
        <c:axPos val="b"/>
        <c:majorTickMark val="out"/>
        <c:minorTickMark val="none"/>
        <c:tickLblPos val="nextTo"/>
        <c:crossAx val="704930944"/>
        <c:crosses val="autoZero"/>
        <c:auto val="1"/>
        <c:lblAlgn val="ctr"/>
        <c:lblOffset val="100"/>
        <c:noMultiLvlLbl val="0"/>
      </c:catAx>
      <c:valAx>
        <c:axId val="7049309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7041116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보스턴주택가격!$I$2</c:f>
              <c:strCache>
                <c:ptCount val="1"/>
                <c:pt idx="0">
                  <c:v>고속도로접근성</c:v>
                </c:pt>
              </c:strCache>
            </c:strRef>
          </c:tx>
          <c:val>
            <c:numRef>
              <c:f>보스턴주택가격!$I$3:$I$508</c:f>
              <c:numCache>
                <c:formatCode>General</c:formatCode>
                <c:ptCount val="506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3</c:v>
                </c:pt>
                <c:pt idx="55">
                  <c:v>5</c:v>
                </c:pt>
                <c:pt idx="56">
                  <c:v>2</c:v>
                </c:pt>
                <c:pt idx="57">
                  <c:v>5</c:v>
                </c:pt>
                <c:pt idx="58">
                  <c:v>8</c:v>
                </c:pt>
                <c:pt idx="59">
                  <c:v>8</c:v>
                </c:pt>
                <c:pt idx="60">
                  <c:v>8</c:v>
                </c:pt>
                <c:pt idx="61">
                  <c:v>8</c:v>
                </c:pt>
                <c:pt idx="62">
                  <c:v>8</c:v>
                </c:pt>
                <c:pt idx="63">
                  <c:v>8</c:v>
                </c:pt>
                <c:pt idx="64">
                  <c:v>3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6</c:v>
                </c:pt>
                <c:pt idx="112">
                  <c:v>6</c:v>
                </c:pt>
                <c:pt idx="113">
                  <c:v>6</c:v>
                </c:pt>
                <c:pt idx="114">
                  <c:v>6</c:v>
                </c:pt>
                <c:pt idx="115">
                  <c:v>6</c:v>
                </c:pt>
                <c:pt idx="116">
                  <c:v>6</c:v>
                </c:pt>
                <c:pt idx="117">
                  <c:v>6</c:v>
                </c:pt>
                <c:pt idx="118">
                  <c:v>6</c:v>
                </c:pt>
                <c:pt idx="119">
                  <c:v>6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4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3</c:v>
                </c:pt>
                <c:pt idx="180">
                  <c:v>3</c:v>
                </c:pt>
                <c:pt idx="181">
                  <c:v>3</c:v>
                </c:pt>
                <c:pt idx="182">
                  <c:v>3</c:v>
                </c:pt>
                <c:pt idx="183">
                  <c:v>3</c:v>
                </c:pt>
                <c:pt idx="184">
                  <c:v>3</c:v>
                </c:pt>
                <c:pt idx="185">
                  <c:v>3</c:v>
                </c:pt>
                <c:pt idx="186">
                  <c:v>3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1</c:v>
                </c:pt>
                <c:pt idx="194">
                  <c:v>1</c:v>
                </c:pt>
                <c:pt idx="195">
                  <c:v>4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3</c:v>
                </c:pt>
                <c:pt idx="201">
                  <c:v>2</c:v>
                </c:pt>
                <c:pt idx="202">
                  <c:v>2</c:v>
                </c:pt>
                <c:pt idx="203">
                  <c:v>4</c:v>
                </c:pt>
                <c:pt idx="204">
                  <c:v>4</c:v>
                </c:pt>
                <c:pt idx="205">
                  <c:v>4</c:v>
                </c:pt>
                <c:pt idx="206">
                  <c:v>4</c:v>
                </c:pt>
                <c:pt idx="207">
                  <c:v>4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4</c:v>
                </c:pt>
                <c:pt idx="213">
                  <c:v>4</c:v>
                </c:pt>
                <c:pt idx="214">
                  <c:v>4</c:v>
                </c:pt>
                <c:pt idx="215">
                  <c:v>4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8</c:v>
                </c:pt>
                <c:pt idx="221">
                  <c:v>8</c:v>
                </c:pt>
                <c:pt idx="222">
                  <c:v>8</c:v>
                </c:pt>
                <c:pt idx="223">
                  <c:v>8</c:v>
                </c:pt>
                <c:pt idx="224">
                  <c:v>8</c:v>
                </c:pt>
                <c:pt idx="225">
                  <c:v>8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8</c:v>
                </c:pt>
                <c:pt idx="231">
                  <c:v>8</c:v>
                </c:pt>
                <c:pt idx="232">
                  <c:v>8</c:v>
                </c:pt>
                <c:pt idx="233">
                  <c:v>8</c:v>
                </c:pt>
                <c:pt idx="234">
                  <c:v>8</c:v>
                </c:pt>
                <c:pt idx="235">
                  <c:v>8</c:v>
                </c:pt>
                <c:pt idx="236">
                  <c:v>8</c:v>
                </c:pt>
                <c:pt idx="237">
                  <c:v>8</c:v>
                </c:pt>
                <c:pt idx="238">
                  <c:v>6</c:v>
                </c:pt>
                <c:pt idx="239">
                  <c:v>6</c:v>
                </c:pt>
                <c:pt idx="240">
                  <c:v>6</c:v>
                </c:pt>
                <c:pt idx="241">
                  <c:v>6</c:v>
                </c:pt>
                <c:pt idx="242">
                  <c:v>6</c:v>
                </c:pt>
                <c:pt idx="243">
                  <c:v>6</c:v>
                </c:pt>
                <c:pt idx="244">
                  <c:v>7</c:v>
                </c:pt>
                <c:pt idx="245">
                  <c:v>7</c:v>
                </c:pt>
                <c:pt idx="246">
                  <c:v>7</c:v>
                </c:pt>
                <c:pt idx="247">
                  <c:v>7</c:v>
                </c:pt>
                <c:pt idx="248">
                  <c:v>7</c:v>
                </c:pt>
                <c:pt idx="249">
                  <c:v>7</c:v>
                </c:pt>
                <c:pt idx="250">
                  <c:v>7</c:v>
                </c:pt>
                <c:pt idx="251">
                  <c:v>7</c:v>
                </c:pt>
                <c:pt idx="252">
                  <c:v>7</c:v>
                </c:pt>
                <c:pt idx="253">
                  <c:v>7</c:v>
                </c:pt>
                <c:pt idx="254">
                  <c:v>1</c:v>
                </c:pt>
                <c:pt idx="255">
                  <c:v>1</c:v>
                </c:pt>
                <c:pt idx="256">
                  <c:v>3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  <c:pt idx="266">
                  <c:v>5</c:v>
                </c:pt>
                <c:pt idx="267">
                  <c:v>5</c:v>
                </c:pt>
                <c:pt idx="268">
                  <c:v>5</c:v>
                </c:pt>
                <c:pt idx="269">
                  <c:v>3</c:v>
                </c:pt>
                <c:pt idx="270">
                  <c:v>3</c:v>
                </c:pt>
                <c:pt idx="271">
                  <c:v>3</c:v>
                </c:pt>
                <c:pt idx="272">
                  <c:v>3</c:v>
                </c:pt>
                <c:pt idx="273">
                  <c:v>3</c:v>
                </c:pt>
                <c:pt idx="274">
                  <c:v>4</c:v>
                </c:pt>
                <c:pt idx="275">
                  <c:v>4</c:v>
                </c:pt>
                <c:pt idx="276">
                  <c:v>4</c:v>
                </c:pt>
                <c:pt idx="277">
                  <c:v>4</c:v>
                </c:pt>
                <c:pt idx="278">
                  <c:v>4</c:v>
                </c:pt>
                <c:pt idx="279">
                  <c:v>5</c:v>
                </c:pt>
                <c:pt idx="280">
                  <c:v>5</c:v>
                </c:pt>
                <c:pt idx="281">
                  <c:v>5</c:v>
                </c:pt>
                <c:pt idx="282">
                  <c:v>5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6</c:v>
                </c:pt>
                <c:pt idx="288">
                  <c:v>6</c:v>
                </c:pt>
                <c:pt idx="289">
                  <c:v>6</c:v>
                </c:pt>
                <c:pt idx="290">
                  <c:v>4</c:v>
                </c:pt>
                <c:pt idx="291">
                  <c:v>4</c:v>
                </c:pt>
                <c:pt idx="292">
                  <c:v>4</c:v>
                </c:pt>
                <c:pt idx="293">
                  <c:v>4</c:v>
                </c:pt>
                <c:pt idx="294">
                  <c:v>4</c:v>
                </c:pt>
                <c:pt idx="295">
                  <c:v>4</c:v>
                </c:pt>
                <c:pt idx="296">
                  <c:v>4</c:v>
                </c:pt>
                <c:pt idx="297">
                  <c:v>4</c:v>
                </c:pt>
                <c:pt idx="298">
                  <c:v>5</c:v>
                </c:pt>
                <c:pt idx="299">
                  <c:v>5</c:v>
                </c:pt>
                <c:pt idx="300">
                  <c:v>5</c:v>
                </c:pt>
                <c:pt idx="301">
                  <c:v>7</c:v>
                </c:pt>
                <c:pt idx="302">
                  <c:v>7</c:v>
                </c:pt>
                <c:pt idx="303">
                  <c:v>7</c:v>
                </c:pt>
                <c:pt idx="304">
                  <c:v>7</c:v>
                </c:pt>
                <c:pt idx="305">
                  <c:v>7</c:v>
                </c:pt>
                <c:pt idx="306">
                  <c:v>7</c:v>
                </c:pt>
                <c:pt idx="307">
                  <c:v>7</c:v>
                </c:pt>
                <c:pt idx="308">
                  <c:v>4</c:v>
                </c:pt>
                <c:pt idx="309">
                  <c:v>4</c:v>
                </c:pt>
                <c:pt idx="310">
                  <c:v>4</c:v>
                </c:pt>
                <c:pt idx="311">
                  <c:v>4</c:v>
                </c:pt>
                <c:pt idx="312">
                  <c:v>4</c:v>
                </c:pt>
                <c:pt idx="313">
                  <c:v>4</c:v>
                </c:pt>
                <c:pt idx="314">
                  <c:v>4</c:v>
                </c:pt>
                <c:pt idx="315">
                  <c:v>4</c:v>
                </c:pt>
                <c:pt idx="316">
                  <c:v>4</c:v>
                </c:pt>
                <c:pt idx="317">
                  <c:v>4</c:v>
                </c:pt>
                <c:pt idx="318">
                  <c:v>4</c:v>
                </c:pt>
                <c:pt idx="319">
                  <c:v>4</c:v>
                </c:pt>
                <c:pt idx="320">
                  <c:v>5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5</c:v>
                </c:pt>
                <c:pt idx="326">
                  <c:v>5</c:v>
                </c:pt>
                <c:pt idx="327">
                  <c:v>5</c:v>
                </c:pt>
                <c:pt idx="328">
                  <c:v>4</c:v>
                </c:pt>
                <c:pt idx="329">
                  <c:v>4</c:v>
                </c:pt>
                <c:pt idx="330">
                  <c:v>4</c:v>
                </c:pt>
                <c:pt idx="331">
                  <c:v>1</c:v>
                </c:pt>
                <c:pt idx="332">
                  <c:v>1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5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5</c:v>
                </c:pt>
                <c:pt idx="341">
                  <c:v>1</c:v>
                </c:pt>
                <c:pt idx="342">
                  <c:v>1</c:v>
                </c:pt>
                <c:pt idx="343">
                  <c:v>5</c:v>
                </c:pt>
                <c:pt idx="344">
                  <c:v>5</c:v>
                </c:pt>
                <c:pt idx="345">
                  <c:v>3</c:v>
                </c:pt>
                <c:pt idx="346">
                  <c:v>3</c:v>
                </c:pt>
                <c:pt idx="347">
                  <c:v>4</c:v>
                </c:pt>
                <c:pt idx="348">
                  <c:v>4</c:v>
                </c:pt>
                <c:pt idx="349">
                  <c:v>1</c:v>
                </c:pt>
                <c:pt idx="350">
                  <c:v>1</c:v>
                </c:pt>
                <c:pt idx="351">
                  <c:v>4</c:v>
                </c:pt>
                <c:pt idx="352">
                  <c:v>4</c:v>
                </c:pt>
                <c:pt idx="353">
                  <c:v>5</c:v>
                </c:pt>
                <c:pt idx="354">
                  <c:v>4</c:v>
                </c:pt>
                <c:pt idx="355">
                  <c:v>4</c:v>
                </c:pt>
                <c:pt idx="356">
                  <c:v>24</c:v>
                </c:pt>
                <c:pt idx="357">
                  <c:v>24</c:v>
                </c:pt>
                <c:pt idx="358">
                  <c:v>24</c:v>
                </c:pt>
                <c:pt idx="359">
                  <c:v>24</c:v>
                </c:pt>
                <c:pt idx="360">
                  <c:v>24</c:v>
                </c:pt>
                <c:pt idx="361">
                  <c:v>24</c:v>
                </c:pt>
                <c:pt idx="362">
                  <c:v>24</c:v>
                </c:pt>
                <c:pt idx="363">
                  <c:v>24</c:v>
                </c:pt>
                <c:pt idx="364">
                  <c:v>24</c:v>
                </c:pt>
                <c:pt idx="365">
                  <c:v>24</c:v>
                </c:pt>
                <c:pt idx="366">
                  <c:v>24</c:v>
                </c:pt>
                <c:pt idx="367">
                  <c:v>24</c:v>
                </c:pt>
                <c:pt idx="368">
                  <c:v>24</c:v>
                </c:pt>
                <c:pt idx="369">
                  <c:v>24</c:v>
                </c:pt>
                <c:pt idx="370">
                  <c:v>24</c:v>
                </c:pt>
                <c:pt idx="371">
                  <c:v>24</c:v>
                </c:pt>
                <c:pt idx="372">
                  <c:v>24</c:v>
                </c:pt>
                <c:pt idx="373">
                  <c:v>24</c:v>
                </c:pt>
                <c:pt idx="374">
                  <c:v>24</c:v>
                </c:pt>
                <c:pt idx="375">
                  <c:v>24</c:v>
                </c:pt>
                <c:pt idx="376">
                  <c:v>24</c:v>
                </c:pt>
                <c:pt idx="377">
                  <c:v>24</c:v>
                </c:pt>
                <c:pt idx="378">
                  <c:v>24</c:v>
                </c:pt>
                <c:pt idx="379">
                  <c:v>24</c:v>
                </c:pt>
                <c:pt idx="380">
                  <c:v>24</c:v>
                </c:pt>
                <c:pt idx="381">
                  <c:v>24</c:v>
                </c:pt>
                <c:pt idx="382">
                  <c:v>24</c:v>
                </c:pt>
                <c:pt idx="383">
                  <c:v>24</c:v>
                </c:pt>
                <c:pt idx="384">
                  <c:v>24</c:v>
                </c:pt>
                <c:pt idx="385">
                  <c:v>24</c:v>
                </c:pt>
                <c:pt idx="386">
                  <c:v>24</c:v>
                </c:pt>
                <c:pt idx="387">
                  <c:v>24</c:v>
                </c:pt>
                <c:pt idx="388">
                  <c:v>24</c:v>
                </c:pt>
                <c:pt idx="389">
                  <c:v>24</c:v>
                </c:pt>
                <c:pt idx="390">
                  <c:v>24</c:v>
                </c:pt>
                <c:pt idx="391">
                  <c:v>24</c:v>
                </c:pt>
                <c:pt idx="392">
                  <c:v>24</c:v>
                </c:pt>
                <c:pt idx="393">
                  <c:v>24</c:v>
                </c:pt>
                <c:pt idx="394">
                  <c:v>24</c:v>
                </c:pt>
                <c:pt idx="395">
                  <c:v>24</c:v>
                </c:pt>
                <c:pt idx="396">
                  <c:v>24</c:v>
                </c:pt>
                <c:pt idx="397">
                  <c:v>24</c:v>
                </c:pt>
                <c:pt idx="398">
                  <c:v>24</c:v>
                </c:pt>
                <c:pt idx="399">
                  <c:v>24</c:v>
                </c:pt>
                <c:pt idx="400">
                  <c:v>24</c:v>
                </c:pt>
                <c:pt idx="401">
                  <c:v>24</c:v>
                </c:pt>
                <c:pt idx="402">
                  <c:v>24</c:v>
                </c:pt>
                <c:pt idx="403">
                  <c:v>24</c:v>
                </c:pt>
                <c:pt idx="404">
                  <c:v>24</c:v>
                </c:pt>
                <c:pt idx="405">
                  <c:v>24</c:v>
                </c:pt>
                <c:pt idx="406">
                  <c:v>24</c:v>
                </c:pt>
                <c:pt idx="407">
                  <c:v>24</c:v>
                </c:pt>
                <c:pt idx="408">
                  <c:v>24</c:v>
                </c:pt>
                <c:pt idx="409">
                  <c:v>24</c:v>
                </c:pt>
                <c:pt idx="410">
                  <c:v>24</c:v>
                </c:pt>
                <c:pt idx="411">
                  <c:v>24</c:v>
                </c:pt>
                <c:pt idx="412">
                  <c:v>24</c:v>
                </c:pt>
                <c:pt idx="413">
                  <c:v>24</c:v>
                </c:pt>
                <c:pt idx="414">
                  <c:v>24</c:v>
                </c:pt>
                <c:pt idx="415">
                  <c:v>24</c:v>
                </c:pt>
                <c:pt idx="416">
                  <c:v>24</c:v>
                </c:pt>
                <c:pt idx="417">
                  <c:v>24</c:v>
                </c:pt>
                <c:pt idx="418">
                  <c:v>24</c:v>
                </c:pt>
                <c:pt idx="419">
                  <c:v>24</c:v>
                </c:pt>
                <c:pt idx="420">
                  <c:v>24</c:v>
                </c:pt>
                <c:pt idx="421">
                  <c:v>24</c:v>
                </c:pt>
                <c:pt idx="422">
                  <c:v>24</c:v>
                </c:pt>
                <c:pt idx="423">
                  <c:v>24</c:v>
                </c:pt>
                <c:pt idx="424">
                  <c:v>24</c:v>
                </c:pt>
                <c:pt idx="425">
                  <c:v>24</c:v>
                </c:pt>
                <c:pt idx="426">
                  <c:v>24</c:v>
                </c:pt>
                <c:pt idx="427">
                  <c:v>24</c:v>
                </c:pt>
                <c:pt idx="428">
                  <c:v>24</c:v>
                </c:pt>
                <c:pt idx="429">
                  <c:v>24</c:v>
                </c:pt>
                <c:pt idx="430">
                  <c:v>24</c:v>
                </c:pt>
                <c:pt idx="431">
                  <c:v>24</c:v>
                </c:pt>
                <c:pt idx="432">
                  <c:v>24</c:v>
                </c:pt>
                <c:pt idx="433">
                  <c:v>24</c:v>
                </c:pt>
                <c:pt idx="434">
                  <c:v>24</c:v>
                </c:pt>
                <c:pt idx="435">
                  <c:v>24</c:v>
                </c:pt>
                <c:pt idx="436">
                  <c:v>24</c:v>
                </c:pt>
                <c:pt idx="437">
                  <c:v>24</c:v>
                </c:pt>
                <c:pt idx="438">
                  <c:v>24</c:v>
                </c:pt>
                <c:pt idx="439">
                  <c:v>24</c:v>
                </c:pt>
                <c:pt idx="440">
                  <c:v>24</c:v>
                </c:pt>
                <c:pt idx="441">
                  <c:v>24</c:v>
                </c:pt>
                <c:pt idx="442">
                  <c:v>24</c:v>
                </c:pt>
                <c:pt idx="443">
                  <c:v>24</c:v>
                </c:pt>
                <c:pt idx="444">
                  <c:v>24</c:v>
                </c:pt>
                <c:pt idx="445">
                  <c:v>24</c:v>
                </c:pt>
                <c:pt idx="446">
                  <c:v>24</c:v>
                </c:pt>
                <c:pt idx="447">
                  <c:v>24</c:v>
                </c:pt>
                <c:pt idx="448">
                  <c:v>24</c:v>
                </c:pt>
                <c:pt idx="449">
                  <c:v>24</c:v>
                </c:pt>
                <c:pt idx="450">
                  <c:v>24</c:v>
                </c:pt>
                <c:pt idx="451">
                  <c:v>24</c:v>
                </c:pt>
                <c:pt idx="452">
                  <c:v>24</c:v>
                </c:pt>
                <c:pt idx="453">
                  <c:v>24</c:v>
                </c:pt>
                <c:pt idx="454">
                  <c:v>24</c:v>
                </c:pt>
                <c:pt idx="455">
                  <c:v>24</c:v>
                </c:pt>
                <c:pt idx="456">
                  <c:v>24</c:v>
                </c:pt>
                <c:pt idx="457">
                  <c:v>24</c:v>
                </c:pt>
                <c:pt idx="458">
                  <c:v>24</c:v>
                </c:pt>
                <c:pt idx="459">
                  <c:v>24</c:v>
                </c:pt>
                <c:pt idx="460">
                  <c:v>24</c:v>
                </c:pt>
                <c:pt idx="461">
                  <c:v>24</c:v>
                </c:pt>
                <c:pt idx="462">
                  <c:v>24</c:v>
                </c:pt>
                <c:pt idx="463">
                  <c:v>24</c:v>
                </c:pt>
                <c:pt idx="464">
                  <c:v>24</c:v>
                </c:pt>
                <c:pt idx="465">
                  <c:v>24</c:v>
                </c:pt>
                <c:pt idx="466">
                  <c:v>24</c:v>
                </c:pt>
                <c:pt idx="467">
                  <c:v>24</c:v>
                </c:pt>
                <c:pt idx="468">
                  <c:v>24</c:v>
                </c:pt>
                <c:pt idx="469">
                  <c:v>24</c:v>
                </c:pt>
                <c:pt idx="470">
                  <c:v>24</c:v>
                </c:pt>
                <c:pt idx="471">
                  <c:v>24</c:v>
                </c:pt>
                <c:pt idx="472">
                  <c:v>24</c:v>
                </c:pt>
                <c:pt idx="473">
                  <c:v>24</c:v>
                </c:pt>
                <c:pt idx="474">
                  <c:v>24</c:v>
                </c:pt>
                <c:pt idx="475">
                  <c:v>24</c:v>
                </c:pt>
                <c:pt idx="476">
                  <c:v>24</c:v>
                </c:pt>
                <c:pt idx="477">
                  <c:v>24</c:v>
                </c:pt>
                <c:pt idx="478">
                  <c:v>24</c:v>
                </c:pt>
                <c:pt idx="479">
                  <c:v>24</c:v>
                </c:pt>
                <c:pt idx="480">
                  <c:v>24</c:v>
                </c:pt>
                <c:pt idx="481">
                  <c:v>24</c:v>
                </c:pt>
                <c:pt idx="482">
                  <c:v>24</c:v>
                </c:pt>
                <c:pt idx="483">
                  <c:v>24</c:v>
                </c:pt>
                <c:pt idx="484">
                  <c:v>24</c:v>
                </c:pt>
                <c:pt idx="485">
                  <c:v>24</c:v>
                </c:pt>
                <c:pt idx="486">
                  <c:v>24</c:v>
                </c:pt>
                <c:pt idx="487">
                  <c:v>24</c:v>
                </c:pt>
                <c:pt idx="488">
                  <c:v>4</c:v>
                </c:pt>
                <c:pt idx="489">
                  <c:v>4</c:v>
                </c:pt>
                <c:pt idx="490">
                  <c:v>4</c:v>
                </c:pt>
                <c:pt idx="491">
                  <c:v>4</c:v>
                </c:pt>
                <c:pt idx="492">
                  <c:v>4</c:v>
                </c:pt>
                <c:pt idx="493">
                  <c:v>6</c:v>
                </c:pt>
                <c:pt idx="494">
                  <c:v>6</c:v>
                </c:pt>
                <c:pt idx="495">
                  <c:v>6</c:v>
                </c:pt>
                <c:pt idx="496">
                  <c:v>6</c:v>
                </c:pt>
                <c:pt idx="497">
                  <c:v>6</c:v>
                </c:pt>
                <c:pt idx="498">
                  <c:v>6</c:v>
                </c:pt>
                <c:pt idx="499">
                  <c:v>6</c:v>
                </c:pt>
                <c:pt idx="500">
                  <c:v>6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112128"/>
        <c:axId val="704932672"/>
      </c:lineChart>
      <c:catAx>
        <c:axId val="704112128"/>
        <c:scaling>
          <c:orientation val="minMax"/>
        </c:scaling>
        <c:delete val="0"/>
        <c:axPos val="b"/>
        <c:majorTickMark val="out"/>
        <c:minorTickMark val="none"/>
        <c:tickLblPos val="nextTo"/>
        <c:crossAx val="704932672"/>
        <c:crosses val="autoZero"/>
        <c:auto val="1"/>
        <c:lblAlgn val="ctr"/>
        <c:lblOffset val="100"/>
        <c:noMultiLvlLbl val="0"/>
      </c:catAx>
      <c:valAx>
        <c:axId val="7049326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7041121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보스턴주택가격!$J$2</c:f>
              <c:strCache>
                <c:ptCount val="1"/>
                <c:pt idx="0">
                  <c:v>재산세율</c:v>
                </c:pt>
              </c:strCache>
            </c:strRef>
          </c:tx>
          <c:val>
            <c:numRef>
              <c:f>보스턴주택가격!$J$3:$J$508</c:f>
              <c:numCache>
                <c:formatCode>General</c:formatCode>
                <c:ptCount val="506"/>
                <c:pt idx="0">
                  <c:v>296</c:v>
                </c:pt>
                <c:pt idx="1">
                  <c:v>242</c:v>
                </c:pt>
                <c:pt idx="2">
                  <c:v>242</c:v>
                </c:pt>
                <c:pt idx="3">
                  <c:v>222</c:v>
                </c:pt>
                <c:pt idx="4">
                  <c:v>222</c:v>
                </c:pt>
                <c:pt idx="5">
                  <c:v>222</c:v>
                </c:pt>
                <c:pt idx="6">
                  <c:v>311</c:v>
                </c:pt>
                <c:pt idx="7">
                  <c:v>311</c:v>
                </c:pt>
                <c:pt idx="8">
                  <c:v>311</c:v>
                </c:pt>
                <c:pt idx="9">
                  <c:v>311</c:v>
                </c:pt>
                <c:pt idx="10">
                  <c:v>311</c:v>
                </c:pt>
                <c:pt idx="11">
                  <c:v>311</c:v>
                </c:pt>
                <c:pt idx="12">
                  <c:v>311</c:v>
                </c:pt>
                <c:pt idx="13">
                  <c:v>307</c:v>
                </c:pt>
                <c:pt idx="14">
                  <c:v>307</c:v>
                </c:pt>
                <c:pt idx="15">
                  <c:v>307</c:v>
                </c:pt>
                <c:pt idx="16">
                  <c:v>307</c:v>
                </c:pt>
                <c:pt idx="17">
                  <c:v>307</c:v>
                </c:pt>
                <c:pt idx="18">
                  <c:v>307</c:v>
                </c:pt>
                <c:pt idx="19">
                  <c:v>307</c:v>
                </c:pt>
                <c:pt idx="20">
                  <c:v>307</c:v>
                </c:pt>
                <c:pt idx="21">
                  <c:v>307</c:v>
                </c:pt>
                <c:pt idx="22">
                  <c:v>307</c:v>
                </c:pt>
                <c:pt idx="23">
                  <c:v>307</c:v>
                </c:pt>
                <c:pt idx="24">
                  <c:v>307</c:v>
                </c:pt>
                <c:pt idx="25">
                  <c:v>307</c:v>
                </c:pt>
                <c:pt idx="26">
                  <c:v>307</c:v>
                </c:pt>
                <c:pt idx="27">
                  <c:v>307</c:v>
                </c:pt>
                <c:pt idx="28">
                  <c:v>307</c:v>
                </c:pt>
                <c:pt idx="29">
                  <c:v>307</c:v>
                </c:pt>
                <c:pt idx="30">
                  <c:v>307</c:v>
                </c:pt>
                <c:pt idx="31">
                  <c:v>307</c:v>
                </c:pt>
                <c:pt idx="32">
                  <c:v>307</c:v>
                </c:pt>
                <c:pt idx="33">
                  <c:v>307</c:v>
                </c:pt>
                <c:pt idx="34">
                  <c:v>307</c:v>
                </c:pt>
                <c:pt idx="35">
                  <c:v>279</c:v>
                </c:pt>
                <c:pt idx="36">
                  <c:v>279</c:v>
                </c:pt>
                <c:pt idx="37">
                  <c:v>279</c:v>
                </c:pt>
                <c:pt idx="38">
                  <c:v>279</c:v>
                </c:pt>
                <c:pt idx="39">
                  <c:v>252</c:v>
                </c:pt>
                <c:pt idx="40">
                  <c:v>252</c:v>
                </c:pt>
                <c:pt idx="41">
                  <c:v>233</c:v>
                </c:pt>
                <c:pt idx="42">
                  <c:v>233</c:v>
                </c:pt>
                <c:pt idx="43">
                  <c:v>233</c:v>
                </c:pt>
                <c:pt idx="44">
                  <c:v>233</c:v>
                </c:pt>
                <c:pt idx="45">
                  <c:v>233</c:v>
                </c:pt>
                <c:pt idx="46">
                  <c:v>233</c:v>
                </c:pt>
                <c:pt idx="47">
                  <c:v>233</c:v>
                </c:pt>
                <c:pt idx="48">
                  <c:v>233</c:v>
                </c:pt>
                <c:pt idx="49">
                  <c:v>233</c:v>
                </c:pt>
                <c:pt idx="50">
                  <c:v>243</c:v>
                </c:pt>
                <c:pt idx="51">
                  <c:v>243</c:v>
                </c:pt>
                <c:pt idx="52">
                  <c:v>243</c:v>
                </c:pt>
                <c:pt idx="53">
                  <c:v>243</c:v>
                </c:pt>
                <c:pt idx="54">
                  <c:v>469</c:v>
                </c:pt>
                <c:pt idx="55">
                  <c:v>226</c:v>
                </c:pt>
                <c:pt idx="56">
                  <c:v>313</c:v>
                </c:pt>
                <c:pt idx="57">
                  <c:v>256</c:v>
                </c:pt>
                <c:pt idx="58">
                  <c:v>284</c:v>
                </c:pt>
                <c:pt idx="59">
                  <c:v>284</c:v>
                </c:pt>
                <c:pt idx="60">
                  <c:v>284</c:v>
                </c:pt>
                <c:pt idx="61">
                  <c:v>284</c:v>
                </c:pt>
                <c:pt idx="62">
                  <c:v>284</c:v>
                </c:pt>
                <c:pt idx="63">
                  <c:v>284</c:v>
                </c:pt>
                <c:pt idx="64">
                  <c:v>216</c:v>
                </c:pt>
                <c:pt idx="65">
                  <c:v>337</c:v>
                </c:pt>
                <c:pt idx="66">
                  <c:v>337</c:v>
                </c:pt>
                <c:pt idx="67">
                  <c:v>345</c:v>
                </c:pt>
                <c:pt idx="68">
                  <c:v>345</c:v>
                </c:pt>
                <c:pt idx="69">
                  <c:v>345</c:v>
                </c:pt>
                <c:pt idx="70">
                  <c:v>305</c:v>
                </c:pt>
                <c:pt idx="71">
                  <c:v>305</c:v>
                </c:pt>
                <c:pt idx="72">
                  <c:v>305</c:v>
                </c:pt>
                <c:pt idx="73">
                  <c:v>305</c:v>
                </c:pt>
                <c:pt idx="74">
                  <c:v>398</c:v>
                </c:pt>
                <c:pt idx="75">
                  <c:v>398</c:v>
                </c:pt>
                <c:pt idx="76">
                  <c:v>398</c:v>
                </c:pt>
                <c:pt idx="77">
                  <c:v>398</c:v>
                </c:pt>
                <c:pt idx="78">
                  <c:v>398</c:v>
                </c:pt>
                <c:pt idx="79">
                  <c:v>398</c:v>
                </c:pt>
                <c:pt idx="80">
                  <c:v>281</c:v>
                </c:pt>
                <c:pt idx="81">
                  <c:v>281</c:v>
                </c:pt>
                <c:pt idx="82">
                  <c:v>281</c:v>
                </c:pt>
                <c:pt idx="83">
                  <c:v>281</c:v>
                </c:pt>
                <c:pt idx="84">
                  <c:v>247</c:v>
                </c:pt>
                <c:pt idx="85">
                  <c:v>247</c:v>
                </c:pt>
                <c:pt idx="86">
                  <c:v>247</c:v>
                </c:pt>
                <c:pt idx="87">
                  <c:v>247</c:v>
                </c:pt>
                <c:pt idx="88">
                  <c:v>270</c:v>
                </c:pt>
                <c:pt idx="89">
                  <c:v>270</c:v>
                </c:pt>
                <c:pt idx="90">
                  <c:v>270</c:v>
                </c:pt>
                <c:pt idx="91">
                  <c:v>270</c:v>
                </c:pt>
                <c:pt idx="92">
                  <c:v>270</c:v>
                </c:pt>
                <c:pt idx="93">
                  <c:v>270</c:v>
                </c:pt>
                <c:pt idx="94">
                  <c:v>270</c:v>
                </c:pt>
                <c:pt idx="95">
                  <c:v>276</c:v>
                </c:pt>
                <c:pt idx="96">
                  <c:v>276</c:v>
                </c:pt>
                <c:pt idx="97">
                  <c:v>276</c:v>
                </c:pt>
                <c:pt idx="98">
                  <c:v>276</c:v>
                </c:pt>
                <c:pt idx="99">
                  <c:v>276</c:v>
                </c:pt>
                <c:pt idx="100">
                  <c:v>384</c:v>
                </c:pt>
                <c:pt idx="101">
                  <c:v>384</c:v>
                </c:pt>
                <c:pt idx="102">
                  <c:v>384</c:v>
                </c:pt>
                <c:pt idx="103">
                  <c:v>384</c:v>
                </c:pt>
                <c:pt idx="104">
                  <c:v>384</c:v>
                </c:pt>
                <c:pt idx="105">
                  <c:v>384</c:v>
                </c:pt>
                <c:pt idx="106">
                  <c:v>384</c:v>
                </c:pt>
                <c:pt idx="107">
                  <c:v>384</c:v>
                </c:pt>
                <c:pt idx="108">
                  <c:v>384</c:v>
                </c:pt>
                <c:pt idx="109">
                  <c:v>384</c:v>
                </c:pt>
                <c:pt idx="110">
                  <c:v>384</c:v>
                </c:pt>
                <c:pt idx="111">
                  <c:v>432</c:v>
                </c:pt>
                <c:pt idx="112">
                  <c:v>432</c:v>
                </c:pt>
                <c:pt idx="113">
                  <c:v>432</c:v>
                </c:pt>
                <c:pt idx="114">
                  <c:v>432</c:v>
                </c:pt>
                <c:pt idx="115">
                  <c:v>432</c:v>
                </c:pt>
                <c:pt idx="116">
                  <c:v>432</c:v>
                </c:pt>
                <c:pt idx="117">
                  <c:v>432</c:v>
                </c:pt>
                <c:pt idx="118">
                  <c:v>432</c:v>
                </c:pt>
                <c:pt idx="119">
                  <c:v>432</c:v>
                </c:pt>
                <c:pt idx="120">
                  <c:v>188</c:v>
                </c:pt>
                <c:pt idx="121">
                  <c:v>188</c:v>
                </c:pt>
                <c:pt idx="122">
                  <c:v>188</c:v>
                </c:pt>
                <c:pt idx="123">
                  <c:v>188</c:v>
                </c:pt>
                <c:pt idx="124">
                  <c:v>188</c:v>
                </c:pt>
                <c:pt idx="125">
                  <c:v>188</c:v>
                </c:pt>
                <c:pt idx="126">
                  <c:v>188</c:v>
                </c:pt>
                <c:pt idx="127">
                  <c:v>437</c:v>
                </c:pt>
                <c:pt idx="128">
                  <c:v>437</c:v>
                </c:pt>
                <c:pt idx="129">
                  <c:v>437</c:v>
                </c:pt>
                <c:pt idx="130">
                  <c:v>437</c:v>
                </c:pt>
                <c:pt idx="131">
                  <c:v>437</c:v>
                </c:pt>
                <c:pt idx="132">
                  <c:v>437</c:v>
                </c:pt>
                <c:pt idx="133">
                  <c:v>437</c:v>
                </c:pt>
                <c:pt idx="134">
                  <c:v>437</c:v>
                </c:pt>
                <c:pt idx="135">
                  <c:v>437</c:v>
                </c:pt>
                <c:pt idx="136">
                  <c:v>437</c:v>
                </c:pt>
                <c:pt idx="137">
                  <c:v>437</c:v>
                </c:pt>
                <c:pt idx="138">
                  <c:v>437</c:v>
                </c:pt>
                <c:pt idx="139">
                  <c:v>437</c:v>
                </c:pt>
                <c:pt idx="140">
                  <c:v>437</c:v>
                </c:pt>
                <c:pt idx="141">
                  <c:v>437</c:v>
                </c:pt>
                <c:pt idx="142">
                  <c:v>403</c:v>
                </c:pt>
                <c:pt idx="143">
                  <c:v>403</c:v>
                </c:pt>
                <c:pt idx="144">
                  <c:v>403</c:v>
                </c:pt>
                <c:pt idx="145">
                  <c:v>403</c:v>
                </c:pt>
                <c:pt idx="146">
                  <c:v>403</c:v>
                </c:pt>
                <c:pt idx="147">
                  <c:v>403</c:v>
                </c:pt>
                <c:pt idx="148">
                  <c:v>403</c:v>
                </c:pt>
                <c:pt idx="149">
                  <c:v>403</c:v>
                </c:pt>
                <c:pt idx="150">
                  <c:v>403</c:v>
                </c:pt>
                <c:pt idx="151">
                  <c:v>403</c:v>
                </c:pt>
                <c:pt idx="152">
                  <c:v>403</c:v>
                </c:pt>
                <c:pt idx="153">
                  <c:v>403</c:v>
                </c:pt>
                <c:pt idx="154">
                  <c:v>403</c:v>
                </c:pt>
                <c:pt idx="155">
                  <c:v>403</c:v>
                </c:pt>
                <c:pt idx="156">
                  <c:v>403</c:v>
                </c:pt>
                <c:pt idx="157">
                  <c:v>403</c:v>
                </c:pt>
                <c:pt idx="158">
                  <c:v>403</c:v>
                </c:pt>
                <c:pt idx="159">
                  <c:v>403</c:v>
                </c:pt>
                <c:pt idx="160">
                  <c:v>403</c:v>
                </c:pt>
                <c:pt idx="161">
                  <c:v>403</c:v>
                </c:pt>
                <c:pt idx="162">
                  <c:v>403</c:v>
                </c:pt>
                <c:pt idx="163">
                  <c:v>403</c:v>
                </c:pt>
                <c:pt idx="164">
                  <c:v>403</c:v>
                </c:pt>
                <c:pt idx="165">
                  <c:v>403</c:v>
                </c:pt>
                <c:pt idx="166">
                  <c:v>403</c:v>
                </c:pt>
                <c:pt idx="167">
                  <c:v>403</c:v>
                </c:pt>
                <c:pt idx="168">
                  <c:v>403</c:v>
                </c:pt>
                <c:pt idx="169">
                  <c:v>403</c:v>
                </c:pt>
                <c:pt idx="170">
                  <c:v>403</c:v>
                </c:pt>
                <c:pt idx="171">
                  <c:v>403</c:v>
                </c:pt>
                <c:pt idx="172">
                  <c:v>296</c:v>
                </c:pt>
                <c:pt idx="173">
                  <c:v>296</c:v>
                </c:pt>
                <c:pt idx="174">
                  <c:v>296</c:v>
                </c:pt>
                <c:pt idx="175">
                  <c:v>296</c:v>
                </c:pt>
                <c:pt idx="176">
                  <c:v>296</c:v>
                </c:pt>
                <c:pt idx="177">
                  <c:v>296</c:v>
                </c:pt>
                <c:pt idx="178">
                  <c:v>296</c:v>
                </c:pt>
                <c:pt idx="179">
                  <c:v>193</c:v>
                </c:pt>
                <c:pt idx="180">
                  <c:v>193</c:v>
                </c:pt>
                <c:pt idx="181">
                  <c:v>193</c:v>
                </c:pt>
                <c:pt idx="182">
                  <c:v>193</c:v>
                </c:pt>
                <c:pt idx="183">
                  <c:v>193</c:v>
                </c:pt>
                <c:pt idx="184">
                  <c:v>193</c:v>
                </c:pt>
                <c:pt idx="185">
                  <c:v>193</c:v>
                </c:pt>
                <c:pt idx="186">
                  <c:v>193</c:v>
                </c:pt>
                <c:pt idx="187">
                  <c:v>398</c:v>
                </c:pt>
                <c:pt idx="188">
                  <c:v>398</c:v>
                </c:pt>
                <c:pt idx="189">
                  <c:v>398</c:v>
                </c:pt>
                <c:pt idx="190">
                  <c:v>398</c:v>
                </c:pt>
                <c:pt idx="191">
                  <c:v>398</c:v>
                </c:pt>
                <c:pt idx="192">
                  <c:v>398</c:v>
                </c:pt>
                <c:pt idx="193">
                  <c:v>265</c:v>
                </c:pt>
                <c:pt idx="194">
                  <c:v>265</c:v>
                </c:pt>
                <c:pt idx="195">
                  <c:v>255</c:v>
                </c:pt>
                <c:pt idx="196">
                  <c:v>329</c:v>
                </c:pt>
                <c:pt idx="197">
                  <c:v>329</c:v>
                </c:pt>
                <c:pt idx="198">
                  <c:v>329</c:v>
                </c:pt>
                <c:pt idx="199">
                  <c:v>402</c:v>
                </c:pt>
                <c:pt idx="200">
                  <c:v>402</c:v>
                </c:pt>
                <c:pt idx="201">
                  <c:v>348</c:v>
                </c:pt>
                <c:pt idx="202">
                  <c:v>348</c:v>
                </c:pt>
                <c:pt idx="203">
                  <c:v>224</c:v>
                </c:pt>
                <c:pt idx="204">
                  <c:v>224</c:v>
                </c:pt>
                <c:pt idx="205">
                  <c:v>277</c:v>
                </c:pt>
                <c:pt idx="206">
                  <c:v>277</c:v>
                </c:pt>
                <c:pt idx="207">
                  <c:v>277</c:v>
                </c:pt>
                <c:pt idx="208">
                  <c:v>277</c:v>
                </c:pt>
                <c:pt idx="209">
                  <c:v>277</c:v>
                </c:pt>
                <c:pt idx="210">
                  <c:v>277</c:v>
                </c:pt>
                <c:pt idx="211">
                  <c:v>277</c:v>
                </c:pt>
                <c:pt idx="212">
                  <c:v>277</c:v>
                </c:pt>
                <c:pt idx="213">
                  <c:v>277</c:v>
                </c:pt>
                <c:pt idx="214">
                  <c:v>277</c:v>
                </c:pt>
                <c:pt idx="215">
                  <c:v>277</c:v>
                </c:pt>
                <c:pt idx="216">
                  <c:v>276</c:v>
                </c:pt>
                <c:pt idx="217">
                  <c:v>276</c:v>
                </c:pt>
                <c:pt idx="218">
                  <c:v>276</c:v>
                </c:pt>
                <c:pt idx="219">
                  <c:v>276</c:v>
                </c:pt>
                <c:pt idx="220">
                  <c:v>307</c:v>
                </c:pt>
                <c:pt idx="221">
                  <c:v>307</c:v>
                </c:pt>
                <c:pt idx="222">
                  <c:v>307</c:v>
                </c:pt>
                <c:pt idx="223">
                  <c:v>307</c:v>
                </c:pt>
                <c:pt idx="224">
                  <c:v>307</c:v>
                </c:pt>
                <c:pt idx="225">
                  <c:v>307</c:v>
                </c:pt>
                <c:pt idx="226">
                  <c:v>307</c:v>
                </c:pt>
                <c:pt idx="227">
                  <c:v>307</c:v>
                </c:pt>
                <c:pt idx="228">
                  <c:v>307</c:v>
                </c:pt>
                <c:pt idx="229">
                  <c:v>307</c:v>
                </c:pt>
                <c:pt idx="230">
                  <c:v>307</c:v>
                </c:pt>
                <c:pt idx="231">
                  <c:v>307</c:v>
                </c:pt>
                <c:pt idx="232">
                  <c:v>307</c:v>
                </c:pt>
                <c:pt idx="233">
                  <c:v>307</c:v>
                </c:pt>
                <c:pt idx="234">
                  <c:v>307</c:v>
                </c:pt>
                <c:pt idx="235">
                  <c:v>307</c:v>
                </c:pt>
                <c:pt idx="236">
                  <c:v>307</c:v>
                </c:pt>
                <c:pt idx="237">
                  <c:v>307</c:v>
                </c:pt>
                <c:pt idx="238">
                  <c:v>300</c:v>
                </c:pt>
                <c:pt idx="239">
                  <c:v>300</c:v>
                </c:pt>
                <c:pt idx="240">
                  <c:v>300</c:v>
                </c:pt>
                <c:pt idx="241">
                  <c:v>300</c:v>
                </c:pt>
                <c:pt idx="242">
                  <c:v>300</c:v>
                </c:pt>
                <c:pt idx="243">
                  <c:v>300</c:v>
                </c:pt>
                <c:pt idx="244">
                  <c:v>330</c:v>
                </c:pt>
                <c:pt idx="245">
                  <c:v>330</c:v>
                </c:pt>
                <c:pt idx="246">
                  <c:v>330</c:v>
                </c:pt>
                <c:pt idx="247">
                  <c:v>330</c:v>
                </c:pt>
                <c:pt idx="248">
                  <c:v>330</c:v>
                </c:pt>
                <c:pt idx="249">
                  <c:v>330</c:v>
                </c:pt>
                <c:pt idx="250">
                  <c:v>330</c:v>
                </c:pt>
                <c:pt idx="251">
                  <c:v>330</c:v>
                </c:pt>
                <c:pt idx="252">
                  <c:v>330</c:v>
                </c:pt>
                <c:pt idx="253">
                  <c:v>330</c:v>
                </c:pt>
                <c:pt idx="254">
                  <c:v>315</c:v>
                </c:pt>
                <c:pt idx="255">
                  <c:v>315</c:v>
                </c:pt>
                <c:pt idx="256">
                  <c:v>244</c:v>
                </c:pt>
                <c:pt idx="257">
                  <c:v>264</c:v>
                </c:pt>
                <c:pt idx="258">
                  <c:v>264</c:v>
                </c:pt>
                <c:pt idx="259">
                  <c:v>264</c:v>
                </c:pt>
                <c:pt idx="260">
                  <c:v>264</c:v>
                </c:pt>
                <c:pt idx="261">
                  <c:v>264</c:v>
                </c:pt>
                <c:pt idx="262">
                  <c:v>264</c:v>
                </c:pt>
                <c:pt idx="263">
                  <c:v>264</c:v>
                </c:pt>
                <c:pt idx="264">
                  <c:v>264</c:v>
                </c:pt>
                <c:pt idx="265">
                  <c:v>264</c:v>
                </c:pt>
                <c:pt idx="266">
                  <c:v>264</c:v>
                </c:pt>
                <c:pt idx="267">
                  <c:v>264</c:v>
                </c:pt>
                <c:pt idx="268">
                  <c:v>264</c:v>
                </c:pt>
                <c:pt idx="269">
                  <c:v>223</c:v>
                </c:pt>
                <c:pt idx="270">
                  <c:v>223</c:v>
                </c:pt>
                <c:pt idx="271">
                  <c:v>223</c:v>
                </c:pt>
                <c:pt idx="272">
                  <c:v>223</c:v>
                </c:pt>
                <c:pt idx="273">
                  <c:v>223</c:v>
                </c:pt>
                <c:pt idx="274">
                  <c:v>254</c:v>
                </c:pt>
                <c:pt idx="275">
                  <c:v>254</c:v>
                </c:pt>
                <c:pt idx="276">
                  <c:v>254</c:v>
                </c:pt>
                <c:pt idx="277">
                  <c:v>254</c:v>
                </c:pt>
                <c:pt idx="278">
                  <c:v>254</c:v>
                </c:pt>
                <c:pt idx="279">
                  <c:v>216</c:v>
                </c:pt>
                <c:pt idx="280">
                  <c:v>216</c:v>
                </c:pt>
                <c:pt idx="281">
                  <c:v>216</c:v>
                </c:pt>
                <c:pt idx="282">
                  <c:v>216</c:v>
                </c:pt>
                <c:pt idx="283">
                  <c:v>198</c:v>
                </c:pt>
                <c:pt idx="284">
                  <c:v>285</c:v>
                </c:pt>
                <c:pt idx="285">
                  <c:v>300</c:v>
                </c:pt>
                <c:pt idx="286">
                  <c:v>241</c:v>
                </c:pt>
                <c:pt idx="287">
                  <c:v>293</c:v>
                </c:pt>
                <c:pt idx="288">
                  <c:v>293</c:v>
                </c:pt>
                <c:pt idx="289">
                  <c:v>293</c:v>
                </c:pt>
                <c:pt idx="290">
                  <c:v>245</c:v>
                </c:pt>
                <c:pt idx="291">
                  <c:v>245</c:v>
                </c:pt>
                <c:pt idx="292">
                  <c:v>245</c:v>
                </c:pt>
                <c:pt idx="293">
                  <c:v>289</c:v>
                </c:pt>
                <c:pt idx="294">
                  <c:v>289</c:v>
                </c:pt>
                <c:pt idx="295">
                  <c:v>289</c:v>
                </c:pt>
                <c:pt idx="296">
                  <c:v>289</c:v>
                </c:pt>
                <c:pt idx="297">
                  <c:v>289</c:v>
                </c:pt>
                <c:pt idx="298">
                  <c:v>358</c:v>
                </c:pt>
                <c:pt idx="299">
                  <c:v>358</c:v>
                </c:pt>
                <c:pt idx="300">
                  <c:v>358</c:v>
                </c:pt>
                <c:pt idx="301">
                  <c:v>329</c:v>
                </c:pt>
                <c:pt idx="302">
                  <c:v>329</c:v>
                </c:pt>
                <c:pt idx="303">
                  <c:v>329</c:v>
                </c:pt>
                <c:pt idx="304">
                  <c:v>222</c:v>
                </c:pt>
                <c:pt idx="305">
                  <c:v>222</c:v>
                </c:pt>
                <c:pt idx="306">
                  <c:v>222</c:v>
                </c:pt>
                <c:pt idx="307">
                  <c:v>222</c:v>
                </c:pt>
                <c:pt idx="308">
                  <c:v>304</c:v>
                </c:pt>
                <c:pt idx="309">
                  <c:v>304</c:v>
                </c:pt>
                <c:pt idx="310">
                  <c:v>304</c:v>
                </c:pt>
                <c:pt idx="311">
                  <c:v>304</c:v>
                </c:pt>
                <c:pt idx="312">
                  <c:v>304</c:v>
                </c:pt>
                <c:pt idx="313">
                  <c:v>304</c:v>
                </c:pt>
                <c:pt idx="314">
                  <c:v>304</c:v>
                </c:pt>
                <c:pt idx="315">
                  <c:v>304</c:v>
                </c:pt>
                <c:pt idx="316">
                  <c:v>304</c:v>
                </c:pt>
                <c:pt idx="317">
                  <c:v>304</c:v>
                </c:pt>
                <c:pt idx="318">
                  <c:v>304</c:v>
                </c:pt>
                <c:pt idx="319">
                  <c:v>304</c:v>
                </c:pt>
                <c:pt idx="320">
                  <c:v>287</c:v>
                </c:pt>
                <c:pt idx="321">
                  <c:v>287</c:v>
                </c:pt>
                <c:pt idx="322">
                  <c:v>287</c:v>
                </c:pt>
                <c:pt idx="323">
                  <c:v>287</c:v>
                </c:pt>
                <c:pt idx="324">
                  <c:v>287</c:v>
                </c:pt>
                <c:pt idx="325">
                  <c:v>287</c:v>
                </c:pt>
                <c:pt idx="326">
                  <c:v>287</c:v>
                </c:pt>
                <c:pt idx="327">
                  <c:v>287</c:v>
                </c:pt>
                <c:pt idx="328">
                  <c:v>430</c:v>
                </c:pt>
                <c:pt idx="329">
                  <c:v>430</c:v>
                </c:pt>
                <c:pt idx="330">
                  <c:v>430</c:v>
                </c:pt>
                <c:pt idx="331">
                  <c:v>304</c:v>
                </c:pt>
                <c:pt idx="332">
                  <c:v>304</c:v>
                </c:pt>
                <c:pt idx="333">
                  <c:v>224</c:v>
                </c:pt>
                <c:pt idx="334">
                  <c:v>224</c:v>
                </c:pt>
                <c:pt idx="335">
                  <c:v>224</c:v>
                </c:pt>
                <c:pt idx="336">
                  <c:v>224</c:v>
                </c:pt>
                <c:pt idx="337">
                  <c:v>224</c:v>
                </c:pt>
                <c:pt idx="338">
                  <c:v>224</c:v>
                </c:pt>
                <c:pt idx="339">
                  <c:v>224</c:v>
                </c:pt>
                <c:pt idx="340">
                  <c:v>224</c:v>
                </c:pt>
                <c:pt idx="341">
                  <c:v>284</c:v>
                </c:pt>
                <c:pt idx="342">
                  <c:v>422</c:v>
                </c:pt>
                <c:pt idx="343">
                  <c:v>370</c:v>
                </c:pt>
                <c:pt idx="344">
                  <c:v>370</c:v>
                </c:pt>
                <c:pt idx="345">
                  <c:v>352</c:v>
                </c:pt>
                <c:pt idx="346">
                  <c:v>352</c:v>
                </c:pt>
                <c:pt idx="347">
                  <c:v>351</c:v>
                </c:pt>
                <c:pt idx="348">
                  <c:v>280</c:v>
                </c:pt>
                <c:pt idx="349">
                  <c:v>335</c:v>
                </c:pt>
                <c:pt idx="350">
                  <c:v>335</c:v>
                </c:pt>
                <c:pt idx="351">
                  <c:v>411</c:v>
                </c:pt>
                <c:pt idx="352">
                  <c:v>411</c:v>
                </c:pt>
                <c:pt idx="353">
                  <c:v>187</c:v>
                </c:pt>
                <c:pt idx="354">
                  <c:v>334</c:v>
                </c:pt>
                <c:pt idx="355">
                  <c:v>334</c:v>
                </c:pt>
                <c:pt idx="356">
                  <c:v>666</c:v>
                </c:pt>
                <c:pt idx="357">
                  <c:v>666</c:v>
                </c:pt>
                <c:pt idx="358">
                  <c:v>666</c:v>
                </c:pt>
                <c:pt idx="359">
                  <c:v>666</c:v>
                </c:pt>
                <c:pt idx="360">
                  <c:v>666</c:v>
                </c:pt>
                <c:pt idx="361">
                  <c:v>666</c:v>
                </c:pt>
                <c:pt idx="362">
                  <c:v>666</c:v>
                </c:pt>
                <c:pt idx="363">
                  <c:v>666</c:v>
                </c:pt>
                <c:pt idx="364">
                  <c:v>666</c:v>
                </c:pt>
                <c:pt idx="365">
                  <c:v>666</c:v>
                </c:pt>
                <c:pt idx="366">
                  <c:v>666</c:v>
                </c:pt>
                <c:pt idx="367">
                  <c:v>666</c:v>
                </c:pt>
                <c:pt idx="368">
                  <c:v>666</c:v>
                </c:pt>
                <c:pt idx="369">
                  <c:v>666</c:v>
                </c:pt>
                <c:pt idx="370">
                  <c:v>666</c:v>
                </c:pt>
                <c:pt idx="371">
                  <c:v>666</c:v>
                </c:pt>
                <c:pt idx="372">
                  <c:v>666</c:v>
                </c:pt>
                <c:pt idx="373">
                  <c:v>666</c:v>
                </c:pt>
                <c:pt idx="374">
                  <c:v>666</c:v>
                </c:pt>
                <c:pt idx="375">
                  <c:v>666</c:v>
                </c:pt>
                <c:pt idx="376">
                  <c:v>666</c:v>
                </c:pt>
                <c:pt idx="377">
                  <c:v>666</c:v>
                </c:pt>
                <c:pt idx="378">
                  <c:v>666</c:v>
                </c:pt>
                <c:pt idx="379">
                  <c:v>666</c:v>
                </c:pt>
                <c:pt idx="380">
                  <c:v>666</c:v>
                </c:pt>
                <c:pt idx="381">
                  <c:v>666</c:v>
                </c:pt>
                <c:pt idx="382">
                  <c:v>666</c:v>
                </c:pt>
                <c:pt idx="383">
                  <c:v>666</c:v>
                </c:pt>
                <c:pt idx="384">
                  <c:v>666</c:v>
                </c:pt>
                <c:pt idx="385">
                  <c:v>666</c:v>
                </c:pt>
                <c:pt idx="386">
                  <c:v>666</c:v>
                </c:pt>
                <c:pt idx="387">
                  <c:v>666</c:v>
                </c:pt>
                <c:pt idx="388">
                  <c:v>666</c:v>
                </c:pt>
                <c:pt idx="389">
                  <c:v>666</c:v>
                </c:pt>
                <c:pt idx="390">
                  <c:v>666</c:v>
                </c:pt>
                <c:pt idx="391">
                  <c:v>666</c:v>
                </c:pt>
                <c:pt idx="392">
                  <c:v>666</c:v>
                </c:pt>
                <c:pt idx="393">
                  <c:v>666</c:v>
                </c:pt>
                <c:pt idx="394">
                  <c:v>666</c:v>
                </c:pt>
                <c:pt idx="395">
                  <c:v>666</c:v>
                </c:pt>
                <c:pt idx="396">
                  <c:v>666</c:v>
                </c:pt>
                <c:pt idx="397">
                  <c:v>666</c:v>
                </c:pt>
                <c:pt idx="398">
                  <c:v>666</c:v>
                </c:pt>
                <c:pt idx="399">
                  <c:v>666</c:v>
                </c:pt>
                <c:pt idx="400">
                  <c:v>666</c:v>
                </c:pt>
                <c:pt idx="401">
                  <c:v>666</c:v>
                </c:pt>
                <c:pt idx="402">
                  <c:v>666</c:v>
                </c:pt>
                <c:pt idx="403">
                  <c:v>666</c:v>
                </c:pt>
                <c:pt idx="404">
                  <c:v>666</c:v>
                </c:pt>
                <c:pt idx="405">
                  <c:v>666</c:v>
                </c:pt>
                <c:pt idx="406">
                  <c:v>666</c:v>
                </c:pt>
                <c:pt idx="407">
                  <c:v>666</c:v>
                </c:pt>
                <c:pt idx="408">
                  <c:v>666</c:v>
                </c:pt>
                <c:pt idx="409">
                  <c:v>666</c:v>
                </c:pt>
                <c:pt idx="410">
                  <c:v>666</c:v>
                </c:pt>
                <c:pt idx="411">
                  <c:v>666</c:v>
                </c:pt>
                <c:pt idx="412">
                  <c:v>666</c:v>
                </c:pt>
                <c:pt idx="413">
                  <c:v>666</c:v>
                </c:pt>
                <c:pt idx="414">
                  <c:v>666</c:v>
                </c:pt>
                <c:pt idx="415">
                  <c:v>666</c:v>
                </c:pt>
                <c:pt idx="416">
                  <c:v>666</c:v>
                </c:pt>
                <c:pt idx="417">
                  <c:v>666</c:v>
                </c:pt>
                <c:pt idx="418">
                  <c:v>666</c:v>
                </c:pt>
                <c:pt idx="419">
                  <c:v>666</c:v>
                </c:pt>
                <c:pt idx="420">
                  <c:v>666</c:v>
                </c:pt>
                <c:pt idx="421">
                  <c:v>666</c:v>
                </c:pt>
                <c:pt idx="422">
                  <c:v>666</c:v>
                </c:pt>
                <c:pt idx="423">
                  <c:v>666</c:v>
                </c:pt>
                <c:pt idx="424">
                  <c:v>666</c:v>
                </c:pt>
                <c:pt idx="425">
                  <c:v>666</c:v>
                </c:pt>
                <c:pt idx="426">
                  <c:v>666</c:v>
                </c:pt>
                <c:pt idx="427">
                  <c:v>666</c:v>
                </c:pt>
                <c:pt idx="428">
                  <c:v>666</c:v>
                </c:pt>
                <c:pt idx="429">
                  <c:v>666</c:v>
                </c:pt>
                <c:pt idx="430">
                  <c:v>666</c:v>
                </c:pt>
                <c:pt idx="431">
                  <c:v>666</c:v>
                </c:pt>
                <c:pt idx="432">
                  <c:v>666</c:v>
                </c:pt>
                <c:pt idx="433">
                  <c:v>666</c:v>
                </c:pt>
                <c:pt idx="434">
                  <c:v>666</c:v>
                </c:pt>
                <c:pt idx="435">
                  <c:v>666</c:v>
                </c:pt>
                <c:pt idx="436">
                  <c:v>666</c:v>
                </c:pt>
                <c:pt idx="437">
                  <c:v>666</c:v>
                </c:pt>
                <c:pt idx="438">
                  <c:v>666</c:v>
                </c:pt>
                <c:pt idx="439">
                  <c:v>666</c:v>
                </c:pt>
                <c:pt idx="440">
                  <c:v>666</c:v>
                </c:pt>
                <c:pt idx="441">
                  <c:v>666</c:v>
                </c:pt>
                <c:pt idx="442">
                  <c:v>666</c:v>
                </c:pt>
                <c:pt idx="443">
                  <c:v>666</c:v>
                </c:pt>
                <c:pt idx="444">
                  <c:v>666</c:v>
                </c:pt>
                <c:pt idx="445">
                  <c:v>666</c:v>
                </c:pt>
                <c:pt idx="446">
                  <c:v>666</c:v>
                </c:pt>
                <c:pt idx="447">
                  <c:v>666</c:v>
                </c:pt>
                <c:pt idx="448">
                  <c:v>666</c:v>
                </c:pt>
                <c:pt idx="449">
                  <c:v>666</c:v>
                </c:pt>
                <c:pt idx="450">
                  <c:v>666</c:v>
                </c:pt>
                <c:pt idx="451">
                  <c:v>666</c:v>
                </c:pt>
                <c:pt idx="452">
                  <c:v>666</c:v>
                </c:pt>
                <c:pt idx="453">
                  <c:v>666</c:v>
                </c:pt>
                <c:pt idx="454">
                  <c:v>666</c:v>
                </c:pt>
                <c:pt idx="455">
                  <c:v>666</c:v>
                </c:pt>
                <c:pt idx="456">
                  <c:v>666</c:v>
                </c:pt>
                <c:pt idx="457">
                  <c:v>666</c:v>
                </c:pt>
                <c:pt idx="458">
                  <c:v>666</c:v>
                </c:pt>
                <c:pt idx="459">
                  <c:v>666</c:v>
                </c:pt>
                <c:pt idx="460">
                  <c:v>666</c:v>
                </c:pt>
                <c:pt idx="461">
                  <c:v>666</c:v>
                </c:pt>
                <c:pt idx="462">
                  <c:v>666</c:v>
                </c:pt>
                <c:pt idx="463">
                  <c:v>666</c:v>
                </c:pt>
                <c:pt idx="464">
                  <c:v>666</c:v>
                </c:pt>
                <c:pt idx="465">
                  <c:v>666</c:v>
                </c:pt>
                <c:pt idx="466">
                  <c:v>666</c:v>
                </c:pt>
                <c:pt idx="467">
                  <c:v>666</c:v>
                </c:pt>
                <c:pt idx="468">
                  <c:v>666</c:v>
                </c:pt>
                <c:pt idx="469">
                  <c:v>666</c:v>
                </c:pt>
                <c:pt idx="470">
                  <c:v>666</c:v>
                </c:pt>
                <c:pt idx="471">
                  <c:v>666</c:v>
                </c:pt>
                <c:pt idx="472">
                  <c:v>666</c:v>
                </c:pt>
                <c:pt idx="473">
                  <c:v>666</c:v>
                </c:pt>
                <c:pt idx="474">
                  <c:v>666</c:v>
                </c:pt>
                <c:pt idx="475">
                  <c:v>666</c:v>
                </c:pt>
                <c:pt idx="476">
                  <c:v>666</c:v>
                </c:pt>
                <c:pt idx="477">
                  <c:v>666</c:v>
                </c:pt>
                <c:pt idx="478">
                  <c:v>666</c:v>
                </c:pt>
                <c:pt idx="479">
                  <c:v>666</c:v>
                </c:pt>
                <c:pt idx="480">
                  <c:v>666</c:v>
                </c:pt>
                <c:pt idx="481">
                  <c:v>666</c:v>
                </c:pt>
                <c:pt idx="482">
                  <c:v>666</c:v>
                </c:pt>
                <c:pt idx="483">
                  <c:v>666</c:v>
                </c:pt>
                <c:pt idx="484">
                  <c:v>666</c:v>
                </c:pt>
                <c:pt idx="485">
                  <c:v>666</c:v>
                </c:pt>
                <c:pt idx="486">
                  <c:v>666</c:v>
                </c:pt>
                <c:pt idx="487">
                  <c:v>666</c:v>
                </c:pt>
                <c:pt idx="488">
                  <c:v>711</c:v>
                </c:pt>
                <c:pt idx="489">
                  <c:v>711</c:v>
                </c:pt>
                <c:pt idx="490">
                  <c:v>711</c:v>
                </c:pt>
                <c:pt idx="491">
                  <c:v>711</c:v>
                </c:pt>
                <c:pt idx="492">
                  <c:v>711</c:v>
                </c:pt>
                <c:pt idx="493">
                  <c:v>391</c:v>
                </c:pt>
                <c:pt idx="494">
                  <c:v>391</c:v>
                </c:pt>
                <c:pt idx="495">
                  <c:v>391</c:v>
                </c:pt>
                <c:pt idx="496">
                  <c:v>391</c:v>
                </c:pt>
                <c:pt idx="497">
                  <c:v>391</c:v>
                </c:pt>
                <c:pt idx="498">
                  <c:v>391</c:v>
                </c:pt>
                <c:pt idx="499">
                  <c:v>391</c:v>
                </c:pt>
                <c:pt idx="500">
                  <c:v>391</c:v>
                </c:pt>
                <c:pt idx="501">
                  <c:v>273</c:v>
                </c:pt>
                <c:pt idx="502">
                  <c:v>273</c:v>
                </c:pt>
                <c:pt idx="503">
                  <c:v>273</c:v>
                </c:pt>
                <c:pt idx="504">
                  <c:v>273</c:v>
                </c:pt>
                <c:pt idx="505">
                  <c:v>273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112640"/>
        <c:axId val="704934400"/>
      </c:lineChart>
      <c:catAx>
        <c:axId val="704112640"/>
        <c:scaling>
          <c:orientation val="minMax"/>
        </c:scaling>
        <c:delete val="0"/>
        <c:axPos val="b"/>
        <c:majorTickMark val="out"/>
        <c:minorTickMark val="none"/>
        <c:tickLblPos val="nextTo"/>
        <c:crossAx val="704934400"/>
        <c:crosses val="autoZero"/>
        <c:auto val="1"/>
        <c:lblAlgn val="ctr"/>
        <c:lblOffset val="100"/>
        <c:noMultiLvlLbl val="0"/>
      </c:catAx>
      <c:valAx>
        <c:axId val="7049344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7041126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보스턴주택가격!$K$2</c:f>
              <c:strCache>
                <c:ptCount val="1"/>
                <c:pt idx="0">
                  <c:v>학생교사비율</c:v>
                </c:pt>
              </c:strCache>
            </c:strRef>
          </c:tx>
          <c:val>
            <c:numRef>
              <c:f>보스턴주택가격!$K$3:$K$508</c:f>
              <c:numCache>
                <c:formatCode>General</c:formatCode>
                <c:ptCount val="506"/>
                <c:pt idx="0">
                  <c:v>15.3</c:v>
                </c:pt>
                <c:pt idx="1">
                  <c:v>17.8</c:v>
                </c:pt>
                <c:pt idx="2">
                  <c:v>17.8</c:v>
                </c:pt>
                <c:pt idx="3">
                  <c:v>18.7</c:v>
                </c:pt>
                <c:pt idx="4">
                  <c:v>18.7</c:v>
                </c:pt>
                <c:pt idx="5">
                  <c:v>18.7</c:v>
                </c:pt>
                <c:pt idx="6">
                  <c:v>15.2</c:v>
                </c:pt>
                <c:pt idx="7">
                  <c:v>15.2</c:v>
                </c:pt>
                <c:pt idx="8">
                  <c:v>15.2</c:v>
                </c:pt>
                <c:pt idx="9">
                  <c:v>15.2</c:v>
                </c:pt>
                <c:pt idx="10">
                  <c:v>15.2</c:v>
                </c:pt>
                <c:pt idx="11">
                  <c:v>15.2</c:v>
                </c:pt>
                <c:pt idx="12">
                  <c:v>15.2</c:v>
                </c:pt>
                <c:pt idx="13">
                  <c:v>21</c:v>
                </c:pt>
                <c:pt idx="14">
                  <c:v>21</c:v>
                </c:pt>
                <c:pt idx="15">
                  <c:v>21</c:v>
                </c:pt>
                <c:pt idx="16">
                  <c:v>21</c:v>
                </c:pt>
                <c:pt idx="17">
                  <c:v>21</c:v>
                </c:pt>
                <c:pt idx="18">
                  <c:v>21</c:v>
                </c:pt>
                <c:pt idx="19">
                  <c:v>21</c:v>
                </c:pt>
                <c:pt idx="20">
                  <c:v>21</c:v>
                </c:pt>
                <c:pt idx="21">
                  <c:v>21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21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21</c:v>
                </c:pt>
                <c:pt idx="32">
                  <c:v>21</c:v>
                </c:pt>
                <c:pt idx="33">
                  <c:v>21</c:v>
                </c:pt>
                <c:pt idx="34">
                  <c:v>21</c:v>
                </c:pt>
                <c:pt idx="35">
                  <c:v>19.2</c:v>
                </c:pt>
                <c:pt idx="36">
                  <c:v>19.2</c:v>
                </c:pt>
                <c:pt idx="37">
                  <c:v>19.2</c:v>
                </c:pt>
                <c:pt idx="38">
                  <c:v>19.2</c:v>
                </c:pt>
                <c:pt idx="39">
                  <c:v>18.3</c:v>
                </c:pt>
                <c:pt idx="40">
                  <c:v>18.3</c:v>
                </c:pt>
                <c:pt idx="41">
                  <c:v>17.899999999999999</c:v>
                </c:pt>
                <c:pt idx="42">
                  <c:v>17.899999999999999</c:v>
                </c:pt>
                <c:pt idx="43">
                  <c:v>17.899999999999999</c:v>
                </c:pt>
                <c:pt idx="44">
                  <c:v>17.899999999999999</c:v>
                </c:pt>
                <c:pt idx="45">
                  <c:v>17.899999999999999</c:v>
                </c:pt>
                <c:pt idx="46">
                  <c:v>17.899999999999999</c:v>
                </c:pt>
                <c:pt idx="47">
                  <c:v>17.899999999999999</c:v>
                </c:pt>
                <c:pt idx="48">
                  <c:v>17.899999999999999</c:v>
                </c:pt>
                <c:pt idx="49">
                  <c:v>17.899999999999999</c:v>
                </c:pt>
                <c:pt idx="50">
                  <c:v>16.8</c:v>
                </c:pt>
                <c:pt idx="51">
                  <c:v>16.8</c:v>
                </c:pt>
                <c:pt idx="52">
                  <c:v>16.8</c:v>
                </c:pt>
                <c:pt idx="53">
                  <c:v>16.8</c:v>
                </c:pt>
                <c:pt idx="54">
                  <c:v>21.1</c:v>
                </c:pt>
                <c:pt idx="55">
                  <c:v>17.899999999999999</c:v>
                </c:pt>
                <c:pt idx="56">
                  <c:v>17.3</c:v>
                </c:pt>
                <c:pt idx="57">
                  <c:v>15.1</c:v>
                </c:pt>
                <c:pt idx="58">
                  <c:v>19.7</c:v>
                </c:pt>
                <c:pt idx="59">
                  <c:v>19.7</c:v>
                </c:pt>
                <c:pt idx="60">
                  <c:v>19.7</c:v>
                </c:pt>
                <c:pt idx="61">
                  <c:v>19.7</c:v>
                </c:pt>
                <c:pt idx="62">
                  <c:v>19.7</c:v>
                </c:pt>
                <c:pt idx="63">
                  <c:v>19.7</c:v>
                </c:pt>
                <c:pt idx="64">
                  <c:v>18.600000000000001</c:v>
                </c:pt>
                <c:pt idx="65">
                  <c:v>16.100000000000001</c:v>
                </c:pt>
                <c:pt idx="66">
                  <c:v>16.100000000000001</c:v>
                </c:pt>
                <c:pt idx="67">
                  <c:v>18.899999999999999</c:v>
                </c:pt>
                <c:pt idx="68">
                  <c:v>18.899999999999999</c:v>
                </c:pt>
                <c:pt idx="69">
                  <c:v>18.899999999999999</c:v>
                </c:pt>
                <c:pt idx="70">
                  <c:v>19.2</c:v>
                </c:pt>
                <c:pt idx="71">
                  <c:v>19.2</c:v>
                </c:pt>
                <c:pt idx="72">
                  <c:v>19.2</c:v>
                </c:pt>
                <c:pt idx="73">
                  <c:v>19.2</c:v>
                </c:pt>
                <c:pt idx="74">
                  <c:v>18.7</c:v>
                </c:pt>
                <c:pt idx="75">
                  <c:v>18.7</c:v>
                </c:pt>
                <c:pt idx="76">
                  <c:v>18.7</c:v>
                </c:pt>
                <c:pt idx="77">
                  <c:v>18.7</c:v>
                </c:pt>
                <c:pt idx="78">
                  <c:v>18.7</c:v>
                </c:pt>
                <c:pt idx="79">
                  <c:v>18.7</c:v>
                </c:pt>
                <c:pt idx="80">
                  <c:v>19</c:v>
                </c:pt>
                <c:pt idx="81">
                  <c:v>19</c:v>
                </c:pt>
                <c:pt idx="82">
                  <c:v>19</c:v>
                </c:pt>
                <c:pt idx="83">
                  <c:v>19</c:v>
                </c:pt>
                <c:pt idx="84">
                  <c:v>18.5</c:v>
                </c:pt>
                <c:pt idx="85">
                  <c:v>18.5</c:v>
                </c:pt>
                <c:pt idx="86">
                  <c:v>18.5</c:v>
                </c:pt>
                <c:pt idx="87">
                  <c:v>18.5</c:v>
                </c:pt>
                <c:pt idx="88">
                  <c:v>17.8</c:v>
                </c:pt>
                <c:pt idx="89">
                  <c:v>17.8</c:v>
                </c:pt>
                <c:pt idx="90">
                  <c:v>17.8</c:v>
                </c:pt>
                <c:pt idx="91">
                  <c:v>17.8</c:v>
                </c:pt>
                <c:pt idx="92">
                  <c:v>18.2</c:v>
                </c:pt>
                <c:pt idx="93">
                  <c:v>18.2</c:v>
                </c:pt>
                <c:pt idx="94">
                  <c:v>18.2</c:v>
                </c:pt>
                <c:pt idx="95">
                  <c:v>18</c:v>
                </c:pt>
                <c:pt idx="96">
                  <c:v>18</c:v>
                </c:pt>
                <c:pt idx="97">
                  <c:v>18</c:v>
                </c:pt>
                <c:pt idx="98">
                  <c:v>18</c:v>
                </c:pt>
                <c:pt idx="99">
                  <c:v>18</c:v>
                </c:pt>
                <c:pt idx="100">
                  <c:v>20.9</c:v>
                </c:pt>
                <c:pt idx="101">
                  <c:v>20.9</c:v>
                </c:pt>
                <c:pt idx="102">
                  <c:v>20.9</c:v>
                </c:pt>
                <c:pt idx="103">
                  <c:v>20.9</c:v>
                </c:pt>
                <c:pt idx="104">
                  <c:v>20.9</c:v>
                </c:pt>
                <c:pt idx="105">
                  <c:v>20.9</c:v>
                </c:pt>
                <c:pt idx="106">
                  <c:v>20.9</c:v>
                </c:pt>
                <c:pt idx="107">
                  <c:v>20.9</c:v>
                </c:pt>
                <c:pt idx="108">
                  <c:v>20.9</c:v>
                </c:pt>
                <c:pt idx="109">
                  <c:v>20.9</c:v>
                </c:pt>
                <c:pt idx="110">
                  <c:v>20.9</c:v>
                </c:pt>
                <c:pt idx="111">
                  <c:v>17.8</c:v>
                </c:pt>
                <c:pt idx="112">
                  <c:v>17.8</c:v>
                </c:pt>
                <c:pt idx="113">
                  <c:v>17.8</c:v>
                </c:pt>
                <c:pt idx="114">
                  <c:v>17.8</c:v>
                </c:pt>
                <c:pt idx="115">
                  <c:v>17.8</c:v>
                </c:pt>
                <c:pt idx="116">
                  <c:v>17.8</c:v>
                </c:pt>
                <c:pt idx="117">
                  <c:v>17.8</c:v>
                </c:pt>
                <c:pt idx="118">
                  <c:v>17.8</c:v>
                </c:pt>
                <c:pt idx="119">
                  <c:v>17.8</c:v>
                </c:pt>
                <c:pt idx="120">
                  <c:v>19.100000000000001</c:v>
                </c:pt>
                <c:pt idx="121">
                  <c:v>19.100000000000001</c:v>
                </c:pt>
                <c:pt idx="122">
                  <c:v>19.100000000000001</c:v>
                </c:pt>
                <c:pt idx="123">
                  <c:v>19.100000000000001</c:v>
                </c:pt>
                <c:pt idx="124">
                  <c:v>19.100000000000001</c:v>
                </c:pt>
                <c:pt idx="125">
                  <c:v>19.100000000000001</c:v>
                </c:pt>
                <c:pt idx="126">
                  <c:v>19.100000000000001</c:v>
                </c:pt>
                <c:pt idx="127">
                  <c:v>21.2</c:v>
                </c:pt>
                <c:pt idx="128">
                  <c:v>21.2</c:v>
                </c:pt>
                <c:pt idx="129">
                  <c:v>21.2</c:v>
                </c:pt>
                <c:pt idx="130">
                  <c:v>21.2</c:v>
                </c:pt>
                <c:pt idx="131">
                  <c:v>21.2</c:v>
                </c:pt>
                <c:pt idx="132">
                  <c:v>21.2</c:v>
                </c:pt>
                <c:pt idx="133">
                  <c:v>21.2</c:v>
                </c:pt>
                <c:pt idx="134">
                  <c:v>21.2</c:v>
                </c:pt>
                <c:pt idx="135">
                  <c:v>21.2</c:v>
                </c:pt>
                <c:pt idx="136">
                  <c:v>21.2</c:v>
                </c:pt>
                <c:pt idx="137">
                  <c:v>21.2</c:v>
                </c:pt>
                <c:pt idx="138">
                  <c:v>21.2</c:v>
                </c:pt>
                <c:pt idx="139">
                  <c:v>21.2</c:v>
                </c:pt>
                <c:pt idx="140">
                  <c:v>21.2</c:v>
                </c:pt>
                <c:pt idx="141">
                  <c:v>21.2</c:v>
                </c:pt>
                <c:pt idx="142">
                  <c:v>14.7</c:v>
                </c:pt>
                <c:pt idx="143">
                  <c:v>14.7</c:v>
                </c:pt>
                <c:pt idx="144">
                  <c:v>14.7</c:v>
                </c:pt>
                <c:pt idx="145">
                  <c:v>14.7</c:v>
                </c:pt>
                <c:pt idx="146">
                  <c:v>14.7</c:v>
                </c:pt>
                <c:pt idx="147">
                  <c:v>14.7</c:v>
                </c:pt>
                <c:pt idx="148">
                  <c:v>14.7</c:v>
                </c:pt>
                <c:pt idx="149">
                  <c:v>14.7</c:v>
                </c:pt>
                <c:pt idx="150">
                  <c:v>14.7</c:v>
                </c:pt>
                <c:pt idx="151">
                  <c:v>14.7</c:v>
                </c:pt>
                <c:pt idx="152">
                  <c:v>14.7</c:v>
                </c:pt>
                <c:pt idx="153">
                  <c:v>14.7</c:v>
                </c:pt>
                <c:pt idx="154">
                  <c:v>14.7</c:v>
                </c:pt>
                <c:pt idx="155">
                  <c:v>14.7</c:v>
                </c:pt>
                <c:pt idx="156">
                  <c:v>14.7</c:v>
                </c:pt>
                <c:pt idx="157">
                  <c:v>14.7</c:v>
                </c:pt>
                <c:pt idx="158">
                  <c:v>14.7</c:v>
                </c:pt>
                <c:pt idx="159">
                  <c:v>14.7</c:v>
                </c:pt>
                <c:pt idx="160">
                  <c:v>14.7</c:v>
                </c:pt>
                <c:pt idx="161">
                  <c:v>14.7</c:v>
                </c:pt>
                <c:pt idx="162">
                  <c:v>14.7</c:v>
                </c:pt>
                <c:pt idx="163">
                  <c:v>14.7</c:v>
                </c:pt>
                <c:pt idx="164">
                  <c:v>14.7</c:v>
                </c:pt>
                <c:pt idx="165">
                  <c:v>14.7</c:v>
                </c:pt>
                <c:pt idx="166">
                  <c:v>14.7</c:v>
                </c:pt>
                <c:pt idx="167">
                  <c:v>14.7</c:v>
                </c:pt>
                <c:pt idx="168">
                  <c:v>14.7</c:v>
                </c:pt>
                <c:pt idx="169">
                  <c:v>14.7</c:v>
                </c:pt>
                <c:pt idx="170">
                  <c:v>14.7</c:v>
                </c:pt>
                <c:pt idx="171">
                  <c:v>14.7</c:v>
                </c:pt>
                <c:pt idx="172">
                  <c:v>16.600000000000001</c:v>
                </c:pt>
                <c:pt idx="173">
                  <c:v>16.600000000000001</c:v>
                </c:pt>
                <c:pt idx="174">
                  <c:v>16.600000000000001</c:v>
                </c:pt>
                <c:pt idx="175">
                  <c:v>16.600000000000001</c:v>
                </c:pt>
                <c:pt idx="176">
                  <c:v>16.600000000000001</c:v>
                </c:pt>
                <c:pt idx="177">
                  <c:v>16.600000000000001</c:v>
                </c:pt>
                <c:pt idx="178">
                  <c:v>16.600000000000001</c:v>
                </c:pt>
                <c:pt idx="179">
                  <c:v>17.8</c:v>
                </c:pt>
                <c:pt idx="180">
                  <c:v>17.8</c:v>
                </c:pt>
                <c:pt idx="181">
                  <c:v>17.8</c:v>
                </c:pt>
                <c:pt idx="182">
                  <c:v>17.8</c:v>
                </c:pt>
                <c:pt idx="183">
                  <c:v>17.8</c:v>
                </c:pt>
                <c:pt idx="184">
                  <c:v>17.8</c:v>
                </c:pt>
                <c:pt idx="185">
                  <c:v>17.8</c:v>
                </c:pt>
                <c:pt idx="186">
                  <c:v>17.8</c:v>
                </c:pt>
                <c:pt idx="187">
                  <c:v>15.2</c:v>
                </c:pt>
                <c:pt idx="188">
                  <c:v>15.2</c:v>
                </c:pt>
                <c:pt idx="189">
                  <c:v>15.2</c:v>
                </c:pt>
                <c:pt idx="190">
                  <c:v>15.2</c:v>
                </c:pt>
                <c:pt idx="191">
                  <c:v>15.2</c:v>
                </c:pt>
                <c:pt idx="192">
                  <c:v>15.2</c:v>
                </c:pt>
                <c:pt idx="193">
                  <c:v>15.6</c:v>
                </c:pt>
                <c:pt idx="194">
                  <c:v>15.6</c:v>
                </c:pt>
                <c:pt idx="195">
                  <c:v>14.4</c:v>
                </c:pt>
                <c:pt idx="196">
                  <c:v>12.6</c:v>
                </c:pt>
                <c:pt idx="197">
                  <c:v>12.6</c:v>
                </c:pt>
                <c:pt idx="198">
                  <c:v>12.6</c:v>
                </c:pt>
                <c:pt idx="199">
                  <c:v>17</c:v>
                </c:pt>
                <c:pt idx="200">
                  <c:v>17</c:v>
                </c:pt>
                <c:pt idx="201">
                  <c:v>14.7</c:v>
                </c:pt>
                <c:pt idx="202">
                  <c:v>14.7</c:v>
                </c:pt>
                <c:pt idx="203">
                  <c:v>14.7</c:v>
                </c:pt>
                <c:pt idx="204">
                  <c:v>14.7</c:v>
                </c:pt>
                <c:pt idx="205">
                  <c:v>18.600000000000001</c:v>
                </c:pt>
                <c:pt idx="206">
                  <c:v>18.600000000000001</c:v>
                </c:pt>
                <c:pt idx="207">
                  <c:v>18.600000000000001</c:v>
                </c:pt>
                <c:pt idx="208">
                  <c:v>18.600000000000001</c:v>
                </c:pt>
                <c:pt idx="209">
                  <c:v>18.600000000000001</c:v>
                </c:pt>
                <c:pt idx="210">
                  <c:v>18.600000000000001</c:v>
                </c:pt>
                <c:pt idx="211">
                  <c:v>18.600000000000001</c:v>
                </c:pt>
                <c:pt idx="212">
                  <c:v>18.600000000000001</c:v>
                </c:pt>
                <c:pt idx="213">
                  <c:v>18.600000000000001</c:v>
                </c:pt>
                <c:pt idx="214">
                  <c:v>18.600000000000001</c:v>
                </c:pt>
                <c:pt idx="215">
                  <c:v>18.600000000000001</c:v>
                </c:pt>
                <c:pt idx="216">
                  <c:v>16.399999999999999</c:v>
                </c:pt>
                <c:pt idx="217">
                  <c:v>16.399999999999999</c:v>
                </c:pt>
                <c:pt idx="218">
                  <c:v>16.399999999999999</c:v>
                </c:pt>
                <c:pt idx="219">
                  <c:v>16.399999999999999</c:v>
                </c:pt>
                <c:pt idx="220">
                  <c:v>17.399999999999999</c:v>
                </c:pt>
                <c:pt idx="221">
                  <c:v>17.399999999999999</c:v>
                </c:pt>
                <c:pt idx="222">
                  <c:v>17.399999999999999</c:v>
                </c:pt>
                <c:pt idx="223">
                  <c:v>17.399999999999999</c:v>
                </c:pt>
                <c:pt idx="224">
                  <c:v>17.399999999999999</c:v>
                </c:pt>
                <c:pt idx="225">
                  <c:v>17.399999999999999</c:v>
                </c:pt>
                <c:pt idx="226">
                  <c:v>17.399999999999999</c:v>
                </c:pt>
                <c:pt idx="227">
                  <c:v>17.399999999999999</c:v>
                </c:pt>
                <c:pt idx="228">
                  <c:v>17.399999999999999</c:v>
                </c:pt>
                <c:pt idx="229">
                  <c:v>17.399999999999999</c:v>
                </c:pt>
                <c:pt idx="230">
                  <c:v>17.399999999999999</c:v>
                </c:pt>
                <c:pt idx="231">
                  <c:v>17.399999999999999</c:v>
                </c:pt>
                <c:pt idx="232">
                  <c:v>17.399999999999999</c:v>
                </c:pt>
                <c:pt idx="233">
                  <c:v>17.399999999999999</c:v>
                </c:pt>
                <c:pt idx="234">
                  <c:v>17.399999999999999</c:v>
                </c:pt>
                <c:pt idx="235">
                  <c:v>17.399999999999999</c:v>
                </c:pt>
                <c:pt idx="236">
                  <c:v>17.399999999999999</c:v>
                </c:pt>
                <c:pt idx="237">
                  <c:v>17.399999999999999</c:v>
                </c:pt>
                <c:pt idx="238">
                  <c:v>16.600000000000001</c:v>
                </c:pt>
                <c:pt idx="239">
                  <c:v>16.600000000000001</c:v>
                </c:pt>
                <c:pt idx="240">
                  <c:v>16.600000000000001</c:v>
                </c:pt>
                <c:pt idx="241">
                  <c:v>16.600000000000001</c:v>
                </c:pt>
                <c:pt idx="242">
                  <c:v>16.600000000000001</c:v>
                </c:pt>
                <c:pt idx="243">
                  <c:v>16.600000000000001</c:v>
                </c:pt>
                <c:pt idx="244">
                  <c:v>19.100000000000001</c:v>
                </c:pt>
                <c:pt idx="245">
                  <c:v>19.100000000000001</c:v>
                </c:pt>
                <c:pt idx="246">
                  <c:v>19.100000000000001</c:v>
                </c:pt>
                <c:pt idx="247">
                  <c:v>19.100000000000001</c:v>
                </c:pt>
                <c:pt idx="248">
                  <c:v>19.100000000000001</c:v>
                </c:pt>
                <c:pt idx="249">
                  <c:v>19.100000000000001</c:v>
                </c:pt>
                <c:pt idx="250">
                  <c:v>19.100000000000001</c:v>
                </c:pt>
                <c:pt idx="251">
                  <c:v>19.100000000000001</c:v>
                </c:pt>
                <c:pt idx="252">
                  <c:v>19.100000000000001</c:v>
                </c:pt>
                <c:pt idx="253">
                  <c:v>19.100000000000001</c:v>
                </c:pt>
                <c:pt idx="254">
                  <c:v>16.399999999999999</c:v>
                </c:pt>
                <c:pt idx="255">
                  <c:v>16.399999999999999</c:v>
                </c:pt>
                <c:pt idx="256">
                  <c:v>15.9</c:v>
                </c:pt>
                <c:pt idx="257">
                  <c:v>13</c:v>
                </c:pt>
                <c:pt idx="258">
                  <c:v>13</c:v>
                </c:pt>
                <c:pt idx="259">
                  <c:v>13</c:v>
                </c:pt>
                <c:pt idx="260">
                  <c:v>13</c:v>
                </c:pt>
                <c:pt idx="261">
                  <c:v>13</c:v>
                </c:pt>
                <c:pt idx="262">
                  <c:v>13</c:v>
                </c:pt>
                <c:pt idx="263">
                  <c:v>13</c:v>
                </c:pt>
                <c:pt idx="264">
                  <c:v>13</c:v>
                </c:pt>
                <c:pt idx="265">
                  <c:v>13</c:v>
                </c:pt>
                <c:pt idx="266">
                  <c:v>13</c:v>
                </c:pt>
                <c:pt idx="267">
                  <c:v>13</c:v>
                </c:pt>
                <c:pt idx="268">
                  <c:v>13</c:v>
                </c:pt>
                <c:pt idx="269">
                  <c:v>18.600000000000001</c:v>
                </c:pt>
                <c:pt idx="270">
                  <c:v>18.600000000000001</c:v>
                </c:pt>
                <c:pt idx="271">
                  <c:v>18.600000000000001</c:v>
                </c:pt>
                <c:pt idx="272">
                  <c:v>18.600000000000001</c:v>
                </c:pt>
                <c:pt idx="273">
                  <c:v>18.600000000000001</c:v>
                </c:pt>
                <c:pt idx="274">
                  <c:v>17.600000000000001</c:v>
                </c:pt>
                <c:pt idx="275">
                  <c:v>17.600000000000001</c:v>
                </c:pt>
                <c:pt idx="276">
                  <c:v>17.600000000000001</c:v>
                </c:pt>
                <c:pt idx="277">
                  <c:v>17.600000000000001</c:v>
                </c:pt>
                <c:pt idx="278">
                  <c:v>17.600000000000001</c:v>
                </c:pt>
                <c:pt idx="279">
                  <c:v>14.9</c:v>
                </c:pt>
                <c:pt idx="280">
                  <c:v>14.9</c:v>
                </c:pt>
                <c:pt idx="281">
                  <c:v>14.9</c:v>
                </c:pt>
                <c:pt idx="282">
                  <c:v>14.9</c:v>
                </c:pt>
                <c:pt idx="283">
                  <c:v>13.6</c:v>
                </c:pt>
                <c:pt idx="284">
                  <c:v>15.3</c:v>
                </c:pt>
                <c:pt idx="285">
                  <c:v>15.3</c:v>
                </c:pt>
                <c:pt idx="286">
                  <c:v>18.2</c:v>
                </c:pt>
                <c:pt idx="287">
                  <c:v>16.600000000000001</c:v>
                </c:pt>
                <c:pt idx="288">
                  <c:v>16.600000000000001</c:v>
                </c:pt>
                <c:pt idx="289">
                  <c:v>16.600000000000001</c:v>
                </c:pt>
                <c:pt idx="290">
                  <c:v>19.2</c:v>
                </c:pt>
                <c:pt idx="291">
                  <c:v>19.2</c:v>
                </c:pt>
                <c:pt idx="292">
                  <c:v>19.2</c:v>
                </c:pt>
                <c:pt idx="293">
                  <c:v>16</c:v>
                </c:pt>
                <c:pt idx="294">
                  <c:v>16</c:v>
                </c:pt>
                <c:pt idx="295">
                  <c:v>16</c:v>
                </c:pt>
                <c:pt idx="296">
                  <c:v>16</c:v>
                </c:pt>
                <c:pt idx="297">
                  <c:v>16</c:v>
                </c:pt>
                <c:pt idx="298">
                  <c:v>14.8</c:v>
                </c:pt>
                <c:pt idx="299">
                  <c:v>14.8</c:v>
                </c:pt>
                <c:pt idx="300">
                  <c:v>14.8</c:v>
                </c:pt>
                <c:pt idx="301">
                  <c:v>16.100000000000001</c:v>
                </c:pt>
                <c:pt idx="302">
                  <c:v>16.100000000000001</c:v>
                </c:pt>
                <c:pt idx="303">
                  <c:v>16.100000000000001</c:v>
                </c:pt>
                <c:pt idx="304">
                  <c:v>18.399999999999999</c:v>
                </c:pt>
                <c:pt idx="305">
                  <c:v>18.399999999999999</c:v>
                </c:pt>
                <c:pt idx="306">
                  <c:v>18.399999999999999</c:v>
                </c:pt>
                <c:pt idx="307">
                  <c:v>18.399999999999999</c:v>
                </c:pt>
                <c:pt idx="308">
                  <c:v>18.399999999999999</c:v>
                </c:pt>
                <c:pt idx="309">
                  <c:v>18.399999999999999</c:v>
                </c:pt>
                <c:pt idx="310">
                  <c:v>18.399999999999999</c:v>
                </c:pt>
                <c:pt idx="311">
                  <c:v>18.399999999999999</c:v>
                </c:pt>
                <c:pt idx="312">
                  <c:v>18.399999999999999</c:v>
                </c:pt>
                <c:pt idx="313">
                  <c:v>18.399999999999999</c:v>
                </c:pt>
                <c:pt idx="314">
                  <c:v>18.399999999999999</c:v>
                </c:pt>
                <c:pt idx="315">
                  <c:v>18.399999999999999</c:v>
                </c:pt>
                <c:pt idx="316">
                  <c:v>18.399999999999999</c:v>
                </c:pt>
                <c:pt idx="317">
                  <c:v>18.399999999999999</c:v>
                </c:pt>
                <c:pt idx="318">
                  <c:v>18.399999999999999</c:v>
                </c:pt>
                <c:pt idx="319">
                  <c:v>18.399999999999999</c:v>
                </c:pt>
                <c:pt idx="320">
                  <c:v>19.600000000000001</c:v>
                </c:pt>
                <c:pt idx="321">
                  <c:v>19.600000000000001</c:v>
                </c:pt>
                <c:pt idx="322">
                  <c:v>19.600000000000001</c:v>
                </c:pt>
                <c:pt idx="323">
                  <c:v>19.600000000000001</c:v>
                </c:pt>
                <c:pt idx="324">
                  <c:v>19.600000000000001</c:v>
                </c:pt>
                <c:pt idx="325">
                  <c:v>19.600000000000001</c:v>
                </c:pt>
                <c:pt idx="326">
                  <c:v>19.600000000000001</c:v>
                </c:pt>
                <c:pt idx="327">
                  <c:v>19.600000000000001</c:v>
                </c:pt>
                <c:pt idx="328">
                  <c:v>16.899999999999999</c:v>
                </c:pt>
                <c:pt idx="329">
                  <c:v>16.899999999999999</c:v>
                </c:pt>
                <c:pt idx="330">
                  <c:v>16.899999999999999</c:v>
                </c:pt>
                <c:pt idx="331">
                  <c:v>16.899999999999999</c:v>
                </c:pt>
                <c:pt idx="332">
                  <c:v>16.899999999999999</c:v>
                </c:pt>
                <c:pt idx="333">
                  <c:v>20.2</c:v>
                </c:pt>
                <c:pt idx="334">
                  <c:v>20.2</c:v>
                </c:pt>
                <c:pt idx="335">
                  <c:v>20.2</c:v>
                </c:pt>
                <c:pt idx="336">
                  <c:v>20.2</c:v>
                </c:pt>
                <c:pt idx="337">
                  <c:v>20.2</c:v>
                </c:pt>
                <c:pt idx="338">
                  <c:v>20.2</c:v>
                </c:pt>
                <c:pt idx="339">
                  <c:v>20.2</c:v>
                </c:pt>
                <c:pt idx="340">
                  <c:v>20.2</c:v>
                </c:pt>
                <c:pt idx="341">
                  <c:v>15.5</c:v>
                </c:pt>
                <c:pt idx="342">
                  <c:v>15.9</c:v>
                </c:pt>
                <c:pt idx="343">
                  <c:v>17.600000000000001</c:v>
                </c:pt>
                <c:pt idx="344">
                  <c:v>17.600000000000001</c:v>
                </c:pt>
                <c:pt idx="345">
                  <c:v>18.8</c:v>
                </c:pt>
                <c:pt idx="346">
                  <c:v>18.8</c:v>
                </c:pt>
                <c:pt idx="347">
                  <c:v>17.899999999999999</c:v>
                </c:pt>
                <c:pt idx="348">
                  <c:v>17</c:v>
                </c:pt>
                <c:pt idx="349">
                  <c:v>19.7</c:v>
                </c:pt>
                <c:pt idx="350">
                  <c:v>19.7</c:v>
                </c:pt>
                <c:pt idx="351">
                  <c:v>18.3</c:v>
                </c:pt>
                <c:pt idx="352">
                  <c:v>18.3</c:v>
                </c:pt>
                <c:pt idx="353">
                  <c:v>17</c:v>
                </c:pt>
                <c:pt idx="354">
                  <c:v>22</c:v>
                </c:pt>
                <c:pt idx="355">
                  <c:v>22</c:v>
                </c:pt>
                <c:pt idx="356">
                  <c:v>20.2</c:v>
                </c:pt>
                <c:pt idx="357">
                  <c:v>20.2</c:v>
                </c:pt>
                <c:pt idx="358">
                  <c:v>20.2</c:v>
                </c:pt>
                <c:pt idx="359">
                  <c:v>20.2</c:v>
                </c:pt>
                <c:pt idx="360">
                  <c:v>20.2</c:v>
                </c:pt>
                <c:pt idx="361">
                  <c:v>20.2</c:v>
                </c:pt>
                <c:pt idx="362">
                  <c:v>20.2</c:v>
                </c:pt>
                <c:pt idx="363">
                  <c:v>20.2</c:v>
                </c:pt>
                <c:pt idx="364">
                  <c:v>20.2</c:v>
                </c:pt>
                <c:pt idx="365">
                  <c:v>20.2</c:v>
                </c:pt>
                <c:pt idx="366">
                  <c:v>20.2</c:v>
                </c:pt>
                <c:pt idx="367">
                  <c:v>20.2</c:v>
                </c:pt>
                <c:pt idx="368">
                  <c:v>20.2</c:v>
                </c:pt>
                <c:pt idx="369">
                  <c:v>20.2</c:v>
                </c:pt>
                <c:pt idx="370">
                  <c:v>20.2</c:v>
                </c:pt>
                <c:pt idx="371">
                  <c:v>20.2</c:v>
                </c:pt>
                <c:pt idx="372">
                  <c:v>20.2</c:v>
                </c:pt>
                <c:pt idx="373">
                  <c:v>20.2</c:v>
                </c:pt>
                <c:pt idx="374">
                  <c:v>20.2</c:v>
                </c:pt>
                <c:pt idx="375">
                  <c:v>20.2</c:v>
                </c:pt>
                <c:pt idx="376">
                  <c:v>20.2</c:v>
                </c:pt>
                <c:pt idx="377">
                  <c:v>20.2</c:v>
                </c:pt>
                <c:pt idx="378">
                  <c:v>20.2</c:v>
                </c:pt>
                <c:pt idx="379">
                  <c:v>20.2</c:v>
                </c:pt>
                <c:pt idx="380">
                  <c:v>20.2</c:v>
                </c:pt>
                <c:pt idx="381">
                  <c:v>20.2</c:v>
                </c:pt>
                <c:pt idx="382">
                  <c:v>20.2</c:v>
                </c:pt>
                <c:pt idx="383">
                  <c:v>20.2</c:v>
                </c:pt>
                <c:pt idx="384">
                  <c:v>20.2</c:v>
                </c:pt>
                <c:pt idx="385">
                  <c:v>20.2</c:v>
                </c:pt>
                <c:pt idx="386">
                  <c:v>20.2</c:v>
                </c:pt>
                <c:pt idx="387">
                  <c:v>20.2</c:v>
                </c:pt>
                <c:pt idx="388">
                  <c:v>20.2</c:v>
                </c:pt>
                <c:pt idx="389">
                  <c:v>20.2</c:v>
                </c:pt>
                <c:pt idx="390">
                  <c:v>20.2</c:v>
                </c:pt>
                <c:pt idx="391">
                  <c:v>20.2</c:v>
                </c:pt>
                <c:pt idx="392">
                  <c:v>20.2</c:v>
                </c:pt>
                <c:pt idx="393">
                  <c:v>20.2</c:v>
                </c:pt>
                <c:pt idx="394">
                  <c:v>20.2</c:v>
                </c:pt>
                <c:pt idx="395">
                  <c:v>20.2</c:v>
                </c:pt>
                <c:pt idx="396">
                  <c:v>20.2</c:v>
                </c:pt>
                <c:pt idx="397">
                  <c:v>20.2</c:v>
                </c:pt>
                <c:pt idx="398">
                  <c:v>20.2</c:v>
                </c:pt>
                <c:pt idx="399">
                  <c:v>20.2</c:v>
                </c:pt>
                <c:pt idx="400">
                  <c:v>20.2</c:v>
                </c:pt>
                <c:pt idx="401">
                  <c:v>20.2</c:v>
                </c:pt>
                <c:pt idx="402">
                  <c:v>20.2</c:v>
                </c:pt>
                <c:pt idx="403">
                  <c:v>20.2</c:v>
                </c:pt>
                <c:pt idx="404">
                  <c:v>20.2</c:v>
                </c:pt>
                <c:pt idx="405">
                  <c:v>20.2</c:v>
                </c:pt>
                <c:pt idx="406">
                  <c:v>20.2</c:v>
                </c:pt>
                <c:pt idx="407">
                  <c:v>20.2</c:v>
                </c:pt>
                <c:pt idx="408">
                  <c:v>20.2</c:v>
                </c:pt>
                <c:pt idx="409">
                  <c:v>20.2</c:v>
                </c:pt>
                <c:pt idx="410">
                  <c:v>20.2</c:v>
                </c:pt>
                <c:pt idx="411">
                  <c:v>20.2</c:v>
                </c:pt>
                <c:pt idx="412">
                  <c:v>20.2</c:v>
                </c:pt>
                <c:pt idx="413">
                  <c:v>20.2</c:v>
                </c:pt>
                <c:pt idx="414">
                  <c:v>20.2</c:v>
                </c:pt>
                <c:pt idx="415">
                  <c:v>20.2</c:v>
                </c:pt>
                <c:pt idx="416">
                  <c:v>20.2</c:v>
                </c:pt>
                <c:pt idx="417">
                  <c:v>20.2</c:v>
                </c:pt>
                <c:pt idx="418">
                  <c:v>20.2</c:v>
                </c:pt>
                <c:pt idx="419">
                  <c:v>20.2</c:v>
                </c:pt>
                <c:pt idx="420">
                  <c:v>20.2</c:v>
                </c:pt>
                <c:pt idx="421">
                  <c:v>20.2</c:v>
                </c:pt>
                <c:pt idx="422">
                  <c:v>20.2</c:v>
                </c:pt>
                <c:pt idx="423">
                  <c:v>20.2</c:v>
                </c:pt>
                <c:pt idx="424">
                  <c:v>20.2</c:v>
                </c:pt>
                <c:pt idx="425">
                  <c:v>20.2</c:v>
                </c:pt>
                <c:pt idx="426">
                  <c:v>20.2</c:v>
                </c:pt>
                <c:pt idx="427">
                  <c:v>20.2</c:v>
                </c:pt>
                <c:pt idx="428">
                  <c:v>20.2</c:v>
                </c:pt>
                <c:pt idx="429">
                  <c:v>20.2</c:v>
                </c:pt>
                <c:pt idx="430">
                  <c:v>20.2</c:v>
                </c:pt>
                <c:pt idx="431">
                  <c:v>20.2</c:v>
                </c:pt>
                <c:pt idx="432">
                  <c:v>20.2</c:v>
                </c:pt>
                <c:pt idx="433">
                  <c:v>20.2</c:v>
                </c:pt>
                <c:pt idx="434">
                  <c:v>20.2</c:v>
                </c:pt>
                <c:pt idx="435">
                  <c:v>20.2</c:v>
                </c:pt>
                <c:pt idx="436">
                  <c:v>20.2</c:v>
                </c:pt>
                <c:pt idx="437">
                  <c:v>20.2</c:v>
                </c:pt>
                <c:pt idx="438">
                  <c:v>20.2</c:v>
                </c:pt>
                <c:pt idx="439">
                  <c:v>20.2</c:v>
                </c:pt>
                <c:pt idx="440">
                  <c:v>20.2</c:v>
                </c:pt>
                <c:pt idx="441">
                  <c:v>20.2</c:v>
                </c:pt>
                <c:pt idx="442">
                  <c:v>20.2</c:v>
                </c:pt>
                <c:pt idx="443">
                  <c:v>20.2</c:v>
                </c:pt>
                <c:pt idx="444">
                  <c:v>20.2</c:v>
                </c:pt>
                <c:pt idx="445">
                  <c:v>20.2</c:v>
                </c:pt>
                <c:pt idx="446">
                  <c:v>20.2</c:v>
                </c:pt>
                <c:pt idx="447">
                  <c:v>20.2</c:v>
                </c:pt>
                <c:pt idx="448">
                  <c:v>20.2</c:v>
                </c:pt>
                <c:pt idx="449">
                  <c:v>20.2</c:v>
                </c:pt>
                <c:pt idx="450">
                  <c:v>20.2</c:v>
                </c:pt>
                <c:pt idx="451">
                  <c:v>20.2</c:v>
                </c:pt>
                <c:pt idx="452">
                  <c:v>20.2</c:v>
                </c:pt>
                <c:pt idx="453">
                  <c:v>20.2</c:v>
                </c:pt>
                <c:pt idx="454">
                  <c:v>20.2</c:v>
                </c:pt>
                <c:pt idx="455">
                  <c:v>20.2</c:v>
                </c:pt>
                <c:pt idx="456">
                  <c:v>20.2</c:v>
                </c:pt>
                <c:pt idx="457">
                  <c:v>20.2</c:v>
                </c:pt>
                <c:pt idx="458">
                  <c:v>20.2</c:v>
                </c:pt>
                <c:pt idx="459">
                  <c:v>20.2</c:v>
                </c:pt>
                <c:pt idx="460">
                  <c:v>20.2</c:v>
                </c:pt>
                <c:pt idx="461">
                  <c:v>20.2</c:v>
                </c:pt>
                <c:pt idx="462">
                  <c:v>20.2</c:v>
                </c:pt>
                <c:pt idx="463">
                  <c:v>20.2</c:v>
                </c:pt>
                <c:pt idx="464">
                  <c:v>20.2</c:v>
                </c:pt>
                <c:pt idx="465">
                  <c:v>20.2</c:v>
                </c:pt>
                <c:pt idx="466">
                  <c:v>20.2</c:v>
                </c:pt>
                <c:pt idx="467">
                  <c:v>20.2</c:v>
                </c:pt>
                <c:pt idx="468">
                  <c:v>20.2</c:v>
                </c:pt>
                <c:pt idx="469">
                  <c:v>20.2</c:v>
                </c:pt>
                <c:pt idx="470">
                  <c:v>20.2</c:v>
                </c:pt>
                <c:pt idx="471">
                  <c:v>20.2</c:v>
                </c:pt>
                <c:pt idx="472">
                  <c:v>20.2</c:v>
                </c:pt>
                <c:pt idx="473">
                  <c:v>20.2</c:v>
                </c:pt>
                <c:pt idx="474">
                  <c:v>20.2</c:v>
                </c:pt>
                <c:pt idx="475">
                  <c:v>20.2</c:v>
                </c:pt>
                <c:pt idx="476">
                  <c:v>20.2</c:v>
                </c:pt>
                <c:pt idx="477">
                  <c:v>20.2</c:v>
                </c:pt>
                <c:pt idx="478">
                  <c:v>20.2</c:v>
                </c:pt>
                <c:pt idx="479">
                  <c:v>20.2</c:v>
                </c:pt>
                <c:pt idx="480">
                  <c:v>20.2</c:v>
                </c:pt>
                <c:pt idx="481">
                  <c:v>20.2</c:v>
                </c:pt>
                <c:pt idx="482">
                  <c:v>20.2</c:v>
                </c:pt>
                <c:pt idx="483">
                  <c:v>20.2</c:v>
                </c:pt>
                <c:pt idx="484">
                  <c:v>20.2</c:v>
                </c:pt>
                <c:pt idx="485">
                  <c:v>20.2</c:v>
                </c:pt>
                <c:pt idx="486">
                  <c:v>20.2</c:v>
                </c:pt>
                <c:pt idx="487">
                  <c:v>20.2</c:v>
                </c:pt>
                <c:pt idx="488">
                  <c:v>20.100000000000001</c:v>
                </c:pt>
                <c:pt idx="489">
                  <c:v>20.100000000000001</c:v>
                </c:pt>
                <c:pt idx="490">
                  <c:v>20.100000000000001</c:v>
                </c:pt>
                <c:pt idx="491">
                  <c:v>20.100000000000001</c:v>
                </c:pt>
                <c:pt idx="492">
                  <c:v>20.100000000000001</c:v>
                </c:pt>
                <c:pt idx="493">
                  <c:v>19.2</c:v>
                </c:pt>
                <c:pt idx="494">
                  <c:v>19.2</c:v>
                </c:pt>
                <c:pt idx="495">
                  <c:v>19.2</c:v>
                </c:pt>
                <c:pt idx="496">
                  <c:v>19.2</c:v>
                </c:pt>
                <c:pt idx="497">
                  <c:v>19.2</c:v>
                </c:pt>
                <c:pt idx="498">
                  <c:v>19.2</c:v>
                </c:pt>
                <c:pt idx="499">
                  <c:v>19.2</c:v>
                </c:pt>
                <c:pt idx="500">
                  <c:v>19.2</c:v>
                </c:pt>
                <c:pt idx="501">
                  <c:v>21</c:v>
                </c:pt>
                <c:pt idx="502">
                  <c:v>21</c:v>
                </c:pt>
                <c:pt idx="503">
                  <c:v>21</c:v>
                </c:pt>
                <c:pt idx="504">
                  <c:v>21</c:v>
                </c:pt>
                <c:pt idx="505">
                  <c:v>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113152"/>
        <c:axId val="704936128"/>
      </c:lineChart>
      <c:catAx>
        <c:axId val="704113152"/>
        <c:scaling>
          <c:orientation val="minMax"/>
        </c:scaling>
        <c:delete val="0"/>
        <c:axPos val="b"/>
        <c:majorTickMark val="out"/>
        <c:minorTickMark val="none"/>
        <c:tickLblPos val="nextTo"/>
        <c:crossAx val="704936128"/>
        <c:crosses val="autoZero"/>
        <c:auto val="1"/>
        <c:lblAlgn val="ctr"/>
        <c:lblOffset val="100"/>
        <c:noMultiLvlLbl val="0"/>
      </c:catAx>
      <c:valAx>
        <c:axId val="7049361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7041131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보스턴주택가격!$L$2</c:f>
              <c:strCache>
                <c:ptCount val="1"/>
                <c:pt idx="0">
                  <c:v>흑인비율</c:v>
                </c:pt>
              </c:strCache>
            </c:strRef>
          </c:tx>
          <c:val>
            <c:numRef>
              <c:f>보스턴주택가격!$L$3:$L$508</c:f>
              <c:numCache>
                <c:formatCode>General</c:formatCode>
                <c:ptCount val="506"/>
                <c:pt idx="0">
                  <c:v>396.9</c:v>
                </c:pt>
                <c:pt idx="1">
                  <c:v>396.9</c:v>
                </c:pt>
                <c:pt idx="2">
                  <c:v>392.83</c:v>
                </c:pt>
                <c:pt idx="3">
                  <c:v>394.63</c:v>
                </c:pt>
                <c:pt idx="4">
                  <c:v>396.9</c:v>
                </c:pt>
                <c:pt idx="5">
                  <c:v>394.12</c:v>
                </c:pt>
                <c:pt idx="6">
                  <c:v>395.6</c:v>
                </c:pt>
                <c:pt idx="7">
                  <c:v>396.9</c:v>
                </c:pt>
                <c:pt idx="8">
                  <c:v>386.63</c:v>
                </c:pt>
                <c:pt idx="9">
                  <c:v>386.71</c:v>
                </c:pt>
                <c:pt idx="10">
                  <c:v>392.52</c:v>
                </c:pt>
                <c:pt idx="11">
                  <c:v>396.9</c:v>
                </c:pt>
                <c:pt idx="12">
                  <c:v>390.5</c:v>
                </c:pt>
                <c:pt idx="13">
                  <c:v>396.9</c:v>
                </c:pt>
                <c:pt idx="14">
                  <c:v>380.02</c:v>
                </c:pt>
                <c:pt idx="15">
                  <c:v>395.62</c:v>
                </c:pt>
                <c:pt idx="16">
                  <c:v>386.85</c:v>
                </c:pt>
                <c:pt idx="17">
                  <c:v>386.75</c:v>
                </c:pt>
                <c:pt idx="18">
                  <c:v>288.99</c:v>
                </c:pt>
                <c:pt idx="19">
                  <c:v>390.95</c:v>
                </c:pt>
                <c:pt idx="20">
                  <c:v>376.57</c:v>
                </c:pt>
                <c:pt idx="21">
                  <c:v>392.53</c:v>
                </c:pt>
                <c:pt idx="22">
                  <c:v>396.9</c:v>
                </c:pt>
                <c:pt idx="23">
                  <c:v>394.54</c:v>
                </c:pt>
                <c:pt idx="24">
                  <c:v>394.33</c:v>
                </c:pt>
                <c:pt idx="25">
                  <c:v>303.42</c:v>
                </c:pt>
                <c:pt idx="26">
                  <c:v>376.88</c:v>
                </c:pt>
                <c:pt idx="27">
                  <c:v>306.38</c:v>
                </c:pt>
                <c:pt idx="28">
                  <c:v>387.94</c:v>
                </c:pt>
                <c:pt idx="29">
                  <c:v>380.23</c:v>
                </c:pt>
                <c:pt idx="30">
                  <c:v>360.17</c:v>
                </c:pt>
                <c:pt idx="31">
                  <c:v>376.73</c:v>
                </c:pt>
                <c:pt idx="32">
                  <c:v>232.6</c:v>
                </c:pt>
                <c:pt idx="33">
                  <c:v>358.77</c:v>
                </c:pt>
                <c:pt idx="34">
                  <c:v>248.31</c:v>
                </c:pt>
                <c:pt idx="35">
                  <c:v>396.9</c:v>
                </c:pt>
                <c:pt idx="36">
                  <c:v>377.56</c:v>
                </c:pt>
                <c:pt idx="37">
                  <c:v>396.9</c:v>
                </c:pt>
                <c:pt idx="38">
                  <c:v>393.43</c:v>
                </c:pt>
                <c:pt idx="39">
                  <c:v>395.63</c:v>
                </c:pt>
                <c:pt idx="40">
                  <c:v>395.62</c:v>
                </c:pt>
                <c:pt idx="41">
                  <c:v>385.41</c:v>
                </c:pt>
                <c:pt idx="42">
                  <c:v>383.37</c:v>
                </c:pt>
                <c:pt idx="43">
                  <c:v>394.46</c:v>
                </c:pt>
                <c:pt idx="44">
                  <c:v>389.39</c:v>
                </c:pt>
                <c:pt idx="45">
                  <c:v>396.9</c:v>
                </c:pt>
                <c:pt idx="46">
                  <c:v>396.9</c:v>
                </c:pt>
                <c:pt idx="47">
                  <c:v>392.74</c:v>
                </c:pt>
                <c:pt idx="48">
                  <c:v>396.9</c:v>
                </c:pt>
                <c:pt idx="49">
                  <c:v>396.9</c:v>
                </c:pt>
                <c:pt idx="50">
                  <c:v>395.56</c:v>
                </c:pt>
                <c:pt idx="51">
                  <c:v>393.97</c:v>
                </c:pt>
                <c:pt idx="52">
                  <c:v>396.9</c:v>
                </c:pt>
                <c:pt idx="53">
                  <c:v>396.9</c:v>
                </c:pt>
                <c:pt idx="54">
                  <c:v>396.9</c:v>
                </c:pt>
                <c:pt idx="55">
                  <c:v>395.93</c:v>
                </c:pt>
                <c:pt idx="56">
                  <c:v>396.9</c:v>
                </c:pt>
                <c:pt idx="57">
                  <c:v>392.9</c:v>
                </c:pt>
                <c:pt idx="58">
                  <c:v>390.68</c:v>
                </c:pt>
                <c:pt idx="59">
                  <c:v>396.9</c:v>
                </c:pt>
                <c:pt idx="60">
                  <c:v>395.11</c:v>
                </c:pt>
                <c:pt idx="61">
                  <c:v>378.08</c:v>
                </c:pt>
                <c:pt idx="62">
                  <c:v>396.9</c:v>
                </c:pt>
                <c:pt idx="63">
                  <c:v>395.58</c:v>
                </c:pt>
                <c:pt idx="64">
                  <c:v>393.24</c:v>
                </c:pt>
                <c:pt idx="65">
                  <c:v>396.9</c:v>
                </c:pt>
                <c:pt idx="66">
                  <c:v>396.9</c:v>
                </c:pt>
                <c:pt idx="67">
                  <c:v>396.21</c:v>
                </c:pt>
                <c:pt idx="68">
                  <c:v>396.9</c:v>
                </c:pt>
                <c:pt idx="69">
                  <c:v>396.9</c:v>
                </c:pt>
                <c:pt idx="70">
                  <c:v>383.73</c:v>
                </c:pt>
                <c:pt idx="71">
                  <c:v>376.94</c:v>
                </c:pt>
                <c:pt idx="72">
                  <c:v>390.91</c:v>
                </c:pt>
                <c:pt idx="73">
                  <c:v>377.17</c:v>
                </c:pt>
                <c:pt idx="74">
                  <c:v>394.92</c:v>
                </c:pt>
                <c:pt idx="75">
                  <c:v>383.23</c:v>
                </c:pt>
                <c:pt idx="76">
                  <c:v>373.66</c:v>
                </c:pt>
                <c:pt idx="77">
                  <c:v>386.96</c:v>
                </c:pt>
                <c:pt idx="78">
                  <c:v>386.4</c:v>
                </c:pt>
                <c:pt idx="79">
                  <c:v>396.06</c:v>
                </c:pt>
                <c:pt idx="80">
                  <c:v>396.9</c:v>
                </c:pt>
                <c:pt idx="81">
                  <c:v>395.63</c:v>
                </c:pt>
                <c:pt idx="82">
                  <c:v>396.9</c:v>
                </c:pt>
                <c:pt idx="83">
                  <c:v>390.64</c:v>
                </c:pt>
                <c:pt idx="84">
                  <c:v>396.9</c:v>
                </c:pt>
                <c:pt idx="85">
                  <c:v>392.3</c:v>
                </c:pt>
                <c:pt idx="86">
                  <c:v>395.99</c:v>
                </c:pt>
                <c:pt idx="87">
                  <c:v>395.15</c:v>
                </c:pt>
                <c:pt idx="88">
                  <c:v>396.9</c:v>
                </c:pt>
                <c:pt idx="89">
                  <c:v>396.06</c:v>
                </c:pt>
                <c:pt idx="90">
                  <c:v>392.18</c:v>
                </c:pt>
                <c:pt idx="91">
                  <c:v>393.55</c:v>
                </c:pt>
                <c:pt idx="92">
                  <c:v>395.01</c:v>
                </c:pt>
                <c:pt idx="93">
                  <c:v>396.33</c:v>
                </c:pt>
                <c:pt idx="94">
                  <c:v>396.9</c:v>
                </c:pt>
                <c:pt idx="95">
                  <c:v>357.98</c:v>
                </c:pt>
                <c:pt idx="96">
                  <c:v>391.83</c:v>
                </c:pt>
                <c:pt idx="97">
                  <c:v>396.9</c:v>
                </c:pt>
                <c:pt idx="98">
                  <c:v>393.53</c:v>
                </c:pt>
                <c:pt idx="99">
                  <c:v>396.9</c:v>
                </c:pt>
                <c:pt idx="100">
                  <c:v>394.76</c:v>
                </c:pt>
                <c:pt idx="101">
                  <c:v>395.58</c:v>
                </c:pt>
                <c:pt idx="102">
                  <c:v>70.8</c:v>
                </c:pt>
                <c:pt idx="103">
                  <c:v>394.47</c:v>
                </c:pt>
                <c:pt idx="104">
                  <c:v>392.69</c:v>
                </c:pt>
                <c:pt idx="105">
                  <c:v>394.05</c:v>
                </c:pt>
                <c:pt idx="106">
                  <c:v>395.67</c:v>
                </c:pt>
                <c:pt idx="107">
                  <c:v>387.69</c:v>
                </c:pt>
                <c:pt idx="108">
                  <c:v>395.24</c:v>
                </c:pt>
                <c:pt idx="109">
                  <c:v>391.23</c:v>
                </c:pt>
                <c:pt idx="110">
                  <c:v>393.49</c:v>
                </c:pt>
                <c:pt idx="111">
                  <c:v>395.59</c:v>
                </c:pt>
                <c:pt idx="112">
                  <c:v>394.95</c:v>
                </c:pt>
                <c:pt idx="113">
                  <c:v>396.9</c:v>
                </c:pt>
                <c:pt idx="114">
                  <c:v>388.74</c:v>
                </c:pt>
                <c:pt idx="115">
                  <c:v>344.91</c:v>
                </c:pt>
                <c:pt idx="116">
                  <c:v>393.3</c:v>
                </c:pt>
                <c:pt idx="117">
                  <c:v>394.51</c:v>
                </c:pt>
                <c:pt idx="118">
                  <c:v>338.63</c:v>
                </c:pt>
                <c:pt idx="119">
                  <c:v>391.5</c:v>
                </c:pt>
                <c:pt idx="120">
                  <c:v>389.15</c:v>
                </c:pt>
                <c:pt idx="121">
                  <c:v>377.67</c:v>
                </c:pt>
                <c:pt idx="122">
                  <c:v>378.09</c:v>
                </c:pt>
                <c:pt idx="123">
                  <c:v>370.31</c:v>
                </c:pt>
                <c:pt idx="124">
                  <c:v>379.38</c:v>
                </c:pt>
                <c:pt idx="125">
                  <c:v>385.02</c:v>
                </c:pt>
                <c:pt idx="126">
                  <c:v>359.29</c:v>
                </c:pt>
                <c:pt idx="127">
                  <c:v>392.11</c:v>
                </c:pt>
                <c:pt idx="128">
                  <c:v>396.9</c:v>
                </c:pt>
                <c:pt idx="129">
                  <c:v>396.9</c:v>
                </c:pt>
                <c:pt idx="130">
                  <c:v>395.04</c:v>
                </c:pt>
                <c:pt idx="131">
                  <c:v>396.9</c:v>
                </c:pt>
                <c:pt idx="132">
                  <c:v>385.76</c:v>
                </c:pt>
                <c:pt idx="133">
                  <c:v>388.69</c:v>
                </c:pt>
                <c:pt idx="134">
                  <c:v>262.76</c:v>
                </c:pt>
                <c:pt idx="135">
                  <c:v>394.67</c:v>
                </c:pt>
                <c:pt idx="136">
                  <c:v>378.25</c:v>
                </c:pt>
                <c:pt idx="137">
                  <c:v>394.08</c:v>
                </c:pt>
                <c:pt idx="138">
                  <c:v>392.04</c:v>
                </c:pt>
                <c:pt idx="139">
                  <c:v>396.9</c:v>
                </c:pt>
                <c:pt idx="140">
                  <c:v>388.08</c:v>
                </c:pt>
                <c:pt idx="141">
                  <c:v>396.9</c:v>
                </c:pt>
                <c:pt idx="142">
                  <c:v>396.9</c:v>
                </c:pt>
                <c:pt idx="143">
                  <c:v>396.9</c:v>
                </c:pt>
                <c:pt idx="144">
                  <c:v>396.9</c:v>
                </c:pt>
                <c:pt idx="145">
                  <c:v>172.91</c:v>
                </c:pt>
                <c:pt idx="146">
                  <c:v>169.27</c:v>
                </c:pt>
                <c:pt idx="147">
                  <c:v>391.71</c:v>
                </c:pt>
                <c:pt idx="148">
                  <c:v>356.99</c:v>
                </c:pt>
                <c:pt idx="149">
                  <c:v>351.85</c:v>
                </c:pt>
                <c:pt idx="150">
                  <c:v>372.8</c:v>
                </c:pt>
                <c:pt idx="151">
                  <c:v>341.6</c:v>
                </c:pt>
                <c:pt idx="152">
                  <c:v>343.28</c:v>
                </c:pt>
                <c:pt idx="153">
                  <c:v>261.95</c:v>
                </c:pt>
                <c:pt idx="154">
                  <c:v>321.02</c:v>
                </c:pt>
                <c:pt idx="155">
                  <c:v>88.01</c:v>
                </c:pt>
                <c:pt idx="156">
                  <c:v>88.63</c:v>
                </c:pt>
                <c:pt idx="157">
                  <c:v>363.43</c:v>
                </c:pt>
                <c:pt idx="158">
                  <c:v>353.89</c:v>
                </c:pt>
                <c:pt idx="159">
                  <c:v>364.31</c:v>
                </c:pt>
                <c:pt idx="160">
                  <c:v>338.92</c:v>
                </c:pt>
                <c:pt idx="161">
                  <c:v>374.43</c:v>
                </c:pt>
                <c:pt idx="162">
                  <c:v>389.61</c:v>
                </c:pt>
                <c:pt idx="163">
                  <c:v>388.45</c:v>
                </c:pt>
                <c:pt idx="164">
                  <c:v>395.11</c:v>
                </c:pt>
                <c:pt idx="165">
                  <c:v>240.16</c:v>
                </c:pt>
                <c:pt idx="166">
                  <c:v>369.3</c:v>
                </c:pt>
                <c:pt idx="167">
                  <c:v>227.61</c:v>
                </c:pt>
                <c:pt idx="168">
                  <c:v>297.08999999999997</c:v>
                </c:pt>
                <c:pt idx="169">
                  <c:v>330.04</c:v>
                </c:pt>
                <c:pt idx="170">
                  <c:v>292.29000000000002</c:v>
                </c:pt>
                <c:pt idx="171">
                  <c:v>348.13</c:v>
                </c:pt>
                <c:pt idx="172">
                  <c:v>396.9</c:v>
                </c:pt>
                <c:pt idx="173">
                  <c:v>395.5</c:v>
                </c:pt>
                <c:pt idx="174">
                  <c:v>393.23</c:v>
                </c:pt>
                <c:pt idx="175">
                  <c:v>390.96</c:v>
                </c:pt>
                <c:pt idx="176">
                  <c:v>393.23</c:v>
                </c:pt>
                <c:pt idx="177">
                  <c:v>395.6</c:v>
                </c:pt>
                <c:pt idx="178">
                  <c:v>391.27</c:v>
                </c:pt>
                <c:pt idx="179">
                  <c:v>396.9</c:v>
                </c:pt>
                <c:pt idx="180">
                  <c:v>395.56</c:v>
                </c:pt>
                <c:pt idx="181">
                  <c:v>396.9</c:v>
                </c:pt>
                <c:pt idx="182">
                  <c:v>394.12</c:v>
                </c:pt>
                <c:pt idx="183">
                  <c:v>396.9</c:v>
                </c:pt>
                <c:pt idx="184">
                  <c:v>391</c:v>
                </c:pt>
                <c:pt idx="185">
                  <c:v>387.11</c:v>
                </c:pt>
                <c:pt idx="186">
                  <c:v>392.63</c:v>
                </c:pt>
                <c:pt idx="187">
                  <c:v>393.87</c:v>
                </c:pt>
                <c:pt idx="188">
                  <c:v>382.84</c:v>
                </c:pt>
                <c:pt idx="189">
                  <c:v>396.9</c:v>
                </c:pt>
                <c:pt idx="190">
                  <c:v>377.68</c:v>
                </c:pt>
                <c:pt idx="191">
                  <c:v>389.71</c:v>
                </c:pt>
                <c:pt idx="192">
                  <c:v>390.49</c:v>
                </c:pt>
                <c:pt idx="193">
                  <c:v>393.37</c:v>
                </c:pt>
                <c:pt idx="194">
                  <c:v>376.7</c:v>
                </c:pt>
                <c:pt idx="195">
                  <c:v>394.23</c:v>
                </c:pt>
                <c:pt idx="196">
                  <c:v>396.9</c:v>
                </c:pt>
                <c:pt idx="197">
                  <c:v>354.31</c:v>
                </c:pt>
                <c:pt idx="198">
                  <c:v>392.2</c:v>
                </c:pt>
                <c:pt idx="199">
                  <c:v>396.9</c:v>
                </c:pt>
                <c:pt idx="200">
                  <c:v>384.3</c:v>
                </c:pt>
                <c:pt idx="201">
                  <c:v>393.77</c:v>
                </c:pt>
                <c:pt idx="202">
                  <c:v>395.38</c:v>
                </c:pt>
                <c:pt idx="203">
                  <c:v>392.78</c:v>
                </c:pt>
                <c:pt idx="204">
                  <c:v>390.55</c:v>
                </c:pt>
                <c:pt idx="205">
                  <c:v>396.9</c:v>
                </c:pt>
                <c:pt idx="206">
                  <c:v>394.87</c:v>
                </c:pt>
                <c:pt idx="207">
                  <c:v>389.43</c:v>
                </c:pt>
                <c:pt idx="208">
                  <c:v>381.32</c:v>
                </c:pt>
                <c:pt idx="209">
                  <c:v>396.9</c:v>
                </c:pt>
                <c:pt idx="210">
                  <c:v>393.25</c:v>
                </c:pt>
                <c:pt idx="211">
                  <c:v>395.24</c:v>
                </c:pt>
                <c:pt idx="212">
                  <c:v>390.94</c:v>
                </c:pt>
                <c:pt idx="213">
                  <c:v>385.81</c:v>
                </c:pt>
                <c:pt idx="214">
                  <c:v>348.93</c:v>
                </c:pt>
                <c:pt idx="215">
                  <c:v>393.63</c:v>
                </c:pt>
                <c:pt idx="216">
                  <c:v>392.8</c:v>
                </c:pt>
                <c:pt idx="217">
                  <c:v>392.78</c:v>
                </c:pt>
                <c:pt idx="218">
                  <c:v>396.9</c:v>
                </c:pt>
                <c:pt idx="219">
                  <c:v>393.74</c:v>
                </c:pt>
                <c:pt idx="220">
                  <c:v>391.7</c:v>
                </c:pt>
                <c:pt idx="221">
                  <c:v>395.24</c:v>
                </c:pt>
                <c:pt idx="222">
                  <c:v>390.39</c:v>
                </c:pt>
                <c:pt idx="223">
                  <c:v>396.9</c:v>
                </c:pt>
                <c:pt idx="224">
                  <c:v>385.05</c:v>
                </c:pt>
                <c:pt idx="225">
                  <c:v>382</c:v>
                </c:pt>
                <c:pt idx="226">
                  <c:v>387.38</c:v>
                </c:pt>
                <c:pt idx="227">
                  <c:v>372.08</c:v>
                </c:pt>
                <c:pt idx="228">
                  <c:v>377.51</c:v>
                </c:pt>
                <c:pt idx="229">
                  <c:v>380.34</c:v>
                </c:pt>
                <c:pt idx="230">
                  <c:v>378.35</c:v>
                </c:pt>
                <c:pt idx="231">
                  <c:v>376.14</c:v>
                </c:pt>
                <c:pt idx="232">
                  <c:v>385.91</c:v>
                </c:pt>
                <c:pt idx="233">
                  <c:v>378.95</c:v>
                </c:pt>
                <c:pt idx="234">
                  <c:v>360.2</c:v>
                </c:pt>
                <c:pt idx="235">
                  <c:v>376.75</c:v>
                </c:pt>
                <c:pt idx="236">
                  <c:v>388.45</c:v>
                </c:pt>
                <c:pt idx="237">
                  <c:v>390.07</c:v>
                </c:pt>
                <c:pt idx="238">
                  <c:v>379.41</c:v>
                </c:pt>
                <c:pt idx="239">
                  <c:v>383.78</c:v>
                </c:pt>
                <c:pt idx="240">
                  <c:v>391.25</c:v>
                </c:pt>
                <c:pt idx="241">
                  <c:v>394.62</c:v>
                </c:pt>
                <c:pt idx="242">
                  <c:v>372.75</c:v>
                </c:pt>
                <c:pt idx="243">
                  <c:v>374.71</c:v>
                </c:pt>
                <c:pt idx="244">
                  <c:v>372.49</c:v>
                </c:pt>
                <c:pt idx="245">
                  <c:v>389.13</c:v>
                </c:pt>
                <c:pt idx="246">
                  <c:v>390.18</c:v>
                </c:pt>
                <c:pt idx="247">
                  <c:v>376.14</c:v>
                </c:pt>
                <c:pt idx="248">
                  <c:v>374.71</c:v>
                </c:pt>
                <c:pt idx="249">
                  <c:v>393.74</c:v>
                </c:pt>
                <c:pt idx="250">
                  <c:v>396.28</c:v>
                </c:pt>
                <c:pt idx="251">
                  <c:v>377.07</c:v>
                </c:pt>
                <c:pt idx="252">
                  <c:v>386.09</c:v>
                </c:pt>
                <c:pt idx="253">
                  <c:v>396.9</c:v>
                </c:pt>
                <c:pt idx="254">
                  <c:v>392.89</c:v>
                </c:pt>
                <c:pt idx="255">
                  <c:v>395.18</c:v>
                </c:pt>
                <c:pt idx="256">
                  <c:v>386.34</c:v>
                </c:pt>
                <c:pt idx="257">
                  <c:v>389.7</c:v>
                </c:pt>
                <c:pt idx="258">
                  <c:v>383.29</c:v>
                </c:pt>
                <c:pt idx="259">
                  <c:v>391.93</c:v>
                </c:pt>
                <c:pt idx="260">
                  <c:v>392.8</c:v>
                </c:pt>
                <c:pt idx="261">
                  <c:v>388.37</c:v>
                </c:pt>
                <c:pt idx="262">
                  <c:v>386.86</c:v>
                </c:pt>
                <c:pt idx="263">
                  <c:v>393.42</c:v>
                </c:pt>
                <c:pt idx="264">
                  <c:v>387.89</c:v>
                </c:pt>
                <c:pt idx="265">
                  <c:v>392.4</c:v>
                </c:pt>
                <c:pt idx="266">
                  <c:v>384.07</c:v>
                </c:pt>
                <c:pt idx="267">
                  <c:v>384.54</c:v>
                </c:pt>
                <c:pt idx="268">
                  <c:v>390.3</c:v>
                </c:pt>
                <c:pt idx="269">
                  <c:v>391.34</c:v>
                </c:pt>
                <c:pt idx="270">
                  <c:v>388.65</c:v>
                </c:pt>
                <c:pt idx="271">
                  <c:v>396.9</c:v>
                </c:pt>
                <c:pt idx="272">
                  <c:v>394.96</c:v>
                </c:pt>
                <c:pt idx="273">
                  <c:v>390.77</c:v>
                </c:pt>
                <c:pt idx="274">
                  <c:v>396.9</c:v>
                </c:pt>
                <c:pt idx="275">
                  <c:v>396.9</c:v>
                </c:pt>
                <c:pt idx="276">
                  <c:v>389.25</c:v>
                </c:pt>
                <c:pt idx="277">
                  <c:v>393.45</c:v>
                </c:pt>
                <c:pt idx="278">
                  <c:v>396.9</c:v>
                </c:pt>
                <c:pt idx="279">
                  <c:v>396.9</c:v>
                </c:pt>
                <c:pt idx="280">
                  <c:v>387.31</c:v>
                </c:pt>
                <c:pt idx="281">
                  <c:v>392.23</c:v>
                </c:pt>
                <c:pt idx="282">
                  <c:v>377.07</c:v>
                </c:pt>
                <c:pt idx="283">
                  <c:v>395.52</c:v>
                </c:pt>
                <c:pt idx="284">
                  <c:v>394.72</c:v>
                </c:pt>
                <c:pt idx="285">
                  <c:v>394.72</c:v>
                </c:pt>
                <c:pt idx="286">
                  <c:v>341.6</c:v>
                </c:pt>
                <c:pt idx="287">
                  <c:v>396.9</c:v>
                </c:pt>
                <c:pt idx="288">
                  <c:v>396.9</c:v>
                </c:pt>
                <c:pt idx="289">
                  <c:v>371.72</c:v>
                </c:pt>
                <c:pt idx="290">
                  <c:v>396.9</c:v>
                </c:pt>
                <c:pt idx="291">
                  <c:v>396.9</c:v>
                </c:pt>
                <c:pt idx="292">
                  <c:v>396.9</c:v>
                </c:pt>
                <c:pt idx="293">
                  <c:v>396.9</c:v>
                </c:pt>
                <c:pt idx="294">
                  <c:v>396.9</c:v>
                </c:pt>
                <c:pt idx="295">
                  <c:v>396.9</c:v>
                </c:pt>
                <c:pt idx="296">
                  <c:v>392.85</c:v>
                </c:pt>
                <c:pt idx="297">
                  <c:v>396.9</c:v>
                </c:pt>
                <c:pt idx="298">
                  <c:v>368.24</c:v>
                </c:pt>
                <c:pt idx="299">
                  <c:v>371.58</c:v>
                </c:pt>
                <c:pt idx="300">
                  <c:v>390.86</c:v>
                </c:pt>
                <c:pt idx="301">
                  <c:v>395.75</c:v>
                </c:pt>
                <c:pt idx="302">
                  <c:v>383.61</c:v>
                </c:pt>
                <c:pt idx="303">
                  <c:v>390.43</c:v>
                </c:pt>
                <c:pt idx="304">
                  <c:v>393.68</c:v>
                </c:pt>
                <c:pt idx="305">
                  <c:v>393.36</c:v>
                </c:pt>
                <c:pt idx="306">
                  <c:v>396.9</c:v>
                </c:pt>
                <c:pt idx="307">
                  <c:v>396.9</c:v>
                </c:pt>
                <c:pt idx="308">
                  <c:v>396.9</c:v>
                </c:pt>
                <c:pt idx="309">
                  <c:v>396.24</c:v>
                </c:pt>
                <c:pt idx="310">
                  <c:v>350.45</c:v>
                </c:pt>
                <c:pt idx="311">
                  <c:v>396.9</c:v>
                </c:pt>
                <c:pt idx="312">
                  <c:v>396.3</c:v>
                </c:pt>
                <c:pt idx="313">
                  <c:v>393.39</c:v>
                </c:pt>
                <c:pt idx="314">
                  <c:v>395.69</c:v>
                </c:pt>
                <c:pt idx="315">
                  <c:v>396.42</c:v>
                </c:pt>
                <c:pt idx="316">
                  <c:v>390.7</c:v>
                </c:pt>
                <c:pt idx="317">
                  <c:v>396.9</c:v>
                </c:pt>
                <c:pt idx="318">
                  <c:v>395.21</c:v>
                </c:pt>
                <c:pt idx="319">
                  <c:v>396.23</c:v>
                </c:pt>
                <c:pt idx="320">
                  <c:v>396.9</c:v>
                </c:pt>
                <c:pt idx="321">
                  <c:v>396.9</c:v>
                </c:pt>
                <c:pt idx="322">
                  <c:v>396.9</c:v>
                </c:pt>
                <c:pt idx="323">
                  <c:v>391.13</c:v>
                </c:pt>
                <c:pt idx="324">
                  <c:v>396.9</c:v>
                </c:pt>
                <c:pt idx="325">
                  <c:v>393.68</c:v>
                </c:pt>
                <c:pt idx="326">
                  <c:v>396.9</c:v>
                </c:pt>
                <c:pt idx="327">
                  <c:v>396.9</c:v>
                </c:pt>
                <c:pt idx="328">
                  <c:v>382.44</c:v>
                </c:pt>
                <c:pt idx="329">
                  <c:v>375.21</c:v>
                </c:pt>
                <c:pt idx="330">
                  <c:v>368.57</c:v>
                </c:pt>
                <c:pt idx="331">
                  <c:v>394.02</c:v>
                </c:pt>
                <c:pt idx="332">
                  <c:v>362.25</c:v>
                </c:pt>
                <c:pt idx="333">
                  <c:v>389.71</c:v>
                </c:pt>
                <c:pt idx="334">
                  <c:v>389.4</c:v>
                </c:pt>
                <c:pt idx="335">
                  <c:v>396.9</c:v>
                </c:pt>
                <c:pt idx="336">
                  <c:v>396.9</c:v>
                </c:pt>
                <c:pt idx="337">
                  <c:v>394.81</c:v>
                </c:pt>
                <c:pt idx="338">
                  <c:v>396.14</c:v>
                </c:pt>
                <c:pt idx="339">
                  <c:v>396.9</c:v>
                </c:pt>
                <c:pt idx="340">
                  <c:v>396.9</c:v>
                </c:pt>
                <c:pt idx="341">
                  <c:v>394.74</c:v>
                </c:pt>
                <c:pt idx="342">
                  <c:v>389.96</c:v>
                </c:pt>
                <c:pt idx="343">
                  <c:v>396.9</c:v>
                </c:pt>
                <c:pt idx="344">
                  <c:v>387.97</c:v>
                </c:pt>
                <c:pt idx="345">
                  <c:v>385.64</c:v>
                </c:pt>
                <c:pt idx="346">
                  <c:v>364.61</c:v>
                </c:pt>
                <c:pt idx="347">
                  <c:v>392.43</c:v>
                </c:pt>
                <c:pt idx="348">
                  <c:v>390.94</c:v>
                </c:pt>
                <c:pt idx="349">
                  <c:v>389.85</c:v>
                </c:pt>
                <c:pt idx="350">
                  <c:v>396.9</c:v>
                </c:pt>
                <c:pt idx="351">
                  <c:v>370.78</c:v>
                </c:pt>
                <c:pt idx="352">
                  <c:v>392.33</c:v>
                </c:pt>
                <c:pt idx="353">
                  <c:v>384.46</c:v>
                </c:pt>
                <c:pt idx="354">
                  <c:v>382.8</c:v>
                </c:pt>
                <c:pt idx="355">
                  <c:v>376.04</c:v>
                </c:pt>
                <c:pt idx="356">
                  <c:v>377.73</c:v>
                </c:pt>
                <c:pt idx="357">
                  <c:v>391.34</c:v>
                </c:pt>
                <c:pt idx="358">
                  <c:v>395.43</c:v>
                </c:pt>
                <c:pt idx="359">
                  <c:v>390.74</c:v>
                </c:pt>
                <c:pt idx="360">
                  <c:v>374.56</c:v>
                </c:pt>
                <c:pt idx="361">
                  <c:v>350.65</c:v>
                </c:pt>
                <c:pt idx="362">
                  <c:v>380.79</c:v>
                </c:pt>
                <c:pt idx="363">
                  <c:v>353.04</c:v>
                </c:pt>
                <c:pt idx="364">
                  <c:v>354.55</c:v>
                </c:pt>
                <c:pt idx="365">
                  <c:v>354.7</c:v>
                </c:pt>
                <c:pt idx="366">
                  <c:v>316.02999999999997</c:v>
                </c:pt>
                <c:pt idx="367">
                  <c:v>131.41999999999999</c:v>
                </c:pt>
                <c:pt idx="368">
                  <c:v>375.52</c:v>
                </c:pt>
                <c:pt idx="369">
                  <c:v>375.33</c:v>
                </c:pt>
                <c:pt idx="370">
                  <c:v>392.05</c:v>
                </c:pt>
                <c:pt idx="371">
                  <c:v>366.15</c:v>
                </c:pt>
                <c:pt idx="372">
                  <c:v>347.88</c:v>
                </c:pt>
                <c:pt idx="373">
                  <c:v>396.9</c:v>
                </c:pt>
                <c:pt idx="374">
                  <c:v>396.9</c:v>
                </c:pt>
                <c:pt idx="375">
                  <c:v>396.9</c:v>
                </c:pt>
                <c:pt idx="376">
                  <c:v>363.02</c:v>
                </c:pt>
                <c:pt idx="377">
                  <c:v>396.9</c:v>
                </c:pt>
                <c:pt idx="378">
                  <c:v>396.9</c:v>
                </c:pt>
                <c:pt idx="379">
                  <c:v>393.74</c:v>
                </c:pt>
                <c:pt idx="380">
                  <c:v>396.9</c:v>
                </c:pt>
                <c:pt idx="381">
                  <c:v>396.9</c:v>
                </c:pt>
                <c:pt idx="382">
                  <c:v>396.9</c:v>
                </c:pt>
                <c:pt idx="383">
                  <c:v>396.9</c:v>
                </c:pt>
                <c:pt idx="384">
                  <c:v>285.83</c:v>
                </c:pt>
                <c:pt idx="385">
                  <c:v>396.9</c:v>
                </c:pt>
                <c:pt idx="386">
                  <c:v>396.9</c:v>
                </c:pt>
                <c:pt idx="387">
                  <c:v>396.9</c:v>
                </c:pt>
                <c:pt idx="388">
                  <c:v>372.92</c:v>
                </c:pt>
                <c:pt idx="389">
                  <c:v>396.9</c:v>
                </c:pt>
                <c:pt idx="390">
                  <c:v>394.43</c:v>
                </c:pt>
                <c:pt idx="391">
                  <c:v>378.38</c:v>
                </c:pt>
                <c:pt idx="392">
                  <c:v>396.9</c:v>
                </c:pt>
                <c:pt idx="393">
                  <c:v>396.9</c:v>
                </c:pt>
                <c:pt idx="394">
                  <c:v>396.9</c:v>
                </c:pt>
                <c:pt idx="395">
                  <c:v>391.98</c:v>
                </c:pt>
                <c:pt idx="396">
                  <c:v>396.9</c:v>
                </c:pt>
                <c:pt idx="397">
                  <c:v>393.1</c:v>
                </c:pt>
                <c:pt idx="398">
                  <c:v>396.9</c:v>
                </c:pt>
                <c:pt idx="399">
                  <c:v>338.16</c:v>
                </c:pt>
                <c:pt idx="400">
                  <c:v>396.9</c:v>
                </c:pt>
                <c:pt idx="401">
                  <c:v>396.9</c:v>
                </c:pt>
                <c:pt idx="402">
                  <c:v>376.11</c:v>
                </c:pt>
                <c:pt idx="403">
                  <c:v>396.9</c:v>
                </c:pt>
                <c:pt idx="404">
                  <c:v>329.46</c:v>
                </c:pt>
                <c:pt idx="405">
                  <c:v>384.97</c:v>
                </c:pt>
                <c:pt idx="406">
                  <c:v>370.22</c:v>
                </c:pt>
                <c:pt idx="407">
                  <c:v>332.09</c:v>
                </c:pt>
                <c:pt idx="408">
                  <c:v>314.64</c:v>
                </c:pt>
                <c:pt idx="409">
                  <c:v>179.36</c:v>
                </c:pt>
                <c:pt idx="410">
                  <c:v>2.6</c:v>
                </c:pt>
                <c:pt idx="411">
                  <c:v>35.049999999999997</c:v>
                </c:pt>
                <c:pt idx="412">
                  <c:v>28.79</c:v>
                </c:pt>
                <c:pt idx="413">
                  <c:v>210.97</c:v>
                </c:pt>
                <c:pt idx="414">
                  <c:v>88.27</c:v>
                </c:pt>
                <c:pt idx="415">
                  <c:v>27.25</c:v>
                </c:pt>
                <c:pt idx="416">
                  <c:v>21.57</c:v>
                </c:pt>
                <c:pt idx="417">
                  <c:v>127.36</c:v>
                </c:pt>
                <c:pt idx="418">
                  <c:v>16.45</c:v>
                </c:pt>
                <c:pt idx="419">
                  <c:v>48.45</c:v>
                </c:pt>
                <c:pt idx="420">
                  <c:v>318.75</c:v>
                </c:pt>
                <c:pt idx="421">
                  <c:v>319.98</c:v>
                </c:pt>
                <c:pt idx="422">
                  <c:v>291.55</c:v>
                </c:pt>
                <c:pt idx="423">
                  <c:v>2.52</c:v>
                </c:pt>
                <c:pt idx="424">
                  <c:v>3.65</c:v>
                </c:pt>
                <c:pt idx="425">
                  <c:v>7.68</c:v>
                </c:pt>
                <c:pt idx="426">
                  <c:v>24.65</c:v>
                </c:pt>
                <c:pt idx="427">
                  <c:v>18.82</c:v>
                </c:pt>
                <c:pt idx="428">
                  <c:v>96.73</c:v>
                </c:pt>
                <c:pt idx="429">
                  <c:v>60.72</c:v>
                </c:pt>
                <c:pt idx="430">
                  <c:v>83.45</c:v>
                </c:pt>
                <c:pt idx="431">
                  <c:v>81.33</c:v>
                </c:pt>
                <c:pt idx="432">
                  <c:v>97.95</c:v>
                </c:pt>
                <c:pt idx="433">
                  <c:v>100.19</c:v>
                </c:pt>
                <c:pt idx="434">
                  <c:v>100.63</c:v>
                </c:pt>
                <c:pt idx="435">
                  <c:v>109.85</c:v>
                </c:pt>
                <c:pt idx="436">
                  <c:v>27.49</c:v>
                </c:pt>
                <c:pt idx="437">
                  <c:v>9.32</c:v>
                </c:pt>
                <c:pt idx="438">
                  <c:v>68.95</c:v>
                </c:pt>
                <c:pt idx="439">
                  <c:v>396.9</c:v>
                </c:pt>
                <c:pt idx="440">
                  <c:v>391.45</c:v>
                </c:pt>
                <c:pt idx="441">
                  <c:v>385.96</c:v>
                </c:pt>
                <c:pt idx="442">
                  <c:v>395.69</c:v>
                </c:pt>
                <c:pt idx="443">
                  <c:v>386.73</c:v>
                </c:pt>
                <c:pt idx="444">
                  <c:v>240.52</c:v>
                </c:pt>
                <c:pt idx="445">
                  <c:v>43.06</c:v>
                </c:pt>
                <c:pt idx="446">
                  <c:v>318.01</c:v>
                </c:pt>
                <c:pt idx="447">
                  <c:v>388.52</c:v>
                </c:pt>
                <c:pt idx="448">
                  <c:v>396.9</c:v>
                </c:pt>
                <c:pt idx="449">
                  <c:v>304.20999999999998</c:v>
                </c:pt>
                <c:pt idx="450">
                  <c:v>0.32</c:v>
                </c:pt>
                <c:pt idx="451">
                  <c:v>355.29</c:v>
                </c:pt>
                <c:pt idx="452">
                  <c:v>385.09</c:v>
                </c:pt>
                <c:pt idx="453">
                  <c:v>375.87</c:v>
                </c:pt>
                <c:pt idx="454">
                  <c:v>6.68</c:v>
                </c:pt>
                <c:pt idx="455">
                  <c:v>50.92</c:v>
                </c:pt>
                <c:pt idx="456">
                  <c:v>10.48</c:v>
                </c:pt>
                <c:pt idx="457">
                  <c:v>3.5</c:v>
                </c:pt>
                <c:pt idx="458">
                  <c:v>272.20999999999998</c:v>
                </c:pt>
                <c:pt idx="459">
                  <c:v>396.9</c:v>
                </c:pt>
                <c:pt idx="460">
                  <c:v>255.23</c:v>
                </c:pt>
                <c:pt idx="461">
                  <c:v>391.43</c:v>
                </c:pt>
                <c:pt idx="462">
                  <c:v>396.9</c:v>
                </c:pt>
                <c:pt idx="463">
                  <c:v>393.82</c:v>
                </c:pt>
                <c:pt idx="464">
                  <c:v>396.9</c:v>
                </c:pt>
                <c:pt idx="465">
                  <c:v>334.4</c:v>
                </c:pt>
                <c:pt idx="466">
                  <c:v>22.01</c:v>
                </c:pt>
                <c:pt idx="467">
                  <c:v>331.29</c:v>
                </c:pt>
                <c:pt idx="468">
                  <c:v>368.74</c:v>
                </c:pt>
                <c:pt idx="469">
                  <c:v>396.9</c:v>
                </c:pt>
                <c:pt idx="470">
                  <c:v>396.9</c:v>
                </c:pt>
                <c:pt idx="471">
                  <c:v>395.33</c:v>
                </c:pt>
                <c:pt idx="472">
                  <c:v>393.37</c:v>
                </c:pt>
                <c:pt idx="473">
                  <c:v>374.68</c:v>
                </c:pt>
                <c:pt idx="474">
                  <c:v>352.58</c:v>
                </c:pt>
                <c:pt idx="475">
                  <c:v>302.76</c:v>
                </c:pt>
                <c:pt idx="476">
                  <c:v>396.21</c:v>
                </c:pt>
                <c:pt idx="477">
                  <c:v>349.48</c:v>
                </c:pt>
                <c:pt idx="478">
                  <c:v>379.7</c:v>
                </c:pt>
                <c:pt idx="479">
                  <c:v>383.32</c:v>
                </c:pt>
                <c:pt idx="480">
                  <c:v>396.9</c:v>
                </c:pt>
                <c:pt idx="481">
                  <c:v>393.07</c:v>
                </c:pt>
                <c:pt idx="482">
                  <c:v>395.28</c:v>
                </c:pt>
                <c:pt idx="483">
                  <c:v>392.92</c:v>
                </c:pt>
                <c:pt idx="484">
                  <c:v>370.73</c:v>
                </c:pt>
                <c:pt idx="485">
                  <c:v>388.62</c:v>
                </c:pt>
                <c:pt idx="486">
                  <c:v>392.68</c:v>
                </c:pt>
                <c:pt idx="487">
                  <c:v>388.22</c:v>
                </c:pt>
                <c:pt idx="488">
                  <c:v>395.09</c:v>
                </c:pt>
                <c:pt idx="489">
                  <c:v>344.05</c:v>
                </c:pt>
                <c:pt idx="490">
                  <c:v>318.43</c:v>
                </c:pt>
                <c:pt idx="491">
                  <c:v>390.11</c:v>
                </c:pt>
                <c:pt idx="492">
                  <c:v>396.9</c:v>
                </c:pt>
                <c:pt idx="493">
                  <c:v>396.9</c:v>
                </c:pt>
                <c:pt idx="494">
                  <c:v>396.9</c:v>
                </c:pt>
                <c:pt idx="495">
                  <c:v>393.29</c:v>
                </c:pt>
                <c:pt idx="496">
                  <c:v>396.9</c:v>
                </c:pt>
                <c:pt idx="497">
                  <c:v>396.9</c:v>
                </c:pt>
                <c:pt idx="498">
                  <c:v>396.9</c:v>
                </c:pt>
                <c:pt idx="499">
                  <c:v>395.77</c:v>
                </c:pt>
                <c:pt idx="500">
                  <c:v>396.9</c:v>
                </c:pt>
                <c:pt idx="501">
                  <c:v>391.99</c:v>
                </c:pt>
                <c:pt idx="502">
                  <c:v>396.9</c:v>
                </c:pt>
                <c:pt idx="503">
                  <c:v>396.9</c:v>
                </c:pt>
                <c:pt idx="504">
                  <c:v>393.45</c:v>
                </c:pt>
                <c:pt idx="505">
                  <c:v>396.9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94048"/>
        <c:axId val="143351808"/>
      </c:lineChart>
      <c:catAx>
        <c:axId val="142594048"/>
        <c:scaling>
          <c:orientation val="minMax"/>
        </c:scaling>
        <c:delete val="0"/>
        <c:axPos val="b"/>
        <c:majorTickMark val="out"/>
        <c:minorTickMark val="none"/>
        <c:tickLblPos val="nextTo"/>
        <c:crossAx val="143351808"/>
        <c:crosses val="autoZero"/>
        <c:auto val="1"/>
        <c:lblAlgn val="ctr"/>
        <c:lblOffset val="100"/>
        <c:noMultiLvlLbl val="0"/>
      </c:catAx>
      <c:valAx>
        <c:axId val="1433518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425940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보스턴주택가격!$M$2</c:f>
              <c:strCache>
                <c:ptCount val="1"/>
                <c:pt idx="0">
                  <c:v>하위계층비율</c:v>
                </c:pt>
              </c:strCache>
            </c:strRef>
          </c:tx>
          <c:val>
            <c:numRef>
              <c:f>보스턴주택가격!$M$3:$M$508</c:f>
              <c:numCache>
                <c:formatCode>General</c:formatCode>
                <c:ptCount val="506"/>
                <c:pt idx="0">
                  <c:v>4.9800000000000004</c:v>
                </c:pt>
                <c:pt idx="1">
                  <c:v>9.14</c:v>
                </c:pt>
                <c:pt idx="2">
                  <c:v>4.03</c:v>
                </c:pt>
                <c:pt idx="3">
                  <c:v>2.94</c:v>
                </c:pt>
                <c:pt idx="4">
                  <c:v>5.33</c:v>
                </c:pt>
                <c:pt idx="5">
                  <c:v>5.21</c:v>
                </c:pt>
                <c:pt idx="6">
                  <c:v>12.43</c:v>
                </c:pt>
                <c:pt idx="7">
                  <c:v>19.149999999999999</c:v>
                </c:pt>
                <c:pt idx="8">
                  <c:v>29.93</c:v>
                </c:pt>
                <c:pt idx="9">
                  <c:v>17.100000000000001</c:v>
                </c:pt>
                <c:pt idx="10">
                  <c:v>20.45</c:v>
                </c:pt>
                <c:pt idx="11">
                  <c:v>13.27</c:v>
                </c:pt>
                <c:pt idx="12">
                  <c:v>15.71</c:v>
                </c:pt>
                <c:pt idx="13">
                  <c:v>8.26</c:v>
                </c:pt>
                <c:pt idx="14">
                  <c:v>10.26</c:v>
                </c:pt>
                <c:pt idx="15">
                  <c:v>8.4700000000000006</c:v>
                </c:pt>
                <c:pt idx="16">
                  <c:v>6.58</c:v>
                </c:pt>
                <c:pt idx="17">
                  <c:v>14.67</c:v>
                </c:pt>
                <c:pt idx="18">
                  <c:v>11.69</c:v>
                </c:pt>
                <c:pt idx="19">
                  <c:v>11.28</c:v>
                </c:pt>
                <c:pt idx="20">
                  <c:v>21.02</c:v>
                </c:pt>
                <c:pt idx="21">
                  <c:v>13.83</c:v>
                </c:pt>
                <c:pt idx="22">
                  <c:v>18.72</c:v>
                </c:pt>
                <c:pt idx="23">
                  <c:v>19.88</c:v>
                </c:pt>
                <c:pt idx="24">
                  <c:v>16.3</c:v>
                </c:pt>
                <c:pt idx="25">
                  <c:v>16.510000000000002</c:v>
                </c:pt>
                <c:pt idx="26">
                  <c:v>14.81</c:v>
                </c:pt>
                <c:pt idx="27">
                  <c:v>17.28</c:v>
                </c:pt>
                <c:pt idx="28">
                  <c:v>12.8</c:v>
                </c:pt>
                <c:pt idx="29">
                  <c:v>11.98</c:v>
                </c:pt>
                <c:pt idx="30">
                  <c:v>22.6</c:v>
                </c:pt>
                <c:pt idx="31">
                  <c:v>13.04</c:v>
                </c:pt>
                <c:pt idx="32">
                  <c:v>27.71</c:v>
                </c:pt>
                <c:pt idx="33">
                  <c:v>18.350000000000001</c:v>
                </c:pt>
                <c:pt idx="34">
                  <c:v>20.34</c:v>
                </c:pt>
                <c:pt idx="35">
                  <c:v>9.68</c:v>
                </c:pt>
                <c:pt idx="36">
                  <c:v>11.41</c:v>
                </c:pt>
                <c:pt idx="37">
                  <c:v>8.77</c:v>
                </c:pt>
                <c:pt idx="38">
                  <c:v>10.130000000000001</c:v>
                </c:pt>
                <c:pt idx="39">
                  <c:v>4.32</c:v>
                </c:pt>
                <c:pt idx="40">
                  <c:v>1.98</c:v>
                </c:pt>
                <c:pt idx="41">
                  <c:v>4.84</c:v>
                </c:pt>
                <c:pt idx="42">
                  <c:v>5.81</c:v>
                </c:pt>
                <c:pt idx="43">
                  <c:v>7.44</c:v>
                </c:pt>
                <c:pt idx="44">
                  <c:v>9.5500000000000007</c:v>
                </c:pt>
                <c:pt idx="45">
                  <c:v>10.210000000000001</c:v>
                </c:pt>
                <c:pt idx="46">
                  <c:v>14.15</c:v>
                </c:pt>
                <c:pt idx="47">
                  <c:v>18.8</c:v>
                </c:pt>
                <c:pt idx="48">
                  <c:v>30.81</c:v>
                </c:pt>
                <c:pt idx="49">
                  <c:v>16.2</c:v>
                </c:pt>
                <c:pt idx="50">
                  <c:v>13.45</c:v>
                </c:pt>
                <c:pt idx="51">
                  <c:v>9.43</c:v>
                </c:pt>
                <c:pt idx="52">
                  <c:v>5.28</c:v>
                </c:pt>
                <c:pt idx="53">
                  <c:v>8.43</c:v>
                </c:pt>
                <c:pt idx="54">
                  <c:v>14.8</c:v>
                </c:pt>
                <c:pt idx="55">
                  <c:v>4.8099999999999996</c:v>
                </c:pt>
                <c:pt idx="56">
                  <c:v>5.77</c:v>
                </c:pt>
                <c:pt idx="57">
                  <c:v>3.95</c:v>
                </c:pt>
                <c:pt idx="58">
                  <c:v>6.86</c:v>
                </c:pt>
                <c:pt idx="59">
                  <c:v>9.2200000000000006</c:v>
                </c:pt>
                <c:pt idx="60">
                  <c:v>13.15</c:v>
                </c:pt>
                <c:pt idx="61">
                  <c:v>14.44</c:v>
                </c:pt>
                <c:pt idx="62">
                  <c:v>6.73</c:v>
                </c:pt>
                <c:pt idx="63">
                  <c:v>9.5</c:v>
                </c:pt>
                <c:pt idx="64">
                  <c:v>8.0500000000000007</c:v>
                </c:pt>
                <c:pt idx="65">
                  <c:v>4.67</c:v>
                </c:pt>
                <c:pt idx="66">
                  <c:v>10.24</c:v>
                </c:pt>
                <c:pt idx="67">
                  <c:v>8.1</c:v>
                </c:pt>
                <c:pt idx="68">
                  <c:v>13.09</c:v>
                </c:pt>
                <c:pt idx="69">
                  <c:v>8.7899999999999991</c:v>
                </c:pt>
                <c:pt idx="70">
                  <c:v>6.72</c:v>
                </c:pt>
                <c:pt idx="71">
                  <c:v>9.8800000000000008</c:v>
                </c:pt>
                <c:pt idx="72">
                  <c:v>5.52</c:v>
                </c:pt>
                <c:pt idx="73">
                  <c:v>7.54</c:v>
                </c:pt>
                <c:pt idx="74">
                  <c:v>6.78</c:v>
                </c:pt>
                <c:pt idx="75">
                  <c:v>8.94</c:v>
                </c:pt>
                <c:pt idx="76">
                  <c:v>11.97</c:v>
                </c:pt>
                <c:pt idx="77">
                  <c:v>10.27</c:v>
                </c:pt>
                <c:pt idx="78">
                  <c:v>12.34</c:v>
                </c:pt>
                <c:pt idx="79">
                  <c:v>9.1</c:v>
                </c:pt>
                <c:pt idx="80">
                  <c:v>5.29</c:v>
                </c:pt>
                <c:pt idx="81">
                  <c:v>7.22</c:v>
                </c:pt>
                <c:pt idx="82">
                  <c:v>6.72</c:v>
                </c:pt>
                <c:pt idx="83">
                  <c:v>7.51</c:v>
                </c:pt>
                <c:pt idx="84">
                  <c:v>9.6199999999999992</c:v>
                </c:pt>
                <c:pt idx="85">
                  <c:v>6.53</c:v>
                </c:pt>
                <c:pt idx="86">
                  <c:v>12.86</c:v>
                </c:pt>
                <c:pt idx="87">
                  <c:v>8.44</c:v>
                </c:pt>
                <c:pt idx="88">
                  <c:v>5.5</c:v>
                </c:pt>
                <c:pt idx="89">
                  <c:v>5.7</c:v>
                </c:pt>
                <c:pt idx="90">
                  <c:v>8.81</c:v>
                </c:pt>
                <c:pt idx="91">
                  <c:v>8.1999999999999993</c:v>
                </c:pt>
                <c:pt idx="92">
                  <c:v>8.16</c:v>
                </c:pt>
                <c:pt idx="93">
                  <c:v>6.21</c:v>
                </c:pt>
                <c:pt idx="94">
                  <c:v>10.59</c:v>
                </c:pt>
                <c:pt idx="95">
                  <c:v>6.65</c:v>
                </c:pt>
                <c:pt idx="96">
                  <c:v>11.34</c:v>
                </c:pt>
                <c:pt idx="97">
                  <c:v>4.21</c:v>
                </c:pt>
                <c:pt idx="98">
                  <c:v>3.57</c:v>
                </c:pt>
                <c:pt idx="99">
                  <c:v>6.19</c:v>
                </c:pt>
                <c:pt idx="100">
                  <c:v>9.42</c:v>
                </c:pt>
                <c:pt idx="101">
                  <c:v>7.67</c:v>
                </c:pt>
                <c:pt idx="102">
                  <c:v>10.63</c:v>
                </c:pt>
                <c:pt idx="103">
                  <c:v>13.44</c:v>
                </c:pt>
                <c:pt idx="104">
                  <c:v>12.33</c:v>
                </c:pt>
                <c:pt idx="105">
                  <c:v>16.47</c:v>
                </c:pt>
                <c:pt idx="106">
                  <c:v>18.66</c:v>
                </c:pt>
                <c:pt idx="107">
                  <c:v>14.09</c:v>
                </c:pt>
                <c:pt idx="108">
                  <c:v>12.27</c:v>
                </c:pt>
                <c:pt idx="109">
                  <c:v>15.55</c:v>
                </c:pt>
                <c:pt idx="110">
                  <c:v>13</c:v>
                </c:pt>
                <c:pt idx="111">
                  <c:v>10.16</c:v>
                </c:pt>
                <c:pt idx="112">
                  <c:v>16.21</c:v>
                </c:pt>
                <c:pt idx="113">
                  <c:v>17.09</c:v>
                </c:pt>
                <c:pt idx="114">
                  <c:v>10.45</c:v>
                </c:pt>
                <c:pt idx="115">
                  <c:v>15.76</c:v>
                </c:pt>
                <c:pt idx="116">
                  <c:v>12.04</c:v>
                </c:pt>
                <c:pt idx="117">
                  <c:v>10.3</c:v>
                </c:pt>
                <c:pt idx="118">
                  <c:v>15.37</c:v>
                </c:pt>
                <c:pt idx="119">
                  <c:v>13.61</c:v>
                </c:pt>
                <c:pt idx="120">
                  <c:v>14.37</c:v>
                </c:pt>
                <c:pt idx="121">
                  <c:v>14.27</c:v>
                </c:pt>
                <c:pt idx="122">
                  <c:v>17.93</c:v>
                </c:pt>
                <c:pt idx="123">
                  <c:v>25.41</c:v>
                </c:pt>
                <c:pt idx="124">
                  <c:v>17.579999999999998</c:v>
                </c:pt>
                <c:pt idx="125">
                  <c:v>14.81</c:v>
                </c:pt>
                <c:pt idx="126">
                  <c:v>27.26</c:v>
                </c:pt>
                <c:pt idx="127">
                  <c:v>17.190000000000001</c:v>
                </c:pt>
                <c:pt idx="128">
                  <c:v>15.39</c:v>
                </c:pt>
                <c:pt idx="129">
                  <c:v>18.34</c:v>
                </c:pt>
                <c:pt idx="130">
                  <c:v>12.6</c:v>
                </c:pt>
                <c:pt idx="131">
                  <c:v>12.26</c:v>
                </c:pt>
                <c:pt idx="132">
                  <c:v>11.12</c:v>
                </c:pt>
                <c:pt idx="133">
                  <c:v>15.03</c:v>
                </c:pt>
                <c:pt idx="134">
                  <c:v>17.309999999999999</c:v>
                </c:pt>
                <c:pt idx="135">
                  <c:v>16.96</c:v>
                </c:pt>
                <c:pt idx="136">
                  <c:v>16.899999999999999</c:v>
                </c:pt>
                <c:pt idx="137">
                  <c:v>14.59</c:v>
                </c:pt>
                <c:pt idx="138">
                  <c:v>21.32</c:v>
                </c:pt>
                <c:pt idx="139">
                  <c:v>18.46</c:v>
                </c:pt>
                <c:pt idx="140">
                  <c:v>24.16</c:v>
                </c:pt>
                <c:pt idx="141">
                  <c:v>34.409999999999997</c:v>
                </c:pt>
                <c:pt idx="142">
                  <c:v>26.82</c:v>
                </c:pt>
                <c:pt idx="143">
                  <c:v>26.42</c:v>
                </c:pt>
                <c:pt idx="144">
                  <c:v>29.29</c:v>
                </c:pt>
                <c:pt idx="145">
                  <c:v>27.8</c:v>
                </c:pt>
                <c:pt idx="146">
                  <c:v>16.649999999999999</c:v>
                </c:pt>
                <c:pt idx="147">
                  <c:v>29.53</c:v>
                </c:pt>
                <c:pt idx="148">
                  <c:v>28.32</c:v>
                </c:pt>
                <c:pt idx="149">
                  <c:v>21.45</c:v>
                </c:pt>
                <c:pt idx="150">
                  <c:v>14.1</c:v>
                </c:pt>
                <c:pt idx="151">
                  <c:v>13.28</c:v>
                </c:pt>
                <c:pt idx="152">
                  <c:v>12.12</c:v>
                </c:pt>
                <c:pt idx="153">
                  <c:v>15.79</c:v>
                </c:pt>
                <c:pt idx="154">
                  <c:v>15.12</c:v>
                </c:pt>
                <c:pt idx="155">
                  <c:v>15.02</c:v>
                </c:pt>
                <c:pt idx="156">
                  <c:v>16.14</c:v>
                </c:pt>
                <c:pt idx="157">
                  <c:v>4.59</c:v>
                </c:pt>
                <c:pt idx="158">
                  <c:v>6.43</c:v>
                </c:pt>
                <c:pt idx="159">
                  <c:v>7.39</c:v>
                </c:pt>
                <c:pt idx="160">
                  <c:v>5.5</c:v>
                </c:pt>
                <c:pt idx="161">
                  <c:v>1.73</c:v>
                </c:pt>
                <c:pt idx="162">
                  <c:v>1.92</c:v>
                </c:pt>
                <c:pt idx="163">
                  <c:v>3.32</c:v>
                </c:pt>
                <c:pt idx="164">
                  <c:v>11.64</c:v>
                </c:pt>
                <c:pt idx="165">
                  <c:v>9.81</c:v>
                </c:pt>
                <c:pt idx="166">
                  <c:v>3.7</c:v>
                </c:pt>
                <c:pt idx="167">
                  <c:v>12.14</c:v>
                </c:pt>
                <c:pt idx="168">
                  <c:v>11.1</c:v>
                </c:pt>
                <c:pt idx="169">
                  <c:v>11.32</c:v>
                </c:pt>
                <c:pt idx="170">
                  <c:v>14.43</c:v>
                </c:pt>
                <c:pt idx="171">
                  <c:v>12.03</c:v>
                </c:pt>
                <c:pt idx="172">
                  <c:v>14.69</c:v>
                </c:pt>
                <c:pt idx="173">
                  <c:v>9.0399999999999991</c:v>
                </c:pt>
                <c:pt idx="174">
                  <c:v>9.64</c:v>
                </c:pt>
                <c:pt idx="175">
                  <c:v>5.33</c:v>
                </c:pt>
                <c:pt idx="176">
                  <c:v>10.11</c:v>
                </c:pt>
                <c:pt idx="177">
                  <c:v>6.29</c:v>
                </c:pt>
                <c:pt idx="178">
                  <c:v>6.92</c:v>
                </c:pt>
                <c:pt idx="179">
                  <c:v>5.04</c:v>
                </c:pt>
                <c:pt idx="180">
                  <c:v>7.56</c:v>
                </c:pt>
                <c:pt idx="181">
                  <c:v>9.4499999999999993</c:v>
                </c:pt>
                <c:pt idx="182">
                  <c:v>4.82</c:v>
                </c:pt>
                <c:pt idx="183">
                  <c:v>5.68</c:v>
                </c:pt>
                <c:pt idx="184">
                  <c:v>13.98</c:v>
                </c:pt>
                <c:pt idx="185">
                  <c:v>13.15</c:v>
                </c:pt>
                <c:pt idx="186">
                  <c:v>4.45</c:v>
                </c:pt>
                <c:pt idx="187">
                  <c:v>6.68</c:v>
                </c:pt>
                <c:pt idx="188">
                  <c:v>4.5599999999999996</c:v>
                </c:pt>
                <c:pt idx="189">
                  <c:v>5.39</c:v>
                </c:pt>
                <c:pt idx="190">
                  <c:v>5.0999999999999996</c:v>
                </c:pt>
                <c:pt idx="191">
                  <c:v>4.6900000000000004</c:v>
                </c:pt>
                <c:pt idx="192">
                  <c:v>2.87</c:v>
                </c:pt>
                <c:pt idx="193">
                  <c:v>5.03</c:v>
                </c:pt>
                <c:pt idx="194">
                  <c:v>4.38</c:v>
                </c:pt>
                <c:pt idx="195">
                  <c:v>2.97</c:v>
                </c:pt>
                <c:pt idx="196">
                  <c:v>4.08</c:v>
                </c:pt>
                <c:pt idx="197">
                  <c:v>8.61</c:v>
                </c:pt>
                <c:pt idx="198">
                  <c:v>6.62</c:v>
                </c:pt>
                <c:pt idx="199">
                  <c:v>4.5599999999999996</c:v>
                </c:pt>
                <c:pt idx="200">
                  <c:v>4.45</c:v>
                </c:pt>
                <c:pt idx="201">
                  <c:v>7.43</c:v>
                </c:pt>
                <c:pt idx="202">
                  <c:v>3.11</c:v>
                </c:pt>
                <c:pt idx="203">
                  <c:v>3.81</c:v>
                </c:pt>
                <c:pt idx="204">
                  <c:v>2.88</c:v>
                </c:pt>
                <c:pt idx="205">
                  <c:v>10.87</c:v>
                </c:pt>
                <c:pt idx="206">
                  <c:v>10.97</c:v>
                </c:pt>
                <c:pt idx="207">
                  <c:v>18.059999999999999</c:v>
                </c:pt>
                <c:pt idx="208">
                  <c:v>14.66</c:v>
                </c:pt>
                <c:pt idx="209">
                  <c:v>23.09</c:v>
                </c:pt>
                <c:pt idx="210">
                  <c:v>17.27</c:v>
                </c:pt>
                <c:pt idx="211">
                  <c:v>23.98</c:v>
                </c:pt>
                <c:pt idx="212">
                  <c:v>16.03</c:v>
                </c:pt>
                <c:pt idx="213">
                  <c:v>9.3800000000000008</c:v>
                </c:pt>
                <c:pt idx="214">
                  <c:v>29.55</c:v>
                </c:pt>
                <c:pt idx="215">
                  <c:v>9.4700000000000006</c:v>
                </c:pt>
                <c:pt idx="216">
                  <c:v>13.51</c:v>
                </c:pt>
                <c:pt idx="217">
                  <c:v>9.69</c:v>
                </c:pt>
                <c:pt idx="218">
                  <c:v>17.920000000000002</c:v>
                </c:pt>
                <c:pt idx="219">
                  <c:v>10.5</c:v>
                </c:pt>
                <c:pt idx="220">
                  <c:v>9.7100000000000009</c:v>
                </c:pt>
                <c:pt idx="221">
                  <c:v>21.46</c:v>
                </c:pt>
                <c:pt idx="222">
                  <c:v>9.93</c:v>
                </c:pt>
                <c:pt idx="223">
                  <c:v>7.6</c:v>
                </c:pt>
                <c:pt idx="224">
                  <c:v>4.1399999999999997</c:v>
                </c:pt>
                <c:pt idx="225">
                  <c:v>4.63</c:v>
                </c:pt>
                <c:pt idx="226">
                  <c:v>3.13</c:v>
                </c:pt>
                <c:pt idx="227">
                  <c:v>6.36</c:v>
                </c:pt>
                <c:pt idx="228">
                  <c:v>3.92</c:v>
                </c:pt>
                <c:pt idx="229">
                  <c:v>3.76</c:v>
                </c:pt>
                <c:pt idx="230">
                  <c:v>11.65</c:v>
                </c:pt>
                <c:pt idx="231">
                  <c:v>5.25</c:v>
                </c:pt>
                <c:pt idx="232">
                  <c:v>2.4700000000000002</c:v>
                </c:pt>
                <c:pt idx="233">
                  <c:v>3.95</c:v>
                </c:pt>
                <c:pt idx="234">
                  <c:v>8.0500000000000007</c:v>
                </c:pt>
                <c:pt idx="235">
                  <c:v>10.88</c:v>
                </c:pt>
                <c:pt idx="236">
                  <c:v>9.5399999999999991</c:v>
                </c:pt>
                <c:pt idx="237">
                  <c:v>4.7300000000000004</c:v>
                </c:pt>
                <c:pt idx="238">
                  <c:v>6.36</c:v>
                </c:pt>
                <c:pt idx="239">
                  <c:v>7.37</c:v>
                </c:pt>
                <c:pt idx="240">
                  <c:v>11.38</c:v>
                </c:pt>
                <c:pt idx="241">
                  <c:v>12.4</c:v>
                </c:pt>
                <c:pt idx="242">
                  <c:v>11.22</c:v>
                </c:pt>
                <c:pt idx="243">
                  <c:v>5.19</c:v>
                </c:pt>
                <c:pt idx="244">
                  <c:v>12.5</c:v>
                </c:pt>
                <c:pt idx="245">
                  <c:v>18.46</c:v>
                </c:pt>
                <c:pt idx="246">
                  <c:v>9.16</c:v>
                </c:pt>
                <c:pt idx="247">
                  <c:v>10.15</c:v>
                </c:pt>
                <c:pt idx="248">
                  <c:v>9.52</c:v>
                </c:pt>
                <c:pt idx="249">
                  <c:v>6.56</c:v>
                </c:pt>
                <c:pt idx="250">
                  <c:v>5.9</c:v>
                </c:pt>
                <c:pt idx="251">
                  <c:v>3.59</c:v>
                </c:pt>
                <c:pt idx="252">
                  <c:v>3.53</c:v>
                </c:pt>
                <c:pt idx="253">
                  <c:v>3.54</c:v>
                </c:pt>
                <c:pt idx="254">
                  <c:v>6.57</c:v>
                </c:pt>
                <c:pt idx="255">
                  <c:v>9.25</c:v>
                </c:pt>
                <c:pt idx="256">
                  <c:v>3.11</c:v>
                </c:pt>
                <c:pt idx="257">
                  <c:v>5.12</c:v>
                </c:pt>
                <c:pt idx="258">
                  <c:v>7.79</c:v>
                </c:pt>
                <c:pt idx="259">
                  <c:v>6.9</c:v>
                </c:pt>
                <c:pt idx="260">
                  <c:v>9.59</c:v>
                </c:pt>
                <c:pt idx="261">
                  <c:v>7.26</c:v>
                </c:pt>
                <c:pt idx="262">
                  <c:v>5.91</c:v>
                </c:pt>
                <c:pt idx="263">
                  <c:v>11.25</c:v>
                </c:pt>
                <c:pt idx="264">
                  <c:v>8.1</c:v>
                </c:pt>
                <c:pt idx="265">
                  <c:v>10.45</c:v>
                </c:pt>
                <c:pt idx="266">
                  <c:v>14.79</c:v>
                </c:pt>
                <c:pt idx="267">
                  <c:v>7.44</c:v>
                </c:pt>
                <c:pt idx="268">
                  <c:v>3.16</c:v>
                </c:pt>
                <c:pt idx="269">
                  <c:v>13.65</c:v>
                </c:pt>
                <c:pt idx="270">
                  <c:v>13</c:v>
                </c:pt>
                <c:pt idx="271">
                  <c:v>6.59</c:v>
                </c:pt>
                <c:pt idx="272">
                  <c:v>7.73</c:v>
                </c:pt>
                <c:pt idx="273">
                  <c:v>6.58</c:v>
                </c:pt>
                <c:pt idx="274">
                  <c:v>3.53</c:v>
                </c:pt>
                <c:pt idx="275">
                  <c:v>2.98</c:v>
                </c:pt>
                <c:pt idx="276">
                  <c:v>6.05</c:v>
                </c:pt>
                <c:pt idx="277">
                  <c:v>4.16</c:v>
                </c:pt>
                <c:pt idx="278">
                  <c:v>7.19</c:v>
                </c:pt>
                <c:pt idx="279">
                  <c:v>4.8499999999999996</c:v>
                </c:pt>
                <c:pt idx="280">
                  <c:v>3.76</c:v>
                </c:pt>
                <c:pt idx="281">
                  <c:v>4.59</c:v>
                </c:pt>
                <c:pt idx="282">
                  <c:v>3.01</c:v>
                </c:pt>
                <c:pt idx="283">
                  <c:v>3.16</c:v>
                </c:pt>
                <c:pt idx="284">
                  <c:v>7.85</c:v>
                </c:pt>
                <c:pt idx="285">
                  <c:v>8.23</c:v>
                </c:pt>
                <c:pt idx="286">
                  <c:v>12.93</c:v>
                </c:pt>
                <c:pt idx="287">
                  <c:v>7.14</c:v>
                </c:pt>
                <c:pt idx="288">
                  <c:v>7.6</c:v>
                </c:pt>
                <c:pt idx="289">
                  <c:v>9.51</c:v>
                </c:pt>
                <c:pt idx="290">
                  <c:v>3.33</c:v>
                </c:pt>
                <c:pt idx="291">
                  <c:v>3.56</c:v>
                </c:pt>
                <c:pt idx="292">
                  <c:v>4.7</c:v>
                </c:pt>
                <c:pt idx="293">
                  <c:v>8.58</c:v>
                </c:pt>
                <c:pt idx="294">
                  <c:v>10.4</c:v>
                </c:pt>
                <c:pt idx="295">
                  <c:v>6.27</c:v>
                </c:pt>
                <c:pt idx="296">
                  <c:v>7.39</c:v>
                </c:pt>
                <c:pt idx="297">
                  <c:v>15.84</c:v>
                </c:pt>
                <c:pt idx="298">
                  <c:v>4.97</c:v>
                </c:pt>
                <c:pt idx="299">
                  <c:v>4.74</c:v>
                </c:pt>
                <c:pt idx="300">
                  <c:v>6.07</c:v>
                </c:pt>
                <c:pt idx="301">
                  <c:v>9.5</c:v>
                </c:pt>
                <c:pt idx="302">
                  <c:v>8.67</c:v>
                </c:pt>
                <c:pt idx="303">
                  <c:v>4.8600000000000003</c:v>
                </c:pt>
                <c:pt idx="304">
                  <c:v>6.93</c:v>
                </c:pt>
                <c:pt idx="305">
                  <c:v>8.93</c:v>
                </c:pt>
                <c:pt idx="306">
                  <c:v>6.47</c:v>
                </c:pt>
                <c:pt idx="307">
                  <c:v>7.53</c:v>
                </c:pt>
                <c:pt idx="308">
                  <c:v>4.54</c:v>
                </c:pt>
                <c:pt idx="309">
                  <c:v>9.9700000000000006</c:v>
                </c:pt>
                <c:pt idx="310">
                  <c:v>12.64</c:v>
                </c:pt>
                <c:pt idx="311">
                  <c:v>5.98</c:v>
                </c:pt>
                <c:pt idx="312">
                  <c:v>11.72</c:v>
                </c:pt>
                <c:pt idx="313">
                  <c:v>7.9</c:v>
                </c:pt>
                <c:pt idx="314">
                  <c:v>9.2799999999999994</c:v>
                </c:pt>
                <c:pt idx="315">
                  <c:v>11.5</c:v>
                </c:pt>
                <c:pt idx="316">
                  <c:v>18.329999999999998</c:v>
                </c:pt>
                <c:pt idx="317">
                  <c:v>15.94</c:v>
                </c:pt>
                <c:pt idx="318">
                  <c:v>10.36</c:v>
                </c:pt>
                <c:pt idx="319">
                  <c:v>12.73</c:v>
                </c:pt>
                <c:pt idx="320">
                  <c:v>7.2</c:v>
                </c:pt>
                <c:pt idx="321">
                  <c:v>6.87</c:v>
                </c:pt>
                <c:pt idx="322">
                  <c:v>7.7</c:v>
                </c:pt>
                <c:pt idx="323">
                  <c:v>11.74</c:v>
                </c:pt>
                <c:pt idx="324">
                  <c:v>6.12</c:v>
                </c:pt>
                <c:pt idx="325">
                  <c:v>5.08</c:v>
                </c:pt>
                <c:pt idx="326">
                  <c:v>6.15</c:v>
                </c:pt>
                <c:pt idx="327">
                  <c:v>12.79</c:v>
                </c:pt>
                <c:pt idx="328">
                  <c:v>9.9700000000000006</c:v>
                </c:pt>
                <c:pt idx="329">
                  <c:v>7.34</c:v>
                </c:pt>
                <c:pt idx="330">
                  <c:v>9.09</c:v>
                </c:pt>
                <c:pt idx="331">
                  <c:v>12.43</c:v>
                </c:pt>
                <c:pt idx="332">
                  <c:v>7.83</c:v>
                </c:pt>
                <c:pt idx="333">
                  <c:v>5.68</c:v>
                </c:pt>
                <c:pt idx="334">
                  <c:v>6.75</c:v>
                </c:pt>
                <c:pt idx="335">
                  <c:v>8.01</c:v>
                </c:pt>
                <c:pt idx="336">
                  <c:v>9.8000000000000007</c:v>
                </c:pt>
                <c:pt idx="337">
                  <c:v>10.56</c:v>
                </c:pt>
                <c:pt idx="338">
                  <c:v>8.51</c:v>
                </c:pt>
                <c:pt idx="339">
                  <c:v>9.74</c:v>
                </c:pt>
                <c:pt idx="340">
                  <c:v>9.2899999999999991</c:v>
                </c:pt>
                <c:pt idx="341">
                  <c:v>5.49</c:v>
                </c:pt>
                <c:pt idx="342">
                  <c:v>8.65</c:v>
                </c:pt>
                <c:pt idx="343">
                  <c:v>7.18</c:v>
                </c:pt>
                <c:pt idx="344">
                  <c:v>4.6100000000000003</c:v>
                </c:pt>
                <c:pt idx="345">
                  <c:v>10.53</c:v>
                </c:pt>
                <c:pt idx="346">
                  <c:v>12.67</c:v>
                </c:pt>
                <c:pt idx="347">
                  <c:v>6.36</c:v>
                </c:pt>
                <c:pt idx="348">
                  <c:v>5.99</c:v>
                </c:pt>
                <c:pt idx="349">
                  <c:v>5.89</c:v>
                </c:pt>
                <c:pt idx="350">
                  <c:v>5.98</c:v>
                </c:pt>
                <c:pt idx="351">
                  <c:v>5.49</c:v>
                </c:pt>
                <c:pt idx="352">
                  <c:v>7.79</c:v>
                </c:pt>
                <c:pt idx="353">
                  <c:v>4.5</c:v>
                </c:pt>
                <c:pt idx="354">
                  <c:v>8.0500000000000007</c:v>
                </c:pt>
                <c:pt idx="355">
                  <c:v>5.57</c:v>
                </c:pt>
                <c:pt idx="356">
                  <c:v>17.600000000000001</c:v>
                </c:pt>
                <c:pt idx="357">
                  <c:v>13.27</c:v>
                </c:pt>
                <c:pt idx="358">
                  <c:v>11.48</c:v>
                </c:pt>
                <c:pt idx="359">
                  <c:v>12.67</c:v>
                </c:pt>
                <c:pt idx="360">
                  <c:v>7.79</c:v>
                </c:pt>
                <c:pt idx="361">
                  <c:v>14.19</c:v>
                </c:pt>
                <c:pt idx="362">
                  <c:v>10.19</c:v>
                </c:pt>
                <c:pt idx="363">
                  <c:v>14.64</c:v>
                </c:pt>
                <c:pt idx="364">
                  <c:v>5.29</c:v>
                </c:pt>
                <c:pt idx="365">
                  <c:v>7.12</c:v>
                </c:pt>
                <c:pt idx="366">
                  <c:v>14</c:v>
                </c:pt>
                <c:pt idx="367">
                  <c:v>13.33</c:v>
                </c:pt>
                <c:pt idx="368">
                  <c:v>3.26</c:v>
                </c:pt>
                <c:pt idx="369">
                  <c:v>3.73</c:v>
                </c:pt>
                <c:pt idx="370">
                  <c:v>2.96</c:v>
                </c:pt>
                <c:pt idx="371">
                  <c:v>9.5299999999999994</c:v>
                </c:pt>
                <c:pt idx="372">
                  <c:v>8.8800000000000008</c:v>
                </c:pt>
                <c:pt idx="373">
                  <c:v>34.770000000000003</c:v>
                </c:pt>
                <c:pt idx="374">
                  <c:v>37.97</c:v>
                </c:pt>
                <c:pt idx="375">
                  <c:v>13.44</c:v>
                </c:pt>
                <c:pt idx="376">
                  <c:v>23.24</c:v>
                </c:pt>
                <c:pt idx="377">
                  <c:v>21.24</c:v>
                </c:pt>
                <c:pt idx="378">
                  <c:v>23.69</c:v>
                </c:pt>
                <c:pt idx="379">
                  <c:v>21.78</c:v>
                </c:pt>
                <c:pt idx="380">
                  <c:v>17.21</c:v>
                </c:pt>
                <c:pt idx="381">
                  <c:v>21.08</c:v>
                </c:pt>
                <c:pt idx="382">
                  <c:v>23.6</c:v>
                </c:pt>
                <c:pt idx="383">
                  <c:v>24.56</c:v>
                </c:pt>
                <c:pt idx="384">
                  <c:v>30.63</c:v>
                </c:pt>
                <c:pt idx="385">
                  <c:v>30.81</c:v>
                </c:pt>
                <c:pt idx="386">
                  <c:v>28.28</c:v>
                </c:pt>
                <c:pt idx="387">
                  <c:v>31.99</c:v>
                </c:pt>
                <c:pt idx="388">
                  <c:v>30.62</c:v>
                </c:pt>
                <c:pt idx="389">
                  <c:v>20.85</c:v>
                </c:pt>
                <c:pt idx="390">
                  <c:v>17.11</c:v>
                </c:pt>
                <c:pt idx="391">
                  <c:v>18.760000000000002</c:v>
                </c:pt>
                <c:pt idx="392">
                  <c:v>25.68</c:v>
                </c:pt>
                <c:pt idx="393">
                  <c:v>15.17</c:v>
                </c:pt>
                <c:pt idx="394">
                  <c:v>16.350000000000001</c:v>
                </c:pt>
                <c:pt idx="395">
                  <c:v>17.12</c:v>
                </c:pt>
                <c:pt idx="396">
                  <c:v>19.37</c:v>
                </c:pt>
                <c:pt idx="397">
                  <c:v>19.920000000000002</c:v>
                </c:pt>
                <c:pt idx="398">
                  <c:v>30.59</c:v>
                </c:pt>
                <c:pt idx="399">
                  <c:v>29.97</c:v>
                </c:pt>
                <c:pt idx="400">
                  <c:v>26.77</c:v>
                </c:pt>
                <c:pt idx="401">
                  <c:v>20.32</c:v>
                </c:pt>
                <c:pt idx="402">
                  <c:v>20.309999999999999</c:v>
                </c:pt>
                <c:pt idx="403">
                  <c:v>19.77</c:v>
                </c:pt>
                <c:pt idx="404">
                  <c:v>27.38</c:v>
                </c:pt>
                <c:pt idx="405">
                  <c:v>22.98</c:v>
                </c:pt>
                <c:pt idx="406">
                  <c:v>23.34</c:v>
                </c:pt>
                <c:pt idx="407">
                  <c:v>12.13</c:v>
                </c:pt>
                <c:pt idx="408">
                  <c:v>26.4</c:v>
                </c:pt>
                <c:pt idx="409">
                  <c:v>19.78</c:v>
                </c:pt>
                <c:pt idx="410">
                  <c:v>10.11</c:v>
                </c:pt>
                <c:pt idx="411">
                  <c:v>21.22</c:v>
                </c:pt>
                <c:pt idx="412">
                  <c:v>34.369999999999997</c:v>
                </c:pt>
                <c:pt idx="413">
                  <c:v>20.079999999999998</c:v>
                </c:pt>
                <c:pt idx="414">
                  <c:v>36.979999999999997</c:v>
                </c:pt>
                <c:pt idx="415">
                  <c:v>29.05</c:v>
                </c:pt>
                <c:pt idx="416">
                  <c:v>25.79</c:v>
                </c:pt>
                <c:pt idx="417">
                  <c:v>26.64</c:v>
                </c:pt>
                <c:pt idx="418">
                  <c:v>20.62</c:v>
                </c:pt>
                <c:pt idx="419">
                  <c:v>22.74</c:v>
                </c:pt>
                <c:pt idx="420">
                  <c:v>15.02</c:v>
                </c:pt>
                <c:pt idx="421">
                  <c:v>15.7</c:v>
                </c:pt>
                <c:pt idx="422">
                  <c:v>14.1</c:v>
                </c:pt>
                <c:pt idx="423">
                  <c:v>23.29</c:v>
                </c:pt>
                <c:pt idx="424">
                  <c:v>17.16</c:v>
                </c:pt>
                <c:pt idx="425">
                  <c:v>24.39</c:v>
                </c:pt>
                <c:pt idx="426">
                  <c:v>15.69</c:v>
                </c:pt>
                <c:pt idx="427">
                  <c:v>14.52</c:v>
                </c:pt>
                <c:pt idx="428">
                  <c:v>21.52</c:v>
                </c:pt>
                <c:pt idx="429">
                  <c:v>24.08</c:v>
                </c:pt>
                <c:pt idx="430">
                  <c:v>17.64</c:v>
                </c:pt>
                <c:pt idx="431">
                  <c:v>19.690000000000001</c:v>
                </c:pt>
                <c:pt idx="432">
                  <c:v>12.03</c:v>
                </c:pt>
                <c:pt idx="433">
                  <c:v>16.22</c:v>
                </c:pt>
                <c:pt idx="434">
                  <c:v>15.17</c:v>
                </c:pt>
                <c:pt idx="435">
                  <c:v>23.27</c:v>
                </c:pt>
                <c:pt idx="436">
                  <c:v>18.05</c:v>
                </c:pt>
                <c:pt idx="437">
                  <c:v>26.45</c:v>
                </c:pt>
                <c:pt idx="438">
                  <c:v>34.020000000000003</c:v>
                </c:pt>
                <c:pt idx="439">
                  <c:v>22.88</c:v>
                </c:pt>
                <c:pt idx="440">
                  <c:v>22.11</c:v>
                </c:pt>
                <c:pt idx="441">
                  <c:v>19.52</c:v>
                </c:pt>
                <c:pt idx="442">
                  <c:v>16.59</c:v>
                </c:pt>
                <c:pt idx="443">
                  <c:v>18.850000000000001</c:v>
                </c:pt>
                <c:pt idx="444">
                  <c:v>23.79</c:v>
                </c:pt>
                <c:pt idx="445">
                  <c:v>23.98</c:v>
                </c:pt>
                <c:pt idx="446">
                  <c:v>17.79</c:v>
                </c:pt>
                <c:pt idx="447">
                  <c:v>16.440000000000001</c:v>
                </c:pt>
                <c:pt idx="448">
                  <c:v>18.13</c:v>
                </c:pt>
                <c:pt idx="449">
                  <c:v>19.309999999999999</c:v>
                </c:pt>
                <c:pt idx="450">
                  <c:v>17.440000000000001</c:v>
                </c:pt>
                <c:pt idx="451">
                  <c:v>17.73</c:v>
                </c:pt>
                <c:pt idx="452">
                  <c:v>17.27</c:v>
                </c:pt>
                <c:pt idx="453">
                  <c:v>16.739999999999998</c:v>
                </c:pt>
                <c:pt idx="454">
                  <c:v>18.71</c:v>
                </c:pt>
                <c:pt idx="455">
                  <c:v>18.13</c:v>
                </c:pt>
                <c:pt idx="456">
                  <c:v>19.010000000000002</c:v>
                </c:pt>
                <c:pt idx="457">
                  <c:v>16.940000000000001</c:v>
                </c:pt>
                <c:pt idx="458">
                  <c:v>16.23</c:v>
                </c:pt>
                <c:pt idx="459">
                  <c:v>14.7</c:v>
                </c:pt>
                <c:pt idx="460">
                  <c:v>16.420000000000002</c:v>
                </c:pt>
                <c:pt idx="461">
                  <c:v>14.65</c:v>
                </c:pt>
                <c:pt idx="462">
                  <c:v>13.99</c:v>
                </c:pt>
                <c:pt idx="463">
                  <c:v>10.29</c:v>
                </c:pt>
                <c:pt idx="464">
                  <c:v>13.22</c:v>
                </c:pt>
                <c:pt idx="465">
                  <c:v>14.13</c:v>
                </c:pt>
                <c:pt idx="466">
                  <c:v>17.149999999999999</c:v>
                </c:pt>
                <c:pt idx="467">
                  <c:v>21.32</c:v>
                </c:pt>
                <c:pt idx="468">
                  <c:v>18.13</c:v>
                </c:pt>
                <c:pt idx="469">
                  <c:v>14.76</c:v>
                </c:pt>
                <c:pt idx="470">
                  <c:v>16.29</c:v>
                </c:pt>
                <c:pt idx="471">
                  <c:v>12.87</c:v>
                </c:pt>
                <c:pt idx="472">
                  <c:v>14.36</c:v>
                </c:pt>
                <c:pt idx="473">
                  <c:v>11.66</c:v>
                </c:pt>
                <c:pt idx="474">
                  <c:v>18.14</c:v>
                </c:pt>
                <c:pt idx="475">
                  <c:v>24.1</c:v>
                </c:pt>
                <c:pt idx="476">
                  <c:v>18.68</c:v>
                </c:pt>
                <c:pt idx="477">
                  <c:v>24.91</c:v>
                </c:pt>
                <c:pt idx="478">
                  <c:v>18.03</c:v>
                </c:pt>
                <c:pt idx="479">
                  <c:v>13.11</c:v>
                </c:pt>
                <c:pt idx="480">
                  <c:v>10.74</c:v>
                </c:pt>
                <c:pt idx="481">
                  <c:v>7.74</c:v>
                </c:pt>
                <c:pt idx="482">
                  <c:v>7.01</c:v>
                </c:pt>
                <c:pt idx="483">
                  <c:v>10.42</c:v>
                </c:pt>
                <c:pt idx="484">
                  <c:v>13.34</c:v>
                </c:pt>
                <c:pt idx="485">
                  <c:v>10.58</c:v>
                </c:pt>
                <c:pt idx="486">
                  <c:v>14.98</c:v>
                </c:pt>
                <c:pt idx="487">
                  <c:v>11.45</c:v>
                </c:pt>
                <c:pt idx="488">
                  <c:v>18.059999999999999</c:v>
                </c:pt>
                <c:pt idx="489">
                  <c:v>23.97</c:v>
                </c:pt>
                <c:pt idx="490">
                  <c:v>29.68</c:v>
                </c:pt>
                <c:pt idx="491">
                  <c:v>18.07</c:v>
                </c:pt>
                <c:pt idx="492">
                  <c:v>13.35</c:v>
                </c:pt>
                <c:pt idx="493">
                  <c:v>12.01</c:v>
                </c:pt>
                <c:pt idx="494">
                  <c:v>13.59</c:v>
                </c:pt>
                <c:pt idx="495">
                  <c:v>17.600000000000001</c:v>
                </c:pt>
                <c:pt idx="496">
                  <c:v>21.14</c:v>
                </c:pt>
                <c:pt idx="497">
                  <c:v>14.1</c:v>
                </c:pt>
                <c:pt idx="498">
                  <c:v>12.92</c:v>
                </c:pt>
                <c:pt idx="499">
                  <c:v>15.1</c:v>
                </c:pt>
                <c:pt idx="500">
                  <c:v>14.33</c:v>
                </c:pt>
                <c:pt idx="501">
                  <c:v>9.67</c:v>
                </c:pt>
                <c:pt idx="502">
                  <c:v>9.08</c:v>
                </c:pt>
                <c:pt idx="503">
                  <c:v>5.64</c:v>
                </c:pt>
                <c:pt idx="504">
                  <c:v>6.48</c:v>
                </c:pt>
                <c:pt idx="505">
                  <c:v>7.88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94560"/>
        <c:axId val="143353536"/>
      </c:lineChart>
      <c:catAx>
        <c:axId val="142594560"/>
        <c:scaling>
          <c:orientation val="minMax"/>
        </c:scaling>
        <c:delete val="0"/>
        <c:axPos val="b"/>
        <c:majorTickMark val="out"/>
        <c:minorTickMark val="none"/>
        <c:tickLblPos val="nextTo"/>
        <c:crossAx val="143353536"/>
        <c:crosses val="autoZero"/>
        <c:auto val="1"/>
        <c:lblAlgn val="ctr"/>
        <c:lblOffset val="100"/>
        <c:noMultiLvlLbl val="0"/>
      </c:catAx>
      <c:valAx>
        <c:axId val="1433535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425945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보스턴주택가격!$N$2</c:f>
              <c:strCache>
                <c:ptCount val="1"/>
                <c:pt idx="0">
                  <c:v>주택가격</c:v>
                </c:pt>
              </c:strCache>
            </c:strRef>
          </c:tx>
          <c:val>
            <c:numRef>
              <c:f>보스턴주택가격!$N$3:$N$508</c:f>
              <c:numCache>
                <c:formatCode>General</c:formatCode>
                <c:ptCount val="506"/>
                <c:pt idx="0">
                  <c:v>24</c:v>
                </c:pt>
                <c:pt idx="1">
                  <c:v>21.6</c:v>
                </c:pt>
                <c:pt idx="2">
                  <c:v>34.700000000000003</c:v>
                </c:pt>
                <c:pt idx="3">
                  <c:v>33.4</c:v>
                </c:pt>
                <c:pt idx="4">
                  <c:v>36.200000000000003</c:v>
                </c:pt>
                <c:pt idx="5">
                  <c:v>28.7</c:v>
                </c:pt>
                <c:pt idx="6">
                  <c:v>22.9</c:v>
                </c:pt>
                <c:pt idx="7">
                  <c:v>27.1</c:v>
                </c:pt>
                <c:pt idx="8">
                  <c:v>16.5</c:v>
                </c:pt>
                <c:pt idx="9">
                  <c:v>18.899999999999999</c:v>
                </c:pt>
                <c:pt idx="10">
                  <c:v>15</c:v>
                </c:pt>
                <c:pt idx="11">
                  <c:v>18.899999999999999</c:v>
                </c:pt>
                <c:pt idx="12">
                  <c:v>21.7</c:v>
                </c:pt>
                <c:pt idx="13">
                  <c:v>20.399999999999999</c:v>
                </c:pt>
                <c:pt idx="14">
                  <c:v>18.2</c:v>
                </c:pt>
                <c:pt idx="15">
                  <c:v>19.899999999999999</c:v>
                </c:pt>
                <c:pt idx="16">
                  <c:v>23.1</c:v>
                </c:pt>
                <c:pt idx="17">
                  <c:v>17.5</c:v>
                </c:pt>
                <c:pt idx="18">
                  <c:v>20.2</c:v>
                </c:pt>
                <c:pt idx="19">
                  <c:v>18.2</c:v>
                </c:pt>
                <c:pt idx="20">
                  <c:v>13.6</c:v>
                </c:pt>
                <c:pt idx="21">
                  <c:v>19.600000000000001</c:v>
                </c:pt>
                <c:pt idx="22">
                  <c:v>15.2</c:v>
                </c:pt>
                <c:pt idx="23">
                  <c:v>14.5</c:v>
                </c:pt>
                <c:pt idx="24">
                  <c:v>15.6</c:v>
                </c:pt>
                <c:pt idx="25">
                  <c:v>13.9</c:v>
                </c:pt>
                <c:pt idx="26">
                  <c:v>16.600000000000001</c:v>
                </c:pt>
                <c:pt idx="27">
                  <c:v>14.8</c:v>
                </c:pt>
                <c:pt idx="28">
                  <c:v>18.399999999999999</c:v>
                </c:pt>
                <c:pt idx="29">
                  <c:v>21</c:v>
                </c:pt>
                <c:pt idx="30">
                  <c:v>12.7</c:v>
                </c:pt>
                <c:pt idx="31">
                  <c:v>14.5</c:v>
                </c:pt>
                <c:pt idx="32">
                  <c:v>13.2</c:v>
                </c:pt>
                <c:pt idx="33">
                  <c:v>13.1</c:v>
                </c:pt>
                <c:pt idx="34">
                  <c:v>13.5</c:v>
                </c:pt>
                <c:pt idx="35">
                  <c:v>18.899999999999999</c:v>
                </c:pt>
                <c:pt idx="36">
                  <c:v>20</c:v>
                </c:pt>
                <c:pt idx="37">
                  <c:v>21</c:v>
                </c:pt>
                <c:pt idx="38">
                  <c:v>24.7</c:v>
                </c:pt>
                <c:pt idx="39">
                  <c:v>30.8</c:v>
                </c:pt>
                <c:pt idx="40">
                  <c:v>34.9</c:v>
                </c:pt>
                <c:pt idx="41">
                  <c:v>26.6</c:v>
                </c:pt>
                <c:pt idx="42">
                  <c:v>25.3</c:v>
                </c:pt>
                <c:pt idx="43">
                  <c:v>24.7</c:v>
                </c:pt>
                <c:pt idx="44">
                  <c:v>21.2</c:v>
                </c:pt>
                <c:pt idx="45">
                  <c:v>19.3</c:v>
                </c:pt>
                <c:pt idx="46">
                  <c:v>20</c:v>
                </c:pt>
                <c:pt idx="47">
                  <c:v>16.600000000000001</c:v>
                </c:pt>
                <c:pt idx="48">
                  <c:v>14.4</c:v>
                </c:pt>
                <c:pt idx="49">
                  <c:v>19.399999999999999</c:v>
                </c:pt>
                <c:pt idx="50">
                  <c:v>19.7</c:v>
                </c:pt>
                <c:pt idx="51">
                  <c:v>20.5</c:v>
                </c:pt>
                <c:pt idx="52">
                  <c:v>25</c:v>
                </c:pt>
                <c:pt idx="53">
                  <c:v>23.4</c:v>
                </c:pt>
                <c:pt idx="54">
                  <c:v>18.899999999999999</c:v>
                </c:pt>
                <c:pt idx="55">
                  <c:v>35.4</c:v>
                </c:pt>
                <c:pt idx="56">
                  <c:v>24.7</c:v>
                </c:pt>
                <c:pt idx="57">
                  <c:v>31.6</c:v>
                </c:pt>
                <c:pt idx="58">
                  <c:v>23.3</c:v>
                </c:pt>
                <c:pt idx="59">
                  <c:v>19.600000000000001</c:v>
                </c:pt>
                <c:pt idx="60">
                  <c:v>18.7</c:v>
                </c:pt>
                <c:pt idx="61">
                  <c:v>16</c:v>
                </c:pt>
                <c:pt idx="62">
                  <c:v>22.2</c:v>
                </c:pt>
                <c:pt idx="63">
                  <c:v>25</c:v>
                </c:pt>
                <c:pt idx="64">
                  <c:v>33</c:v>
                </c:pt>
                <c:pt idx="65">
                  <c:v>23.5</c:v>
                </c:pt>
                <c:pt idx="66">
                  <c:v>19.399999999999999</c:v>
                </c:pt>
                <c:pt idx="67">
                  <c:v>22</c:v>
                </c:pt>
                <c:pt idx="68">
                  <c:v>17.399999999999999</c:v>
                </c:pt>
                <c:pt idx="69">
                  <c:v>20.9</c:v>
                </c:pt>
                <c:pt idx="70">
                  <c:v>24.2</c:v>
                </c:pt>
                <c:pt idx="71">
                  <c:v>21.7</c:v>
                </c:pt>
                <c:pt idx="72">
                  <c:v>22.8</c:v>
                </c:pt>
                <c:pt idx="73">
                  <c:v>23.4</c:v>
                </c:pt>
                <c:pt idx="74">
                  <c:v>24.1</c:v>
                </c:pt>
                <c:pt idx="75">
                  <c:v>21.4</c:v>
                </c:pt>
                <c:pt idx="76">
                  <c:v>20</c:v>
                </c:pt>
                <c:pt idx="77">
                  <c:v>20.8</c:v>
                </c:pt>
                <c:pt idx="78">
                  <c:v>21.2</c:v>
                </c:pt>
                <c:pt idx="79">
                  <c:v>20.3</c:v>
                </c:pt>
                <c:pt idx="80">
                  <c:v>28</c:v>
                </c:pt>
                <c:pt idx="81">
                  <c:v>23.9</c:v>
                </c:pt>
                <c:pt idx="82">
                  <c:v>24.8</c:v>
                </c:pt>
                <c:pt idx="83">
                  <c:v>22.9</c:v>
                </c:pt>
                <c:pt idx="84">
                  <c:v>23.9</c:v>
                </c:pt>
                <c:pt idx="85">
                  <c:v>26.6</c:v>
                </c:pt>
                <c:pt idx="86">
                  <c:v>22.5</c:v>
                </c:pt>
                <c:pt idx="87">
                  <c:v>22.2</c:v>
                </c:pt>
                <c:pt idx="88">
                  <c:v>23.6</c:v>
                </c:pt>
                <c:pt idx="89">
                  <c:v>28.7</c:v>
                </c:pt>
                <c:pt idx="90">
                  <c:v>22.6</c:v>
                </c:pt>
                <c:pt idx="91">
                  <c:v>22</c:v>
                </c:pt>
                <c:pt idx="92">
                  <c:v>22.9</c:v>
                </c:pt>
                <c:pt idx="93">
                  <c:v>25</c:v>
                </c:pt>
                <c:pt idx="94">
                  <c:v>20.6</c:v>
                </c:pt>
                <c:pt idx="95">
                  <c:v>28.4</c:v>
                </c:pt>
                <c:pt idx="96">
                  <c:v>21.4</c:v>
                </c:pt>
                <c:pt idx="97">
                  <c:v>38.700000000000003</c:v>
                </c:pt>
                <c:pt idx="98">
                  <c:v>43.8</c:v>
                </c:pt>
                <c:pt idx="99">
                  <c:v>33.200000000000003</c:v>
                </c:pt>
                <c:pt idx="100">
                  <c:v>27.5</c:v>
                </c:pt>
                <c:pt idx="101">
                  <c:v>26.5</c:v>
                </c:pt>
                <c:pt idx="102">
                  <c:v>18.600000000000001</c:v>
                </c:pt>
                <c:pt idx="103">
                  <c:v>19.3</c:v>
                </c:pt>
                <c:pt idx="104">
                  <c:v>20.100000000000001</c:v>
                </c:pt>
                <c:pt idx="105">
                  <c:v>19.5</c:v>
                </c:pt>
                <c:pt idx="106">
                  <c:v>19.5</c:v>
                </c:pt>
                <c:pt idx="107">
                  <c:v>20.399999999999999</c:v>
                </c:pt>
                <c:pt idx="108">
                  <c:v>19.8</c:v>
                </c:pt>
                <c:pt idx="109">
                  <c:v>19.399999999999999</c:v>
                </c:pt>
                <c:pt idx="110">
                  <c:v>21.7</c:v>
                </c:pt>
                <c:pt idx="111">
                  <c:v>22.8</c:v>
                </c:pt>
                <c:pt idx="112">
                  <c:v>18.8</c:v>
                </c:pt>
                <c:pt idx="113">
                  <c:v>18.7</c:v>
                </c:pt>
                <c:pt idx="114">
                  <c:v>18.5</c:v>
                </c:pt>
                <c:pt idx="115">
                  <c:v>18.3</c:v>
                </c:pt>
                <c:pt idx="116">
                  <c:v>21.2</c:v>
                </c:pt>
                <c:pt idx="117">
                  <c:v>19.2</c:v>
                </c:pt>
                <c:pt idx="118">
                  <c:v>20.399999999999999</c:v>
                </c:pt>
                <c:pt idx="119">
                  <c:v>19.3</c:v>
                </c:pt>
                <c:pt idx="120">
                  <c:v>22</c:v>
                </c:pt>
                <c:pt idx="121">
                  <c:v>20.3</c:v>
                </c:pt>
                <c:pt idx="122">
                  <c:v>20.5</c:v>
                </c:pt>
                <c:pt idx="123">
                  <c:v>17.3</c:v>
                </c:pt>
                <c:pt idx="124">
                  <c:v>18.8</c:v>
                </c:pt>
                <c:pt idx="125">
                  <c:v>21.4</c:v>
                </c:pt>
                <c:pt idx="126">
                  <c:v>15.7</c:v>
                </c:pt>
                <c:pt idx="127">
                  <c:v>16.2</c:v>
                </c:pt>
                <c:pt idx="128">
                  <c:v>18</c:v>
                </c:pt>
                <c:pt idx="129">
                  <c:v>14.3</c:v>
                </c:pt>
                <c:pt idx="130">
                  <c:v>19.2</c:v>
                </c:pt>
                <c:pt idx="131">
                  <c:v>19.600000000000001</c:v>
                </c:pt>
                <c:pt idx="132">
                  <c:v>23</c:v>
                </c:pt>
                <c:pt idx="133">
                  <c:v>18.399999999999999</c:v>
                </c:pt>
                <c:pt idx="134">
                  <c:v>15.6</c:v>
                </c:pt>
                <c:pt idx="135">
                  <c:v>18.100000000000001</c:v>
                </c:pt>
                <c:pt idx="136">
                  <c:v>17.399999999999999</c:v>
                </c:pt>
                <c:pt idx="137">
                  <c:v>17.100000000000001</c:v>
                </c:pt>
                <c:pt idx="138">
                  <c:v>13.3</c:v>
                </c:pt>
                <c:pt idx="139">
                  <c:v>17.8</c:v>
                </c:pt>
                <c:pt idx="140">
                  <c:v>14</c:v>
                </c:pt>
                <c:pt idx="141">
                  <c:v>14.4</c:v>
                </c:pt>
                <c:pt idx="142">
                  <c:v>13.4</c:v>
                </c:pt>
                <c:pt idx="143">
                  <c:v>15.6</c:v>
                </c:pt>
                <c:pt idx="144">
                  <c:v>11.8</c:v>
                </c:pt>
                <c:pt idx="145">
                  <c:v>13.8</c:v>
                </c:pt>
                <c:pt idx="146">
                  <c:v>15.6</c:v>
                </c:pt>
                <c:pt idx="147">
                  <c:v>14.6</c:v>
                </c:pt>
                <c:pt idx="148">
                  <c:v>17.8</c:v>
                </c:pt>
                <c:pt idx="149">
                  <c:v>15.4</c:v>
                </c:pt>
                <c:pt idx="150">
                  <c:v>21.5</c:v>
                </c:pt>
                <c:pt idx="151">
                  <c:v>19.600000000000001</c:v>
                </c:pt>
                <c:pt idx="152">
                  <c:v>15.3</c:v>
                </c:pt>
                <c:pt idx="153">
                  <c:v>19.399999999999999</c:v>
                </c:pt>
                <c:pt idx="154">
                  <c:v>17</c:v>
                </c:pt>
                <c:pt idx="155">
                  <c:v>15.6</c:v>
                </c:pt>
                <c:pt idx="156">
                  <c:v>13.1</c:v>
                </c:pt>
                <c:pt idx="157">
                  <c:v>41.3</c:v>
                </c:pt>
                <c:pt idx="158">
                  <c:v>24.3</c:v>
                </c:pt>
                <c:pt idx="159">
                  <c:v>23.3</c:v>
                </c:pt>
                <c:pt idx="160">
                  <c:v>27</c:v>
                </c:pt>
                <c:pt idx="161">
                  <c:v>50</c:v>
                </c:pt>
                <c:pt idx="162">
                  <c:v>50</c:v>
                </c:pt>
                <c:pt idx="163">
                  <c:v>50</c:v>
                </c:pt>
                <c:pt idx="164">
                  <c:v>22.7</c:v>
                </c:pt>
                <c:pt idx="165">
                  <c:v>25</c:v>
                </c:pt>
                <c:pt idx="166">
                  <c:v>50</c:v>
                </c:pt>
                <c:pt idx="167">
                  <c:v>23.8</c:v>
                </c:pt>
                <c:pt idx="168">
                  <c:v>23.8</c:v>
                </c:pt>
                <c:pt idx="169">
                  <c:v>22.3</c:v>
                </c:pt>
                <c:pt idx="170">
                  <c:v>17.399999999999999</c:v>
                </c:pt>
                <c:pt idx="171">
                  <c:v>19.100000000000001</c:v>
                </c:pt>
                <c:pt idx="172">
                  <c:v>23.1</c:v>
                </c:pt>
                <c:pt idx="173">
                  <c:v>23.6</c:v>
                </c:pt>
                <c:pt idx="174">
                  <c:v>22.6</c:v>
                </c:pt>
                <c:pt idx="175">
                  <c:v>29.4</c:v>
                </c:pt>
                <c:pt idx="176">
                  <c:v>23.2</c:v>
                </c:pt>
                <c:pt idx="177">
                  <c:v>24.6</c:v>
                </c:pt>
                <c:pt idx="178">
                  <c:v>29.9</c:v>
                </c:pt>
                <c:pt idx="179">
                  <c:v>37.200000000000003</c:v>
                </c:pt>
                <c:pt idx="180">
                  <c:v>39.799999999999997</c:v>
                </c:pt>
                <c:pt idx="181">
                  <c:v>36.200000000000003</c:v>
                </c:pt>
                <c:pt idx="182">
                  <c:v>37.9</c:v>
                </c:pt>
                <c:pt idx="183">
                  <c:v>32.5</c:v>
                </c:pt>
                <c:pt idx="184">
                  <c:v>26.4</c:v>
                </c:pt>
                <c:pt idx="185">
                  <c:v>29.6</c:v>
                </c:pt>
                <c:pt idx="186">
                  <c:v>50</c:v>
                </c:pt>
                <c:pt idx="187">
                  <c:v>32</c:v>
                </c:pt>
                <c:pt idx="188">
                  <c:v>29.8</c:v>
                </c:pt>
                <c:pt idx="189">
                  <c:v>34.9</c:v>
                </c:pt>
                <c:pt idx="190">
                  <c:v>37</c:v>
                </c:pt>
                <c:pt idx="191">
                  <c:v>30.5</c:v>
                </c:pt>
                <c:pt idx="192">
                  <c:v>36.4</c:v>
                </c:pt>
                <c:pt idx="193">
                  <c:v>31.1</c:v>
                </c:pt>
                <c:pt idx="194">
                  <c:v>29.1</c:v>
                </c:pt>
                <c:pt idx="195">
                  <c:v>50</c:v>
                </c:pt>
                <c:pt idx="196">
                  <c:v>33.299999999999997</c:v>
                </c:pt>
                <c:pt idx="197">
                  <c:v>30.3</c:v>
                </c:pt>
                <c:pt idx="198">
                  <c:v>34.6</c:v>
                </c:pt>
                <c:pt idx="199">
                  <c:v>34.9</c:v>
                </c:pt>
                <c:pt idx="200">
                  <c:v>32.9</c:v>
                </c:pt>
                <c:pt idx="201">
                  <c:v>24.1</c:v>
                </c:pt>
                <c:pt idx="202">
                  <c:v>42.3</c:v>
                </c:pt>
                <c:pt idx="203">
                  <c:v>48.5</c:v>
                </c:pt>
                <c:pt idx="204">
                  <c:v>50</c:v>
                </c:pt>
                <c:pt idx="205">
                  <c:v>22.6</c:v>
                </c:pt>
                <c:pt idx="206">
                  <c:v>24.4</c:v>
                </c:pt>
                <c:pt idx="207">
                  <c:v>22.5</c:v>
                </c:pt>
                <c:pt idx="208">
                  <c:v>24.4</c:v>
                </c:pt>
                <c:pt idx="209">
                  <c:v>20</c:v>
                </c:pt>
                <c:pt idx="210">
                  <c:v>21.7</c:v>
                </c:pt>
                <c:pt idx="211">
                  <c:v>19.3</c:v>
                </c:pt>
                <c:pt idx="212">
                  <c:v>22.4</c:v>
                </c:pt>
                <c:pt idx="213">
                  <c:v>28.1</c:v>
                </c:pt>
                <c:pt idx="214">
                  <c:v>23.7</c:v>
                </c:pt>
                <c:pt idx="215">
                  <c:v>25</c:v>
                </c:pt>
                <c:pt idx="216">
                  <c:v>23.3</c:v>
                </c:pt>
                <c:pt idx="217">
                  <c:v>28.7</c:v>
                </c:pt>
                <c:pt idx="218">
                  <c:v>21.5</c:v>
                </c:pt>
                <c:pt idx="219">
                  <c:v>23</c:v>
                </c:pt>
                <c:pt idx="220">
                  <c:v>26.7</c:v>
                </c:pt>
                <c:pt idx="221">
                  <c:v>21.7</c:v>
                </c:pt>
                <c:pt idx="222">
                  <c:v>27.5</c:v>
                </c:pt>
                <c:pt idx="223">
                  <c:v>30.1</c:v>
                </c:pt>
                <c:pt idx="224">
                  <c:v>44.8</c:v>
                </c:pt>
                <c:pt idx="225">
                  <c:v>50</c:v>
                </c:pt>
                <c:pt idx="226">
                  <c:v>37.6</c:v>
                </c:pt>
                <c:pt idx="227">
                  <c:v>31.6</c:v>
                </c:pt>
                <c:pt idx="228">
                  <c:v>46.7</c:v>
                </c:pt>
                <c:pt idx="229">
                  <c:v>31.5</c:v>
                </c:pt>
                <c:pt idx="230">
                  <c:v>24.3</c:v>
                </c:pt>
                <c:pt idx="231">
                  <c:v>31.7</c:v>
                </c:pt>
                <c:pt idx="232">
                  <c:v>41.7</c:v>
                </c:pt>
                <c:pt idx="233">
                  <c:v>48.3</c:v>
                </c:pt>
                <c:pt idx="234">
                  <c:v>29</c:v>
                </c:pt>
                <c:pt idx="235">
                  <c:v>24</c:v>
                </c:pt>
                <c:pt idx="236">
                  <c:v>25.1</c:v>
                </c:pt>
                <c:pt idx="237">
                  <c:v>31.5</c:v>
                </c:pt>
                <c:pt idx="238">
                  <c:v>23.7</c:v>
                </c:pt>
                <c:pt idx="239">
                  <c:v>23.3</c:v>
                </c:pt>
                <c:pt idx="240">
                  <c:v>22</c:v>
                </c:pt>
                <c:pt idx="241">
                  <c:v>20.100000000000001</c:v>
                </c:pt>
                <c:pt idx="242">
                  <c:v>22.2</c:v>
                </c:pt>
                <c:pt idx="243">
                  <c:v>23.7</c:v>
                </c:pt>
                <c:pt idx="244">
                  <c:v>17.600000000000001</c:v>
                </c:pt>
                <c:pt idx="245">
                  <c:v>18.5</c:v>
                </c:pt>
                <c:pt idx="246">
                  <c:v>24.3</c:v>
                </c:pt>
                <c:pt idx="247">
                  <c:v>20.5</c:v>
                </c:pt>
                <c:pt idx="248">
                  <c:v>24.5</c:v>
                </c:pt>
                <c:pt idx="249">
                  <c:v>26.2</c:v>
                </c:pt>
                <c:pt idx="250">
                  <c:v>24.4</c:v>
                </c:pt>
                <c:pt idx="251">
                  <c:v>24.8</c:v>
                </c:pt>
                <c:pt idx="252">
                  <c:v>29.6</c:v>
                </c:pt>
                <c:pt idx="253">
                  <c:v>42.8</c:v>
                </c:pt>
                <c:pt idx="254">
                  <c:v>21.9</c:v>
                </c:pt>
                <c:pt idx="255">
                  <c:v>20.9</c:v>
                </c:pt>
                <c:pt idx="256">
                  <c:v>44</c:v>
                </c:pt>
                <c:pt idx="257">
                  <c:v>50</c:v>
                </c:pt>
                <c:pt idx="258">
                  <c:v>36</c:v>
                </c:pt>
                <c:pt idx="259">
                  <c:v>30.1</c:v>
                </c:pt>
                <c:pt idx="260">
                  <c:v>33.799999999999997</c:v>
                </c:pt>
                <c:pt idx="261">
                  <c:v>43.1</c:v>
                </c:pt>
                <c:pt idx="262">
                  <c:v>48.8</c:v>
                </c:pt>
                <c:pt idx="263">
                  <c:v>31</c:v>
                </c:pt>
                <c:pt idx="264">
                  <c:v>36.5</c:v>
                </c:pt>
                <c:pt idx="265">
                  <c:v>22.8</c:v>
                </c:pt>
                <c:pt idx="266">
                  <c:v>30.7</c:v>
                </c:pt>
                <c:pt idx="267">
                  <c:v>50</c:v>
                </c:pt>
                <c:pt idx="268">
                  <c:v>43.5</c:v>
                </c:pt>
                <c:pt idx="269">
                  <c:v>20.7</c:v>
                </c:pt>
                <c:pt idx="270">
                  <c:v>21.1</c:v>
                </c:pt>
                <c:pt idx="271">
                  <c:v>25.2</c:v>
                </c:pt>
                <c:pt idx="272">
                  <c:v>24.4</c:v>
                </c:pt>
                <c:pt idx="273">
                  <c:v>35.200000000000003</c:v>
                </c:pt>
                <c:pt idx="274">
                  <c:v>32.4</c:v>
                </c:pt>
                <c:pt idx="275">
                  <c:v>32</c:v>
                </c:pt>
                <c:pt idx="276">
                  <c:v>33.200000000000003</c:v>
                </c:pt>
                <c:pt idx="277">
                  <c:v>33.1</c:v>
                </c:pt>
                <c:pt idx="278">
                  <c:v>29.1</c:v>
                </c:pt>
                <c:pt idx="279">
                  <c:v>35.1</c:v>
                </c:pt>
                <c:pt idx="280">
                  <c:v>45.4</c:v>
                </c:pt>
                <c:pt idx="281">
                  <c:v>35.4</c:v>
                </c:pt>
                <c:pt idx="282">
                  <c:v>46</c:v>
                </c:pt>
                <c:pt idx="283">
                  <c:v>50</c:v>
                </c:pt>
                <c:pt idx="284">
                  <c:v>32.200000000000003</c:v>
                </c:pt>
                <c:pt idx="285">
                  <c:v>22</c:v>
                </c:pt>
                <c:pt idx="286">
                  <c:v>20.100000000000001</c:v>
                </c:pt>
                <c:pt idx="287">
                  <c:v>23.2</c:v>
                </c:pt>
                <c:pt idx="288">
                  <c:v>22.3</c:v>
                </c:pt>
                <c:pt idx="289">
                  <c:v>24.8</c:v>
                </c:pt>
                <c:pt idx="290">
                  <c:v>28.5</c:v>
                </c:pt>
                <c:pt idx="291">
                  <c:v>37.299999999999997</c:v>
                </c:pt>
                <c:pt idx="292">
                  <c:v>27.9</c:v>
                </c:pt>
                <c:pt idx="293">
                  <c:v>23.9</c:v>
                </c:pt>
                <c:pt idx="294">
                  <c:v>21.7</c:v>
                </c:pt>
                <c:pt idx="295">
                  <c:v>28.6</c:v>
                </c:pt>
                <c:pt idx="296">
                  <c:v>27.1</c:v>
                </c:pt>
                <c:pt idx="297">
                  <c:v>20.3</c:v>
                </c:pt>
                <c:pt idx="298">
                  <c:v>22.5</c:v>
                </c:pt>
                <c:pt idx="299">
                  <c:v>29</c:v>
                </c:pt>
                <c:pt idx="300">
                  <c:v>24.8</c:v>
                </c:pt>
                <c:pt idx="301">
                  <c:v>22</c:v>
                </c:pt>
                <c:pt idx="302">
                  <c:v>26.4</c:v>
                </c:pt>
                <c:pt idx="303">
                  <c:v>33.1</c:v>
                </c:pt>
                <c:pt idx="304">
                  <c:v>36.1</c:v>
                </c:pt>
                <c:pt idx="305">
                  <c:v>28.4</c:v>
                </c:pt>
                <c:pt idx="306">
                  <c:v>33.4</c:v>
                </c:pt>
                <c:pt idx="307">
                  <c:v>28.2</c:v>
                </c:pt>
                <c:pt idx="308">
                  <c:v>22.8</c:v>
                </c:pt>
                <c:pt idx="309">
                  <c:v>20.3</c:v>
                </c:pt>
                <c:pt idx="310">
                  <c:v>16.100000000000001</c:v>
                </c:pt>
                <c:pt idx="311">
                  <c:v>22.1</c:v>
                </c:pt>
                <c:pt idx="312">
                  <c:v>19.399999999999999</c:v>
                </c:pt>
                <c:pt idx="313">
                  <c:v>21.6</c:v>
                </c:pt>
                <c:pt idx="314">
                  <c:v>23.8</c:v>
                </c:pt>
                <c:pt idx="315">
                  <c:v>16.2</c:v>
                </c:pt>
                <c:pt idx="316">
                  <c:v>17.8</c:v>
                </c:pt>
                <c:pt idx="317">
                  <c:v>19.8</c:v>
                </c:pt>
                <c:pt idx="318">
                  <c:v>23.1</c:v>
                </c:pt>
                <c:pt idx="319">
                  <c:v>21</c:v>
                </c:pt>
                <c:pt idx="320">
                  <c:v>23.8</c:v>
                </c:pt>
                <c:pt idx="321">
                  <c:v>23.1</c:v>
                </c:pt>
                <c:pt idx="322">
                  <c:v>20.399999999999999</c:v>
                </c:pt>
                <c:pt idx="323">
                  <c:v>18.5</c:v>
                </c:pt>
                <c:pt idx="324">
                  <c:v>25</c:v>
                </c:pt>
                <c:pt idx="325">
                  <c:v>24.6</c:v>
                </c:pt>
                <c:pt idx="326">
                  <c:v>23</c:v>
                </c:pt>
                <c:pt idx="327">
                  <c:v>22.2</c:v>
                </c:pt>
                <c:pt idx="328">
                  <c:v>19.3</c:v>
                </c:pt>
                <c:pt idx="329">
                  <c:v>22.6</c:v>
                </c:pt>
                <c:pt idx="330">
                  <c:v>19.8</c:v>
                </c:pt>
                <c:pt idx="331">
                  <c:v>17.100000000000001</c:v>
                </c:pt>
                <c:pt idx="332">
                  <c:v>19.399999999999999</c:v>
                </c:pt>
                <c:pt idx="333">
                  <c:v>22.2</c:v>
                </c:pt>
                <c:pt idx="334">
                  <c:v>20.7</c:v>
                </c:pt>
                <c:pt idx="335">
                  <c:v>21.1</c:v>
                </c:pt>
                <c:pt idx="336">
                  <c:v>19.5</c:v>
                </c:pt>
                <c:pt idx="337">
                  <c:v>18.5</c:v>
                </c:pt>
                <c:pt idx="338">
                  <c:v>20.6</c:v>
                </c:pt>
                <c:pt idx="339">
                  <c:v>19</c:v>
                </c:pt>
                <c:pt idx="340">
                  <c:v>18.7</c:v>
                </c:pt>
                <c:pt idx="341">
                  <c:v>32.700000000000003</c:v>
                </c:pt>
                <c:pt idx="342">
                  <c:v>16.5</c:v>
                </c:pt>
                <c:pt idx="343">
                  <c:v>23.9</c:v>
                </c:pt>
                <c:pt idx="344">
                  <c:v>31.2</c:v>
                </c:pt>
                <c:pt idx="345">
                  <c:v>17.5</c:v>
                </c:pt>
                <c:pt idx="346">
                  <c:v>17.2</c:v>
                </c:pt>
                <c:pt idx="347">
                  <c:v>23.1</c:v>
                </c:pt>
                <c:pt idx="348">
                  <c:v>24.5</c:v>
                </c:pt>
                <c:pt idx="349">
                  <c:v>26.6</c:v>
                </c:pt>
                <c:pt idx="350">
                  <c:v>22.9</c:v>
                </c:pt>
                <c:pt idx="351">
                  <c:v>24.1</c:v>
                </c:pt>
                <c:pt idx="352">
                  <c:v>18.600000000000001</c:v>
                </c:pt>
                <c:pt idx="353">
                  <c:v>30.1</c:v>
                </c:pt>
                <c:pt idx="354">
                  <c:v>18.2</c:v>
                </c:pt>
                <c:pt idx="355">
                  <c:v>20.6</c:v>
                </c:pt>
                <c:pt idx="356">
                  <c:v>17.8</c:v>
                </c:pt>
                <c:pt idx="357">
                  <c:v>21.7</c:v>
                </c:pt>
                <c:pt idx="358">
                  <c:v>22.7</c:v>
                </c:pt>
                <c:pt idx="359">
                  <c:v>22.6</c:v>
                </c:pt>
                <c:pt idx="360">
                  <c:v>25</c:v>
                </c:pt>
                <c:pt idx="361">
                  <c:v>19.899999999999999</c:v>
                </c:pt>
                <c:pt idx="362">
                  <c:v>20.8</c:v>
                </c:pt>
                <c:pt idx="363">
                  <c:v>16.8</c:v>
                </c:pt>
                <c:pt idx="364">
                  <c:v>21.9</c:v>
                </c:pt>
                <c:pt idx="365">
                  <c:v>27.5</c:v>
                </c:pt>
                <c:pt idx="366">
                  <c:v>21.9</c:v>
                </c:pt>
                <c:pt idx="367">
                  <c:v>23.1</c:v>
                </c:pt>
                <c:pt idx="368">
                  <c:v>50</c:v>
                </c:pt>
                <c:pt idx="369">
                  <c:v>50</c:v>
                </c:pt>
                <c:pt idx="370">
                  <c:v>50</c:v>
                </c:pt>
                <c:pt idx="371">
                  <c:v>50</c:v>
                </c:pt>
                <c:pt idx="372">
                  <c:v>50</c:v>
                </c:pt>
                <c:pt idx="373">
                  <c:v>13.8</c:v>
                </c:pt>
                <c:pt idx="374">
                  <c:v>13.8</c:v>
                </c:pt>
                <c:pt idx="375">
                  <c:v>15</c:v>
                </c:pt>
                <c:pt idx="376">
                  <c:v>13.9</c:v>
                </c:pt>
                <c:pt idx="377">
                  <c:v>13.3</c:v>
                </c:pt>
                <c:pt idx="378">
                  <c:v>13.1</c:v>
                </c:pt>
                <c:pt idx="379">
                  <c:v>10.199999999999999</c:v>
                </c:pt>
                <c:pt idx="380">
                  <c:v>10.4</c:v>
                </c:pt>
                <c:pt idx="381">
                  <c:v>10.9</c:v>
                </c:pt>
                <c:pt idx="382">
                  <c:v>11.3</c:v>
                </c:pt>
                <c:pt idx="383">
                  <c:v>12.3</c:v>
                </c:pt>
                <c:pt idx="384">
                  <c:v>8.8000000000000007</c:v>
                </c:pt>
                <c:pt idx="385">
                  <c:v>7.2</c:v>
                </c:pt>
                <c:pt idx="386">
                  <c:v>10.5</c:v>
                </c:pt>
                <c:pt idx="387">
                  <c:v>7.4</c:v>
                </c:pt>
                <c:pt idx="388">
                  <c:v>10.199999999999999</c:v>
                </c:pt>
                <c:pt idx="389">
                  <c:v>11.5</c:v>
                </c:pt>
                <c:pt idx="390">
                  <c:v>15.1</c:v>
                </c:pt>
                <c:pt idx="391">
                  <c:v>23.2</c:v>
                </c:pt>
                <c:pt idx="392">
                  <c:v>9.6999999999999993</c:v>
                </c:pt>
                <c:pt idx="393">
                  <c:v>13.8</c:v>
                </c:pt>
                <c:pt idx="394">
                  <c:v>12.7</c:v>
                </c:pt>
                <c:pt idx="395">
                  <c:v>13.1</c:v>
                </c:pt>
                <c:pt idx="396">
                  <c:v>12.5</c:v>
                </c:pt>
                <c:pt idx="397">
                  <c:v>8.5</c:v>
                </c:pt>
                <c:pt idx="398">
                  <c:v>5</c:v>
                </c:pt>
                <c:pt idx="399">
                  <c:v>6.3</c:v>
                </c:pt>
                <c:pt idx="400">
                  <c:v>5.6</c:v>
                </c:pt>
                <c:pt idx="401">
                  <c:v>7.2</c:v>
                </c:pt>
                <c:pt idx="402">
                  <c:v>12.1</c:v>
                </c:pt>
                <c:pt idx="403">
                  <c:v>8.3000000000000007</c:v>
                </c:pt>
                <c:pt idx="404">
                  <c:v>8.5</c:v>
                </c:pt>
                <c:pt idx="405">
                  <c:v>5</c:v>
                </c:pt>
                <c:pt idx="406">
                  <c:v>11.9</c:v>
                </c:pt>
                <c:pt idx="407">
                  <c:v>27.9</c:v>
                </c:pt>
                <c:pt idx="408">
                  <c:v>17.2</c:v>
                </c:pt>
                <c:pt idx="409">
                  <c:v>27.5</c:v>
                </c:pt>
                <c:pt idx="410">
                  <c:v>15</c:v>
                </c:pt>
                <c:pt idx="411">
                  <c:v>17.2</c:v>
                </c:pt>
                <c:pt idx="412">
                  <c:v>17.899999999999999</c:v>
                </c:pt>
                <c:pt idx="413">
                  <c:v>16.3</c:v>
                </c:pt>
                <c:pt idx="414">
                  <c:v>7</c:v>
                </c:pt>
                <c:pt idx="415">
                  <c:v>7.2</c:v>
                </c:pt>
                <c:pt idx="416">
                  <c:v>7.5</c:v>
                </c:pt>
                <c:pt idx="417">
                  <c:v>10.4</c:v>
                </c:pt>
                <c:pt idx="418">
                  <c:v>8.8000000000000007</c:v>
                </c:pt>
                <c:pt idx="419">
                  <c:v>8.4</c:v>
                </c:pt>
                <c:pt idx="420">
                  <c:v>16.7</c:v>
                </c:pt>
                <c:pt idx="421">
                  <c:v>14.2</c:v>
                </c:pt>
                <c:pt idx="422">
                  <c:v>20.8</c:v>
                </c:pt>
                <c:pt idx="423">
                  <c:v>13.4</c:v>
                </c:pt>
                <c:pt idx="424">
                  <c:v>11.7</c:v>
                </c:pt>
                <c:pt idx="425">
                  <c:v>8.3000000000000007</c:v>
                </c:pt>
                <c:pt idx="426">
                  <c:v>10.199999999999999</c:v>
                </c:pt>
                <c:pt idx="427">
                  <c:v>10.9</c:v>
                </c:pt>
                <c:pt idx="428">
                  <c:v>11</c:v>
                </c:pt>
                <c:pt idx="429">
                  <c:v>9.5</c:v>
                </c:pt>
                <c:pt idx="430">
                  <c:v>14.5</c:v>
                </c:pt>
                <c:pt idx="431">
                  <c:v>14.1</c:v>
                </c:pt>
                <c:pt idx="432">
                  <c:v>16.100000000000001</c:v>
                </c:pt>
                <c:pt idx="433">
                  <c:v>14.3</c:v>
                </c:pt>
                <c:pt idx="434">
                  <c:v>11.7</c:v>
                </c:pt>
                <c:pt idx="435">
                  <c:v>13.4</c:v>
                </c:pt>
                <c:pt idx="436">
                  <c:v>9.6</c:v>
                </c:pt>
                <c:pt idx="437">
                  <c:v>8.6999999999999993</c:v>
                </c:pt>
                <c:pt idx="438">
                  <c:v>8.4</c:v>
                </c:pt>
                <c:pt idx="439">
                  <c:v>12.8</c:v>
                </c:pt>
                <c:pt idx="440">
                  <c:v>10.5</c:v>
                </c:pt>
                <c:pt idx="441">
                  <c:v>17.100000000000001</c:v>
                </c:pt>
                <c:pt idx="442">
                  <c:v>18.399999999999999</c:v>
                </c:pt>
                <c:pt idx="443">
                  <c:v>15.4</c:v>
                </c:pt>
                <c:pt idx="444">
                  <c:v>10.8</c:v>
                </c:pt>
                <c:pt idx="445">
                  <c:v>11.8</c:v>
                </c:pt>
                <c:pt idx="446">
                  <c:v>14.9</c:v>
                </c:pt>
                <c:pt idx="447">
                  <c:v>12.6</c:v>
                </c:pt>
                <c:pt idx="448">
                  <c:v>14.1</c:v>
                </c:pt>
                <c:pt idx="449">
                  <c:v>13</c:v>
                </c:pt>
                <c:pt idx="450">
                  <c:v>13.4</c:v>
                </c:pt>
                <c:pt idx="451">
                  <c:v>15.2</c:v>
                </c:pt>
                <c:pt idx="452">
                  <c:v>16.100000000000001</c:v>
                </c:pt>
                <c:pt idx="453">
                  <c:v>17.8</c:v>
                </c:pt>
                <c:pt idx="454">
                  <c:v>14.9</c:v>
                </c:pt>
                <c:pt idx="455">
                  <c:v>14.1</c:v>
                </c:pt>
                <c:pt idx="456">
                  <c:v>12.7</c:v>
                </c:pt>
                <c:pt idx="457">
                  <c:v>13.5</c:v>
                </c:pt>
                <c:pt idx="458">
                  <c:v>14.9</c:v>
                </c:pt>
                <c:pt idx="459">
                  <c:v>20</c:v>
                </c:pt>
                <c:pt idx="460">
                  <c:v>16.399999999999999</c:v>
                </c:pt>
                <c:pt idx="461">
                  <c:v>17.7</c:v>
                </c:pt>
                <c:pt idx="462">
                  <c:v>19.5</c:v>
                </c:pt>
                <c:pt idx="463">
                  <c:v>20.2</c:v>
                </c:pt>
                <c:pt idx="464">
                  <c:v>21.4</c:v>
                </c:pt>
                <c:pt idx="465">
                  <c:v>19.899999999999999</c:v>
                </c:pt>
                <c:pt idx="466">
                  <c:v>19</c:v>
                </c:pt>
                <c:pt idx="467">
                  <c:v>19.100000000000001</c:v>
                </c:pt>
                <c:pt idx="468">
                  <c:v>19.100000000000001</c:v>
                </c:pt>
                <c:pt idx="469">
                  <c:v>20.100000000000001</c:v>
                </c:pt>
                <c:pt idx="470">
                  <c:v>19.899999999999999</c:v>
                </c:pt>
                <c:pt idx="471">
                  <c:v>19.600000000000001</c:v>
                </c:pt>
                <c:pt idx="472">
                  <c:v>23.2</c:v>
                </c:pt>
                <c:pt idx="473">
                  <c:v>29.8</c:v>
                </c:pt>
                <c:pt idx="474">
                  <c:v>13.8</c:v>
                </c:pt>
                <c:pt idx="475">
                  <c:v>13.3</c:v>
                </c:pt>
                <c:pt idx="476">
                  <c:v>16.7</c:v>
                </c:pt>
                <c:pt idx="477">
                  <c:v>12</c:v>
                </c:pt>
                <c:pt idx="478">
                  <c:v>14.6</c:v>
                </c:pt>
                <c:pt idx="479">
                  <c:v>21.4</c:v>
                </c:pt>
                <c:pt idx="480">
                  <c:v>23</c:v>
                </c:pt>
                <c:pt idx="481">
                  <c:v>23.7</c:v>
                </c:pt>
                <c:pt idx="482">
                  <c:v>25</c:v>
                </c:pt>
                <c:pt idx="483">
                  <c:v>21.8</c:v>
                </c:pt>
                <c:pt idx="484">
                  <c:v>20.6</c:v>
                </c:pt>
                <c:pt idx="485">
                  <c:v>21.2</c:v>
                </c:pt>
                <c:pt idx="486">
                  <c:v>19.100000000000001</c:v>
                </c:pt>
                <c:pt idx="487">
                  <c:v>20.6</c:v>
                </c:pt>
                <c:pt idx="488">
                  <c:v>15.2</c:v>
                </c:pt>
                <c:pt idx="489">
                  <c:v>7</c:v>
                </c:pt>
                <c:pt idx="490">
                  <c:v>8.1</c:v>
                </c:pt>
                <c:pt idx="491">
                  <c:v>13.6</c:v>
                </c:pt>
                <c:pt idx="492">
                  <c:v>20.100000000000001</c:v>
                </c:pt>
                <c:pt idx="493">
                  <c:v>21.8</c:v>
                </c:pt>
                <c:pt idx="494">
                  <c:v>24.5</c:v>
                </c:pt>
                <c:pt idx="495">
                  <c:v>23.1</c:v>
                </c:pt>
                <c:pt idx="496">
                  <c:v>19.7</c:v>
                </c:pt>
                <c:pt idx="497">
                  <c:v>18.3</c:v>
                </c:pt>
                <c:pt idx="498">
                  <c:v>21.2</c:v>
                </c:pt>
                <c:pt idx="499">
                  <c:v>17.5</c:v>
                </c:pt>
                <c:pt idx="500">
                  <c:v>16.8</c:v>
                </c:pt>
                <c:pt idx="501">
                  <c:v>22.4</c:v>
                </c:pt>
                <c:pt idx="502">
                  <c:v>20.6</c:v>
                </c:pt>
                <c:pt idx="503">
                  <c:v>23.9</c:v>
                </c:pt>
                <c:pt idx="504">
                  <c:v>22</c:v>
                </c:pt>
                <c:pt idx="505">
                  <c:v>11.9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95072"/>
        <c:axId val="143355264"/>
      </c:lineChart>
      <c:catAx>
        <c:axId val="142595072"/>
        <c:scaling>
          <c:orientation val="minMax"/>
        </c:scaling>
        <c:delete val="0"/>
        <c:axPos val="b"/>
        <c:majorTickMark val="out"/>
        <c:minorTickMark val="none"/>
        <c:tickLblPos val="nextTo"/>
        <c:crossAx val="143355264"/>
        <c:crosses val="autoZero"/>
        <c:auto val="1"/>
        <c:lblAlgn val="ctr"/>
        <c:lblOffset val="100"/>
        <c:noMultiLvlLbl val="0"/>
      </c:catAx>
      <c:valAx>
        <c:axId val="14335526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42595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보스턴주택가격_회귀!$M$4</c:f>
              <c:strCache>
                <c:ptCount val="1"/>
                <c:pt idx="0">
                  <c:v>주택가격</c:v>
                </c:pt>
              </c:strCache>
            </c:strRef>
          </c:tx>
          <c:val>
            <c:numRef>
              <c:f>보스턴주택가격_회귀!$M$5:$M$510</c:f>
              <c:numCache>
                <c:formatCode>General</c:formatCode>
                <c:ptCount val="506"/>
                <c:pt idx="0">
                  <c:v>24</c:v>
                </c:pt>
                <c:pt idx="1">
                  <c:v>21.6</c:v>
                </c:pt>
                <c:pt idx="2">
                  <c:v>34.700000000000003</c:v>
                </c:pt>
                <c:pt idx="3">
                  <c:v>33.4</c:v>
                </c:pt>
                <c:pt idx="4">
                  <c:v>36.200000000000003</c:v>
                </c:pt>
                <c:pt idx="5">
                  <c:v>28.7</c:v>
                </c:pt>
                <c:pt idx="6">
                  <c:v>22.9</c:v>
                </c:pt>
                <c:pt idx="7">
                  <c:v>27.1</c:v>
                </c:pt>
                <c:pt idx="8">
                  <c:v>16.5</c:v>
                </c:pt>
                <c:pt idx="9">
                  <c:v>18.899999999999999</c:v>
                </c:pt>
                <c:pt idx="10">
                  <c:v>15</c:v>
                </c:pt>
                <c:pt idx="11">
                  <c:v>18.899999999999999</c:v>
                </c:pt>
                <c:pt idx="12">
                  <c:v>21.7</c:v>
                </c:pt>
                <c:pt idx="13">
                  <c:v>20.399999999999999</c:v>
                </c:pt>
                <c:pt idx="14">
                  <c:v>18.2</c:v>
                </c:pt>
                <c:pt idx="15">
                  <c:v>19.899999999999999</c:v>
                </c:pt>
                <c:pt idx="16">
                  <c:v>23.1</c:v>
                </c:pt>
                <c:pt idx="17">
                  <c:v>17.5</c:v>
                </c:pt>
                <c:pt idx="18">
                  <c:v>20.2</c:v>
                </c:pt>
                <c:pt idx="19">
                  <c:v>18.2</c:v>
                </c:pt>
                <c:pt idx="20">
                  <c:v>13.6</c:v>
                </c:pt>
                <c:pt idx="21">
                  <c:v>19.600000000000001</c:v>
                </c:pt>
                <c:pt idx="22">
                  <c:v>15.2</c:v>
                </c:pt>
                <c:pt idx="23">
                  <c:v>14.5</c:v>
                </c:pt>
                <c:pt idx="24">
                  <c:v>15.6</c:v>
                </c:pt>
                <c:pt idx="25">
                  <c:v>13.9</c:v>
                </c:pt>
                <c:pt idx="26">
                  <c:v>16.600000000000001</c:v>
                </c:pt>
                <c:pt idx="27">
                  <c:v>14.8</c:v>
                </c:pt>
                <c:pt idx="28">
                  <c:v>18.399999999999999</c:v>
                </c:pt>
                <c:pt idx="29">
                  <c:v>21</c:v>
                </c:pt>
                <c:pt idx="30">
                  <c:v>12.7</c:v>
                </c:pt>
                <c:pt idx="31">
                  <c:v>14.5</c:v>
                </c:pt>
                <c:pt idx="32">
                  <c:v>13.2</c:v>
                </c:pt>
                <c:pt idx="33">
                  <c:v>13.1</c:v>
                </c:pt>
                <c:pt idx="34">
                  <c:v>13.5</c:v>
                </c:pt>
                <c:pt idx="35">
                  <c:v>18.899999999999999</c:v>
                </c:pt>
                <c:pt idx="36">
                  <c:v>20</c:v>
                </c:pt>
                <c:pt idx="37">
                  <c:v>21</c:v>
                </c:pt>
                <c:pt idx="38">
                  <c:v>24.7</c:v>
                </c:pt>
                <c:pt idx="39">
                  <c:v>30.8</c:v>
                </c:pt>
                <c:pt idx="40">
                  <c:v>34.9</c:v>
                </c:pt>
                <c:pt idx="41">
                  <c:v>26.6</c:v>
                </c:pt>
                <c:pt idx="42">
                  <c:v>25.3</c:v>
                </c:pt>
                <c:pt idx="43">
                  <c:v>24.7</c:v>
                </c:pt>
                <c:pt idx="44">
                  <c:v>21.2</c:v>
                </c:pt>
                <c:pt idx="45">
                  <c:v>19.3</c:v>
                </c:pt>
                <c:pt idx="46">
                  <c:v>20</c:v>
                </c:pt>
                <c:pt idx="47">
                  <c:v>16.600000000000001</c:v>
                </c:pt>
                <c:pt idx="48">
                  <c:v>14.4</c:v>
                </c:pt>
                <c:pt idx="49">
                  <c:v>19.399999999999999</c:v>
                </c:pt>
                <c:pt idx="50">
                  <c:v>19.7</c:v>
                </c:pt>
                <c:pt idx="51">
                  <c:v>20.5</c:v>
                </c:pt>
                <c:pt idx="52">
                  <c:v>25</c:v>
                </c:pt>
                <c:pt idx="53">
                  <c:v>23.4</c:v>
                </c:pt>
                <c:pt idx="54">
                  <c:v>18.899999999999999</c:v>
                </c:pt>
                <c:pt idx="55">
                  <c:v>35.4</c:v>
                </c:pt>
                <c:pt idx="56">
                  <c:v>24.7</c:v>
                </c:pt>
                <c:pt idx="57">
                  <c:v>31.6</c:v>
                </c:pt>
                <c:pt idx="58">
                  <c:v>23.3</c:v>
                </c:pt>
                <c:pt idx="59">
                  <c:v>19.600000000000001</c:v>
                </c:pt>
                <c:pt idx="60">
                  <c:v>18.7</c:v>
                </c:pt>
                <c:pt idx="61">
                  <c:v>16</c:v>
                </c:pt>
                <c:pt idx="62">
                  <c:v>22.2</c:v>
                </c:pt>
                <c:pt idx="63">
                  <c:v>25</c:v>
                </c:pt>
                <c:pt idx="64">
                  <c:v>33</c:v>
                </c:pt>
                <c:pt idx="65">
                  <c:v>23.5</c:v>
                </c:pt>
                <c:pt idx="66">
                  <c:v>19.399999999999999</c:v>
                </c:pt>
                <c:pt idx="67">
                  <c:v>22</c:v>
                </c:pt>
                <c:pt idx="68">
                  <c:v>17.399999999999999</c:v>
                </c:pt>
                <c:pt idx="69">
                  <c:v>20.9</c:v>
                </c:pt>
                <c:pt idx="70">
                  <c:v>24.2</c:v>
                </c:pt>
                <c:pt idx="71">
                  <c:v>21.7</c:v>
                </c:pt>
                <c:pt idx="72">
                  <c:v>22.8</c:v>
                </c:pt>
                <c:pt idx="73">
                  <c:v>23.4</c:v>
                </c:pt>
                <c:pt idx="74">
                  <c:v>24.1</c:v>
                </c:pt>
                <c:pt idx="75">
                  <c:v>21.4</c:v>
                </c:pt>
                <c:pt idx="76">
                  <c:v>20</c:v>
                </c:pt>
                <c:pt idx="77">
                  <c:v>20.8</c:v>
                </c:pt>
                <c:pt idx="78">
                  <c:v>21.2</c:v>
                </c:pt>
                <c:pt idx="79">
                  <c:v>20.3</c:v>
                </c:pt>
                <c:pt idx="80">
                  <c:v>28</c:v>
                </c:pt>
                <c:pt idx="81">
                  <c:v>23.9</c:v>
                </c:pt>
                <c:pt idx="82">
                  <c:v>24.8</c:v>
                </c:pt>
                <c:pt idx="83">
                  <c:v>22.9</c:v>
                </c:pt>
                <c:pt idx="84">
                  <c:v>23.9</c:v>
                </c:pt>
                <c:pt idx="85">
                  <c:v>26.6</c:v>
                </c:pt>
                <c:pt idx="86">
                  <c:v>22.5</c:v>
                </c:pt>
                <c:pt idx="87">
                  <c:v>22.2</c:v>
                </c:pt>
                <c:pt idx="88">
                  <c:v>23.6</c:v>
                </c:pt>
                <c:pt idx="89">
                  <c:v>28.7</c:v>
                </c:pt>
                <c:pt idx="90">
                  <c:v>22.6</c:v>
                </c:pt>
                <c:pt idx="91">
                  <c:v>22</c:v>
                </c:pt>
                <c:pt idx="92">
                  <c:v>22.9</c:v>
                </c:pt>
                <c:pt idx="93">
                  <c:v>25</c:v>
                </c:pt>
                <c:pt idx="94">
                  <c:v>20.6</c:v>
                </c:pt>
                <c:pt idx="95">
                  <c:v>28.4</c:v>
                </c:pt>
                <c:pt idx="96">
                  <c:v>21.4</c:v>
                </c:pt>
                <c:pt idx="97">
                  <c:v>38.700000000000003</c:v>
                </c:pt>
                <c:pt idx="98">
                  <c:v>43.8</c:v>
                </c:pt>
                <c:pt idx="99">
                  <c:v>33.200000000000003</c:v>
                </c:pt>
                <c:pt idx="100">
                  <c:v>27.5</c:v>
                </c:pt>
                <c:pt idx="101">
                  <c:v>26.5</c:v>
                </c:pt>
                <c:pt idx="102">
                  <c:v>18.600000000000001</c:v>
                </c:pt>
                <c:pt idx="103">
                  <c:v>19.3</c:v>
                </c:pt>
                <c:pt idx="104">
                  <c:v>20.100000000000001</c:v>
                </c:pt>
                <c:pt idx="105">
                  <c:v>19.5</c:v>
                </c:pt>
                <c:pt idx="106">
                  <c:v>19.5</c:v>
                </c:pt>
                <c:pt idx="107">
                  <c:v>20.399999999999999</c:v>
                </c:pt>
                <c:pt idx="108">
                  <c:v>19.8</c:v>
                </c:pt>
                <c:pt idx="109">
                  <c:v>19.399999999999999</c:v>
                </c:pt>
                <c:pt idx="110">
                  <c:v>21.7</c:v>
                </c:pt>
                <c:pt idx="111">
                  <c:v>22.8</c:v>
                </c:pt>
                <c:pt idx="112">
                  <c:v>18.8</c:v>
                </c:pt>
                <c:pt idx="113">
                  <c:v>18.7</c:v>
                </c:pt>
                <c:pt idx="114">
                  <c:v>18.5</c:v>
                </c:pt>
                <c:pt idx="115">
                  <c:v>18.3</c:v>
                </c:pt>
                <c:pt idx="116">
                  <c:v>21.2</c:v>
                </c:pt>
                <c:pt idx="117">
                  <c:v>19.2</c:v>
                </c:pt>
                <c:pt idx="118">
                  <c:v>20.399999999999999</c:v>
                </c:pt>
                <c:pt idx="119">
                  <c:v>19.3</c:v>
                </c:pt>
                <c:pt idx="120">
                  <c:v>22</c:v>
                </c:pt>
                <c:pt idx="121">
                  <c:v>20.3</c:v>
                </c:pt>
                <c:pt idx="122">
                  <c:v>20.5</c:v>
                </c:pt>
                <c:pt idx="123">
                  <c:v>17.3</c:v>
                </c:pt>
                <c:pt idx="124">
                  <c:v>18.8</c:v>
                </c:pt>
                <c:pt idx="125">
                  <c:v>21.4</c:v>
                </c:pt>
                <c:pt idx="126">
                  <c:v>15.7</c:v>
                </c:pt>
                <c:pt idx="127">
                  <c:v>16.2</c:v>
                </c:pt>
                <c:pt idx="128">
                  <c:v>18</c:v>
                </c:pt>
                <c:pt idx="129">
                  <c:v>14.3</c:v>
                </c:pt>
                <c:pt idx="130">
                  <c:v>19.2</c:v>
                </c:pt>
                <c:pt idx="131">
                  <c:v>19.600000000000001</c:v>
                </c:pt>
                <c:pt idx="132">
                  <c:v>23</c:v>
                </c:pt>
                <c:pt idx="133">
                  <c:v>18.399999999999999</c:v>
                </c:pt>
                <c:pt idx="134">
                  <c:v>15.6</c:v>
                </c:pt>
                <c:pt idx="135">
                  <c:v>18.100000000000001</c:v>
                </c:pt>
                <c:pt idx="136">
                  <c:v>17.399999999999999</c:v>
                </c:pt>
                <c:pt idx="137">
                  <c:v>17.100000000000001</c:v>
                </c:pt>
                <c:pt idx="138">
                  <c:v>13.3</c:v>
                </c:pt>
                <c:pt idx="139">
                  <c:v>17.8</c:v>
                </c:pt>
                <c:pt idx="140">
                  <c:v>14</c:v>
                </c:pt>
                <c:pt idx="141">
                  <c:v>14.4</c:v>
                </c:pt>
                <c:pt idx="142">
                  <c:v>13.4</c:v>
                </c:pt>
                <c:pt idx="143">
                  <c:v>15.6</c:v>
                </c:pt>
                <c:pt idx="144">
                  <c:v>11.8</c:v>
                </c:pt>
                <c:pt idx="145">
                  <c:v>13.8</c:v>
                </c:pt>
                <c:pt idx="146">
                  <c:v>15.6</c:v>
                </c:pt>
                <c:pt idx="147">
                  <c:v>14.6</c:v>
                </c:pt>
                <c:pt idx="148">
                  <c:v>17.8</c:v>
                </c:pt>
                <c:pt idx="149">
                  <c:v>15.4</c:v>
                </c:pt>
                <c:pt idx="150">
                  <c:v>21.5</c:v>
                </c:pt>
                <c:pt idx="151">
                  <c:v>19.600000000000001</c:v>
                </c:pt>
                <c:pt idx="152">
                  <c:v>15.3</c:v>
                </c:pt>
                <c:pt idx="153">
                  <c:v>19.399999999999999</c:v>
                </c:pt>
                <c:pt idx="154">
                  <c:v>17</c:v>
                </c:pt>
                <c:pt idx="155">
                  <c:v>15.6</c:v>
                </c:pt>
                <c:pt idx="156">
                  <c:v>13.1</c:v>
                </c:pt>
                <c:pt idx="157">
                  <c:v>41.3</c:v>
                </c:pt>
                <c:pt idx="158">
                  <c:v>24.3</c:v>
                </c:pt>
                <c:pt idx="159">
                  <c:v>23.3</c:v>
                </c:pt>
                <c:pt idx="160">
                  <c:v>27</c:v>
                </c:pt>
                <c:pt idx="161">
                  <c:v>50</c:v>
                </c:pt>
                <c:pt idx="162">
                  <c:v>50</c:v>
                </c:pt>
                <c:pt idx="163">
                  <c:v>50</c:v>
                </c:pt>
                <c:pt idx="164">
                  <c:v>22.7</c:v>
                </c:pt>
                <c:pt idx="165">
                  <c:v>25</c:v>
                </c:pt>
                <c:pt idx="166">
                  <c:v>50</c:v>
                </c:pt>
                <c:pt idx="167">
                  <c:v>23.8</c:v>
                </c:pt>
                <c:pt idx="168">
                  <c:v>23.8</c:v>
                </c:pt>
                <c:pt idx="169">
                  <c:v>22.3</c:v>
                </c:pt>
                <c:pt idx="170">
                  <c:v>17.399999999999999</c:v>
                </c:pt>
                <c:pt idx="171">
                  <c:v>19.100000000000001</c:v>
                </c:pt>
                <c:pt idx="172">
                  <c:v>23.1</c:v>
                </c:pt>
                <c:pt idx="173">
                  <c:v>23.6</c:v>
                </c:pt>
                <c:pt idx="174">
                  <c:v>22.6</c:v>
                </c:pt>
                <c:pt idx="175">
                  <c:v>29.4</c:v>
                </c:pt>
                <c:pt idx="176">
                  <c:v>23.2</c:v>
                </c:pt>
                <c:pt idx="177">
                  <c:v>24.6</c:v>
                </c:pt>
                <c:pt idx="178">
                  <c:v>29.9</c:v>
                </c:pt>
                <c:pt idx="179">
                  <c:v>37.200000000000003</c:v>
                </c:pt>
                <c:pt idx="180">
                  <c:v>39.799999999999997</c:v>
                </c:pt>
                <c:pt idx="181">
                  <c:v>36.200000000000003</c:v>
                </c:pt>
                <c:pt idx="182">
                  <c:v>37.9</c:v>
                </c:pt>
                <c:pt idx="183">
                  <c:v>32.5</c:v>
                </c:pt>
                <c:pt idx="184">
                  <c:v>26.4</c:v>
                </c:pt>
                <c:pt idx="185">
                  <c:v>29.6</c:v>
                </c:pt>
                <c:pt idx="186">
                  <c:v>50</c:v>
                </c:pt>
                <c:pt idx="187">
                  <c:v>32</c:v>
                </c:pt>
                <c:pt idx="188">
                  <c:v>29.8</c:v>
                </c:pt>
                <c:pt idx="189">
                  <c:v>34.9</c:v>
                </c:pt>
                <c:pt idx="190">
                  <c:v>37</c:v>
                </c:pt>
                <c:pt idx="191">
                  <c:v>30.5</c:v>
                </c:pt>
                <c:pt idx="192">
                  <c:v>36.4</c:v>
                </c:pt>
                <c:pt idx="193">
                  <c:v>31.1</c:v>
                </c:pt>
                <c:pt idx="194">
                  <c:v>29.1</c:v>
                </c:pt>
                <c:pt idx="195">
                  <c:v>50</c:v>
                </c:pt>
                <c:pt idx="196">
                  <c:v>33.299999999999997</c:v>
                </c:pt>
                <c:pt idx="197">
                  <c:v>30.3</c:v>
                </c:pt>
                <c:pt idx="198">
                  <c:v>34.6</c:v>
                </c:pt>
                <c:pt idx="199">
                  <c:v>34.9</c:v>
                </c:pt>
                <c:pt idx="200">
                  <c:v>32.9</c:v>
                </c:pt>
                <c:pt idx="201">
                  <c:v>24.1</c:v>
                </c:pt>
                <c:pt idx="202">
                  <c:v>42.3</c:v>
                </c:pt>
                <c:pt idx="203">
                  <c:v>48.5</c:v>
                </c:pt>
                <c:pt idx="204">
                  <c:v>50</c:v>
                </c:pt>
                <c:pt idx="205">
                  <c:v>22.6</c:v>
                </c:pt>
                <c:pt idx="206">
                  <c:v>24.4</c:v>
                </c:pt>
                <c:pt idx="207">
                  <c:v>22.5</c:v>
                </c:pt>
                <c:pt idx="208">
                  <c:v>24.4</c:v>
                </c:pt>
                <c:pt idx="209">
                  <c:v>20</c:v>
                </c:pt>
                <c:pt idx="210">
                  <c:v>21.7</c:v>
                </c:pt>
                <c:pt idx="211">
                  <c:v>19.3</c:v>
                </c:pt>
                <c:pt idx="212">
                  <c:v>22.4</c:v>
                </c:pt>
                <c:pt idx="213">
                  <c:v>28.1</c:v>
                </c:pt>
                <c:pt idx="214">
                  <c:v>23.7</c:v>
                </c:pt>
                <c:pt idx="215">
                  <c:v>25</c:v>
                </c:pt>
                <c:pt idx="216">
                  <c:v>23.3</c:v>
                </c:pt>
                <c:pt idx="217">
                  <c:v>28.7</c:v>
                </c:pt>
                <c:pt idx="218">
                  <c:v>21.5</c:v>
                </c:pt>
                <c:pt idx="219">
                  <c:v>23</c:v>
                </c:pt>
                <c:pt idx="220">
                  <c:v>26.7</c:v>
                </c:pt>
                <c:pt idx="221">
                  <c:v>21.7</c:v>
                </c:pt>
                <c:pt idx="222">
                  <c:v>27.5</c:v>
                </c:pt>
                <c:pt idx="223">
                  <c:v>30.1</c:v>
                </c:pt>
                <c:pt idx="224">
                  <c:v>44.8</c:v>
                </c:pt>
                <c:pt idx="225">
                  <c:v>50</c:v>
                </c:pt>
                <c:pt idx="226">
                  <c:v>37.6</c:v>
                </c:pt>
                <c:pt idx="227">
                  <c:v>31.6</c:v>
                </c:pt>
                <c:pt idx="228">
                  <c:v>46.7</c:v>
                </c:pt>
                <c:pt idx="229">
                  <c:v>31.5</c:v>
                </c:pt>
                <c:pt idx="230">
                  <c:v>24.3</c:v>
                </c:pt>
                <c:pt idx="231">
                  <c:v>31.7</c:v>
                </c:pt>
                <c:pt idx="232">
                  <c:v>41.7</c:v>
                </c:pt>
                <c:pt idx="233">
                  <c:v>48.3</c:v>
                </c:pt>
                <c:pt idx="234">
                  <c:v>29</c:v>
                </c:pt>
                <c:pt idx="235">
                  <c:v>24</c:v>
                </c:pt>
                <c:pt idx="236">
                  <c:v>25.1</c:v>
                </c:pt>
                <c:pt idx="237">
                  <c:v>31.5</c:v>
                </c:pt>
                <c:pt idx="238">
                  <c:v>23.7</c:v>
                </c:pt>
                <c:pt idx="239">
                  <c:v>23.3</c:v>
                </c:pt>
                <c:pt idx="240">
                  <c:v>22</c:v>
                </c:pt>
                <c:pt idx="241">
                  <c:v>20.100000000000001</c:v>
                </c:pt>
                <c:pt idx="242">
                  <c:v>22.2</c:v>
                </c:pt>
                <c:pt idx="243">
                  <c:v>23.7</c:v>
                </c:pt>
                <c:pt idx="244">
                  <c:v>17.600000000000001</c:v>
                </c:pt>
                <c:pt idx="245">
                  <c:v>18.5</c:v>
                </c:pt>
                <c:pt idx="246">
                  <c:v>24.3</c:v>
                </c:pt>
                <c:pt idx="247">
                  <c:v>20.5</c:v>
                </c:pt>
                <c:pt idx="248">
                  <c:v>24.5</c:v>
                </c:pt>
                <c:pt idx="249">
                  <c:v>26.2</c:v>
                </c:pt>
                <c:pt idx="250">
                  <c:v>24.4</c:v>
                </c:pt>
                <c:pt idx="251">
                  <c:v>24.8</c:v>
                </c:pt>
                <c:pt idx="252">
                  <c:v>29.6</c:v>
                </c:pt>
                <c:pt idx="253">
                  <c:v>42.8</c:v>
                </c:pt>
                <c:pt idx="254">
                  <c:v>21.9</c:v>
                </c:pt>
                <c:pt idx="255">
                  <c:v>20.9</c:v>
                </c:pt>
                <c:pt idx="256">
                  <c:v>44</c:v>
                </c:pt>
                <c:pt idx="257">
                  <c:v>50</c:v>
                </c:pt>
                <c:pt idx="258">
                  <c:v>36</c:v>
                </c:pt>
                <c:pt idx="259">
                  <c:v>30.1</c:v>
                </c:pt>
                <c:pt idx="260">
                  <c:v>33.799999999999997</c:v>
                </c:pt>
                <c:pt idx="261">
                  <c:v>43.1</c:v>
                </c:pt>
                <c:pt idx="262">
                  <c:v>48.8</c:v>
                </c:pt>
                <c:pt idx="263">
                  <c:v>31</c:v>
                </c:pt>
                <c:pt idx="264">
                  <c:v>36.5</c:v>
                </c:pt>
                <c:pt idx="265">
                  <c:v>22.8</c:v>
                </c:pt>
                <c:pt idx="266">
                  <c:v>30.7</c:v>
                </c:pt>
                <c:pt idx="267">
                  <c:v>50</c:v>
                </c:pt>
                <c:pt idx="268">
                  <c:v>43.5</c:v>
                </c:pt>
                <c:pt idx="269">
                  <c:v>20.7</c:v>
                </c:pt>
                <c:pt idx="270">
                  <c:v>21.1</c:v>
                </c:pt>
                <c:pt idx="271">
                  <c:v>25.2</c:v>
                </c:pt>
                <c:pt idx="272">
                  <c:v>24.4</c:v>
                </c:pt>
                <c:pt idx="273">
                  <c:v>35.200000000000003</c:v>
                </c:pt>
                <c:pt idx="274">
                  <c:v>32.4</c:v>
                </c:pt>
                <c:pt idx="275">
                  <c:v>32</c:v>
                </c:pt>
                <c:pt idx="276">
                  <c:v>33.200000000000003</c:v>
                </c:pt>
                <c:pt idx="277">
                  <c:v>33.1</c:v>
                </c:pt>
                <c:pt idx="278">
                  <c:v>29.1</c:v>
                </c:pt>
                <c:pt idx="279">
                  <c:v>35.1</c:v>
                </c:pt>
                <c:pt idx="280">
                  <c:v>45.4</c:v>
                </c:pt>
                <c:pt idx="281">
                  <c:v>35.4</c:v>
                </c:pt>
                <c:pt idx="282">
                  <c:v>46</c:v>
                </c:pt>
                <c:pt idx="283">
                  <c:v>50</c:v>
                </c:pt>
                <c:pt idx="284">
                  <c:v>32.200000000000003</c:v>
                </c:pt>
                <c:pt idx="285">
                  <c:v>22</c:v>
                </c:pt>
                <c:pt idx="286">
                  <c:v>20.100000000000001</c:v>
                </c:pt>
                <c:pt idx="287">
                  <c:v>23.2</c:v>
                </c:pt>
                <c:pt idx="288">
                  <c:v>22.3</c:v>
                </c:pt>
                <c:pt idx="289">
                  <c:v>24.8</c:v>
                </c:pt>
                <c:pt idx="290">
                  <c:v>28.5</c:v>
                </c:pt>
                <c:pt idx="291">
                  <c:v>37.299999999999997</c:v>
                </c:pt>
                <c:pt idx="292">
                  <c:v>27.9</c:v>
                </c:pt>
                <c:pt idx="293">
                  <c:v>23.9</c:v>
                </c:pt>
                <c:pt idx="294">
                  <c:v>21.7</c:v>
                </c:pt>
                <c:pt idx="295">
                  <c:v>28.6</c:v>
                </c:pt>
                <c:pt idx="296">
                  <c:v>27.1</c:v>
                </c:pt>
                <c:pt idx="297">
                  <c:v>20.3</c:v>
                </c:pt>
                <c:pt idx="298">
                  <c:v>22.5</c:v>
                </c:pt>
                <c:pt idx="299">
                  <c:v>29</c:v>
                </c:pt>
                <c:pt idx="300">
                  <c:v>24.8</c:v>
                </c:pt>
                <c:pt idx="301">
                  <c:v>22</c:v>
                </c:pt>
                <c:pt idx="302">
                  <c:v>26.4</c:v>
                </c:pt>
                <c:pt idx="303">
                  <c:v>33.1</c:v>
                </c:pt>
                <c:pt idx="304">
                  <c:v>36.1</c:v>
                </c:pt>
                <c:pt idx="305">
                  <c:v>28.4</c:v>
                </c:pt>
                <c:pt idx="306">
                  <c:v>33.4</c:v>
                </c:pt>
                <c:pt idx="307">
                  <c:v>28.2</c:v>
                </c:pt>
                <c:pt idx="308">
                  <c:v>22.8</c:v>
                </c:pt>
                <c:pt idx="309">
                  <c:v>20.3</c:v>
                </c:pt>
                <c:pt idx="310">
                  <c:v>16.100000000000001</c:v>
                </c:pt>
                <c:pt idx="311">
                  <c:v>22.1</c:v>
                </c:pt>
                <c:pt idx="312">
                  <c:v>19.399999999999999</c:v>
                </c:pt>
                <c:pt idx="313">
                  <c:v>21.6</c:v>
                </c:pt>
                <c:pt idx="314">
                  <c:v>23.8</c:v>
                </c:pt>
                <c:pt idx="315">
                  <c:v>16.2</c:v>
                </c:pt>
                <c:pt idx="316">
                  <c:v>17.8</c:v>
                </c:pt>
                <c:pt idx="317">
                  <c:v>19.8</c:v>
                </c:pt>
                <c:pt idx="318">
                  <c:v>23.1</c:v>
                </c:pt>
                <c:pt idx="319">
                  <c:v>21</c:v>
                </c:pt>
                <c:pt idx="320">
                  <c:v>23.8</c:v>
                </c:pt>
                <c:pt idx="321">
                  <c:v>23.1</c:v>
                </c:pt>
                <c:pt idx="322">
                  <c:v>20.399999999999999</c:v>
                </c:pt>
                <c:pt idx="323">
                  <c:v>18.5</c:v>
                </c:pt>
                <c:pt idx="324">
                  <c:v>25</c:v>
                </c:pt>
                <c:pt idx="325">
                  <c:v>24.6</c:v>
                </c:pt>
                <c:pt idx="326">
                  <c:v>23</c:v>
                </c:pt>
                <c:pt idx="327">
                  <c:v>22.2</c:v>
                </c:pt>
                <c:pt idx="328">
                  <c:v>19.3</c:v>
                </c:pt>
                <c:pt idx="329">
                  <c:v>22.6</c:v>
                </c:pt>
                <c:pt idx="330">
                  <c:v>19.8</c:v>
                </c:pt>
                <c:pt idx="331">
                  <c:v>17.100000000000001</c:v>
                </c:pt>
                <c:pt idx="332">
                  <c:v>19.399999999999999</c:v>
                </c:pt>
                <c:pt idx="333">
                  <c:v>22.2</c:v>
                </c:pt>
                <c:pt idx="334">
                  <c:v>20.7</c:v>
                </c:pt>
                <c:pt idx="335">
                  <c:v>21.1</c:v>
                </c:pt>
                <c:pt idx="336">
                  <c:v>19.5</c:v>
                </c:pt>
                <c:pt idx="337">
                  <c:v>18.5</c:v>
                </c:pt>
                <c:pt idx="338">
                  <c:v>20.6</c:v>
                </c:pt>
                <c:pt idx="339">
                  <c:v>19</c:v>
                </c:pt>
                <c:pt idx="340">
                  <c:v>18.7</c:v>
                </c:pt>
                <c:pt idx="341">
                  <c:v>32.700000000000003</c:v>
                </c:pt>
                <c:pt idx="342">
                  <c:v>16.5</c:v>
                </c:pt>
                <c:pt idx="343">
                  <c:v>23.9</c:v>
                </c:pt>
                <c:pt idx="344">
                  <c:v>31.2</c:v>
                </c:pt>
                <c:pt idx="345">
                  <c:v>17.5</c:v>
                </c:pt>
                <c:pt idx="346">
                  <c:v>17.2</c:v>
                </c:pt>
                <c:pt idx="347">
                  <c:v>23.1</c:v>
                </c:pt>
                <c:pt idx="348">
                  <c:v>24.5</c:v>
                </c:pt>
                <c:pt idx="349">
                  <c:v>26.6</c:v>
                </c:pt>
                <c:pt idx="350">
                  <c:v>22.9</c:v>
                </c:pt>
                <c:pt idx="351">
                  <c:v>24.1</c:v>
                </c:pt>
                <c:pt idx="352">
                  <c:v>18.600000000000001</c:v>
                </c:pt>
                <c:pt idx="353">
                  <c:v>30.1</c:v>
                </c:pt>
                <c:pt idx="354">
                  <c:v>18.2</c:v>
                </c:pt>
                <c:pt idx="355">
                  <c:v>20.6</c:v>
                </c:pt>
                <c:pt idx="356">
                  <c:v>17.8</c:v>
                </c:pt>
                <c:pt idx="357">
                  <c:v>21.7</c:v>
                </c:pt>
                <c:pt idx="358">
                  <c:v>22.7</c:v>
                </c:pt>
                <c:pt idx="359">
                  <c:v>22.6</c:v>
                </c:pt>
                <c:pt idx="360">
                  <c:v>25</c:v>
                </c:pt>
                <c:pt idx="361">
                  <c:v>19.899999999999999</c:v>
                </c:pt>
                <c:pt idx="362">
                  <c:v>20.8</c:v>
                </c:pt>
                <c:pt idx="363">
                  <c:v>16.8</c:v>
                </c:pt>
                <c:pt idx="364">
                  <c:v>21.9</c:v>
                </c:pt>
                <c:pt idx="365">
                  <c:v>27.5</c:v>
                </c:pt>
                <c:pt idx="366">
                  <c:v>21.9</c:v>
                </c:pt>
                <c:pt idx="367">
                  <c:v>23.1</c:v>
                </c:pt>
                <c:pt idx="368">
                  <c:v>50</c:v>
                </c:pt>
                <c:pt idx="369">
                  <c:v>50</c:v>
                </c:pt>
                <c:pt idx="370">
                  <c:v>50</c:v>
                </c:pt>
                <c:pt idx="371">
                  <c:v>50</c:v>
                </c:pt>
                <c:pt idx="372">
                  <c:v>50</c:v>
                </c:pt>
                <c:pt idx="373">
                  <c:v>13.8</c:v>
                </c:pt>
                <c:pt idx="374">
                  <c:v>13.8</c:v>
                </c:pt>
                <c:pt idx="375">
                  <c:v>15</c:v>
                </c:pt>
                <c:pt idx="376">
                  <c:v>13.9</c:v>
                </c:pt>
                <c:pt idx="377">
                  <c:v>13.3</c:v>
                </c:pt>
                <c:pt idx="378">
                  <c:v>13.1</c:v>
                </c:pt>
                <c:pt idx="379">
                  <c:v>10.199999999999999</c:v>
                </c:pt>
                <c:pt idx="380">
                  <c:v>10.4</c:v>
                </c:pt>
                <c:pt idx="381">
                  <c:v>10.9</c:v>
                </c:pt>
                <c:pt idx="382">
                  <c:v>11.3</c:v>
                </c:pt>
                <c:pt idx="383">
                  <c:v>12.3</c:v>
                </c:pt>
                <c:pt idx="384">
                  <c:v>8.8000000000000007</c:v>
                </c:pt>
                <c:pt idx="385">
                  <c:v>7.2</c:v>
                </c:pt>
                <c:pt idx="386">
                  <c:v>10.5</c:v>
                </c:pt>
                <c:pt idx="387">
                  <c:v>7.4</c:v>
                </c:pt>
                <c:pt idx="388">
                  <c:v>10.199999999999999</c:v>
                </c:pt>
                <c:pt idx="389">
                  <c:v>11.5</c:v>
                </c:pt>
                <c:pt idx="390">
                  <c:v>15.1</c:v>
                </c:pt>
                <c:pt idx="391">
                  <c:v>23.2</c:v>
                </c:pt>
                <c:pt idx="392">
                  <c:v>9.6999999999999993</c:v>
                </c:pt>
                <c:pt idx="393">
                  <c:v>13.8</c:v>
                </c:pt>
                <c:pt idx="394">
                  <c:v>12.7</c:v>
                </c:pt>
                <c:pt idx="395">
                  <c:v>13.1</c:v>
                </c:pt>
                <c:pt idx="396">
                  <c:v>12.5</c:v>
                </c:pt>
                <c:pt idx="397">
                  <c:v>8.5</c:v>
                </c:pt>
                <c:pt idx="398">
                  <c:v>5</c:v>
                </c:pt>
                <c:pt idx="399">
                  <c:v>6.3</c:v>
                </c:pt>
                <c:pt idx="400">
                  <c:v>5.6</c:v>
                </c:pt>
                <c:pt idx="401">
                  <c:v>7.2</c:v>
                </c:pt>
                <c:pt idx="402">
                  <c:v>12.1</c:v>
                </c:pt>
                <c:pt idx="403">
                  <c:v>8.3000000000000007</c:v>
                </c:pt>
                <c:pt idx="404">
                  <c:v>8.5</c:v>
                </c:pt>
                <c:pt idx="405">
                  <c:v>5</c:v>
                </c:pt>
                <c:pt idx="406">
                  <c:v>11.9</c:v>
                </c:pt>
                <c:pt idx="407">
                  <c:v>27.9</c:v>
                </c:pt>
                <c:pt idx="408">
                  <c:v>17.2</c:v>
                </c:pt>
                <c:pt idx="409">
                  <c:v>27.5</c:v>
                </c:pt>
                <c:pt idx="410">
                  <c:v>15</c:v>
                </c:pt>
                <c:pt idx="411">
                  <c:v>17.2</c:v>
                </c:pt>
                <c:pt idx="412">
                  <c:v>17.899999999999999</c:v>
                </c:pt>
                <c:pt idx="413">
                  <c:v>16.3</c:v>
                </c:pt>
                <c:pt idx="414">
                  <c:v>7</c:v>
                </c:pt>
                <c:pt idx="415">
                  <c:v>7.2</c:v>
                </c:pt>
                <c:pt idx="416">
                  <c:v>7.5</c:v>
                </c:pt>
                <c:pt idx="417">
                  <c:v>10.4</c:v>
                </c:pt>
                <c:pt idx="418">
                  <c:v>8.8000000000000007</c:v>
                </c:pt>
                <c:pt idx="419">
                  <c:v>8.4</c:v>
                </c:pt>
                <c:pt idx="420">
                  <c:v>16.7</c:v>
                </c:pt>
                <c:pt idx="421">
                  <c:v>14.2</c:v>
                </c:pt>
                <c:pt idx="422">
                  <c:v>20.8</c:v>
                </c:pt>
                <c:pt idx="423">
                  <c:v>13.4</c:v>
                </c:pt>
                <c:pt idx="424">
                  <c:v>11.7</c:v>
                </c:pt>
                <c:pt idx="425">
                  <c:v>8.3000000000000007</c:v>
                </c:pt>
                <c:pt idx="426">
                  <c:v>10.199999999999999</c:v>
                </c:pt>
                <c:pt idx="427">
                  <c:v>10.9</c:v>
                </c:pt>
                <c:pt idx="428">
                  <c:v>11</c:v>
                </c:pt>
                <c:pt idx="429">
                  <c:v>9.5</c:v>
                </c:pt>
                <c:pt idx="430">
                  <c:v>14.5</c:v>
                </c:pt>
                <c:pt idx="431">
                  <c:v>14.1</c:v>
                </c:pt>
                <c:pt idx="432">
                  <c:v>16.100000000000001</c:v>
                </c:pt>
                <c:pt idx="433">
                  <c:v>14.3</c:v>
                </c:pt>
                <c:pt idx="434">
                  <c:v>11.7</c:v>
                </c:pt>
                <c:pt idx="435">
                  <c:v>13.4</c:v>
                </c:pt>
                <c:pt idx="436">
                  <c:v>9.6</c:v>
                </c:pt>
                <c:pt idx="437">
                  <c:v>8.6999999999999993</c:v>
                </c:pt>
                <c:pt idx="438">
                  <c:v>8.4</c:v>
                </c:pt>
                <c:pt idx="439">
                  <c:v>12.8</c:v>
                </c:pt>
                <c:pt idx="440">
                  <c:v>10.5</c:v>
                </c:pt>
                <c:pt idx="441">
                  <c:v>17.100000000000001</c:v>
                </c:pt>
                <c:pt idx="442">
                  <c:v>18.399999999999999</c:v>
                </c:pt>
                <c:pt idx="443">
                  <c:v>15.4</c:v>
                </c:pt>
                <c:pt idx="444">
                  <c:v>10.8</c:v>
                </c:pt>
                <c:pt idx="445">
                  <c:v>11.8</c:v>
                </c:pt>
                <c:pt idx="446">
                  <c:v>14.9</c:v>
                </c:pt>
                <c:pt idx="447">
                  <c:v>12.6</c:v>
                </c:pt>
                <c:pt idx="448">
                  <c:v>14.1</c:v>
                </c:pt>
                <c:pt idx="449">
                  <c:v>13</c:v>
                </c:pt>
                <c:pt idx="450">
                  <c:v>13.4</c:v>
                </c:pt>
                <c:pt idx="451">
                  <c:v>15.2</c:v>
                </c:pt>
                <c:pt idx="452">
                  <c:v>16.100000000000001</c:v>
                </c:pt>
                <c:pt idx="453">
                  <c:v>17.8</c:v>
                </c:pt>
                <c:pt idx="454">
                  <c:v>14.9</c:v>
                </c:pt>
                <c:pt idx="455">
                  <c:v>14.1</c:v>
                </c:pt>
                <c:pt idx="456">
                  <c:v>12.7</c:v>
                </c:pt>
                <c:pt idx="457">
                  <c:v>13.5</c:v>
                </c:pt>
                <c:pt idx="458">
                  <c:v>14.9</c:v>
                </c:pt>
                <c:pt idx="459">
                  <c:v>20</c:v>
                </c:pt>
                <c:pt idx="460">
                  <c:v>16.399999999999999</c:v>
                </c:pt>
                <c:pt idx="461">
                  <c:v>17.7</c:v>
                </c:pt>
                <c:pt idx="462">
                  <c:v>19.5</c:v>
                </c:pt>
                <c:pt idx="463">
                  <c:v>20.2</c:v>
                </c:pt>
                <c:pt idx="464">
                  <c:v>21.4</c:v>
                </c:pt>
                <c:pt idx="465">
                  <c:v>19.899999999999999</c:v>
                </c:pt>
                <c:pt idx="466">
                  <c:v>19</c:v>
                </c:pt>
                <c:pt idx="467">
                  <c:v>19.100000000000001</c:v>
                </c:pt>
                <c:pt idx="468">
                  <c:v>19.100000000000001</c:v>
                </c:pt>
                <c:pt idx="469">
                  <c:v>20.100000000000001</c:v>
                </c:pt>
                <c:pt idx="470">
                  <c:v>19.899999999999999</c:v>
                </c:pt>
                <c:pt idx="471">
                  <c:v>19.600000000000001</c:v>
                </c:pt>
                <c:pt idx="472">
                  <c:v>23.2</c:v>
                </c:pt>
                <c:pt idx="473">
                  <c:v>29.8</c:v>
                </c:pt>
                <c:pt idx="474">
                  <c:v>13.8</c:v>
                </c:pt>
                <c:pt idx="475">
                  <c:v>13.3</c:v>
                </c:pt>
                <c:pt idx="476">
                  <c:v>16.7</c:v>
                </c:pt>
                <c:pt idx="477">
                  <c:v>12</c:v>
                </c:pt>
                <c:pt idx="478">
                  <c:v>14.6</c:v>
                </c:pt>
                <c:pt idx="479">
                  <c:v>21.4</c:v>
                </c:pt>
                <c:pt idx="480">
                  <c:v>23</c:v>
                </c:pt>
                <c:pt idx="481">
                  <c:v>23.7</c:v>
                </c:pt>
                <c:pt idx="482">
                  <c:v>25</c:v>
                </c:pt>
                <c:pt idx="483">
                  <c:v>21.8</c:v>
                </c:pt>
                <c:pt idx="484">
                  <c:v>20.6</c:v>
                </c:pt>
                <c:pt idx="485">
                  <c:v>21.2</c:v>
                </c:pt>
                <c:pt idx="486">
                  <c:v>19.100000000000001</c:v>
                </c:pt>
                <c:pt idx="487">
                  <c:v>20.6</c:v>
                </c:pt>
                <c:pt idx="488">
                  <c:v>15.2</c:v>
                </c:pt>
                <c:pt idx="489">
                  <c:v>7</c:v>
                </c:pt>
                <c:pt idx="490">
                  <c:v>8.1</c:v>
                </c:pt>
                <c:pt idx="491">
                  <c:v>13.6</c:v>
                </c:pt>
                <c:pt idx="492">
                  <c:v>20.100000000000001</c:v>
                </c:pt>
                <c:pt idx="493">
                  <c:v>21.8</c:v>
                </c:pt>
                <c:pt idx="494">
                  <c:v>24.5</c:v>
                </c:pt>
                <c:pt idx="495">
                  <c:v>23.1</c:v>
                </c:pt>
                <c:pt idx="496">
                  <c:v>19.7</c:v>
                </c:pt>
                <c:pt idx="497">
                  <c:v>18.3</c:v>
                </c:pt>
                <c:pt idx="498">
                  <c:v>21.2</c:v>
                </c:pt>
                <c:pt idx="499">
                  <c:v>17.5</c:v>
                </c:pt>
                <c:pt idx="500">
                  <c:v>16.8</c:v>
                </c:pt>
                <c:pt idx="501">
                  <c:v>22.4</c:v>
                </c:pt>
                <c:pt idx="502">
                  <c:v>20.6</c:v>
                </c:pt>
                <c:pt idx="503">
                  <c:v>23.9</c:v>
                </c:pt>
                <c:pt idx="504">
                  <c:v>22</c:v>
                </c:pt>
                <c:pt idx="505">
                  <c:v>11.9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보스턴주택가격_회귀!$N$4</c:f>
              <c:strCache>
                <c:ptCount val="1"/>
                <c:pt idx="0">
                  <c:v>Y예측</c:v>
                </c:pt>
              </c:strCache>
            </c:strRef>
          </c:tx>
          <c:val>
            <c:numRef>
              <c:f>보스턴주택가격_회귀!$N$5:$N$510</c:f>
              <c:numCache>
                <c:formatCode>0.0_ </c:formatCode>
                <c:ptCount val="506"/>
                <c:pt idx="0">
                  <c:v>30.491751993294642</c:v>
                </c:pt>
                <c:pt idx="1">
                  <c:v>25.96242544118596</c:v>
                </c:pt>
                <c:pt idx="2">
                  <c:v>31.765380706601384</c:v>
                </c:pt>
                <c:pt idx="3">
                  <c:v>29.919900835543821</c:v>
                </c:pt>
                <c:pt idx="4">
                  <c:v>29.268402501809366</c:v>
                </c:pt>
                <c:pt idx="5">
                  <c:v>26.374831664516996</c:v>
                </c:pt>
                <c:pt idx="6">
                  <c:v>24.000397636623372</c:v>
                </c:pt>
                <c:pt idx="7">
                  <c:v>20.580754350481648</c:v>
                </c:pt>
                <c:pt idx="8">
                  <c:v>12.438563543062642</c:v>
                </c:pt>
                <c:pt idx="9">
                  <c:v>20.120157983136096</c:v>
                </c:pt>
                <c:pt idx="10">
                  <c:v>20.207232516920008</c:v>
                </c:pt>
                <c:pt idx="11">
                  <c:v>22.707540244844381</c:v>
                </c:pt>
                <c:pt idx="12">
                  <c:v>21.931878752377518</c:v>
                </c:pt>
                <c:pt idx="13">
                  <c:v>19.868737307106905</c:v>
                </c:pt>
                <c:pt idx="14">
                  <c:v>19.487490710136964</c:v>
                </c:pt>
                <c:pt idx="15">
                  <c:v>19.544386160634531</c:v>
                </c:pt>
                <c:pt idx="16">
                  <c:v>20.889756882690705</c:v>
                </c:pt>
                <c:pt idx="17">
                  <c:v>17.045518887468521</c:v>
                </c:pt>
                <c:pt idx="18">
                  <c:v>16.147071700988082</c:v>
                </c:pt>
                <c:pt idx="19">
                  <c:v>18.392044082941617</c:v>
                </c:pt>
                <c:pt idx="20">
                  <c:v>12.364689790277589</c:v>
                </c:pt>
                <c:pt idx="21">
                  <c:v>17.71202841592358</c:v>
                </c:pt>
                <c:pt idx="22">
                  <c:v>15.905536544868225</c:v>
                </c:pt>
                <c:pt idx="23">
                  <c:v>13.792829346414088</c:v>
                </c:pt>
                <c:pt idx="24">
                  <c:v>15.794638332987104</c:v>
                </c:pt>
                <c:pt idx="25">
                  <c:v>13.410756539900142</c:v>
                </c:pt>
                <c:pt idx="26">
                  <c:v>15.629200154159065</c:v>
                </c:pt>
                <c:pt idx="27">
                  <c:v>14.842271236852836</c:v>
                </c:pt>
                <c:pt idx="28">
                  <c:v>19.826072073313366</c:v>
                </c:pt>
                <c:pt idx="29">
                  <c:v>21.166076429270547</c:v>
                </c:pt>
                <c:pt idx="30">
                  <c:v>11.452660957691249</c:v>
                </c:pt>
                <c:pt idx="31">
                  <c:v>18.129648777255277</c:v>
                </c:pt>
                <c:pt idx="32">
                  <c:v>8.7776668516744998</c:v>
                </c:pt>
                <c:pt idx="33">
                  <c:v>14.15648533674648</c:v>
                </c:pt>
                <c:pt idx="34">
                  <c:v>13.613005701704848</c:v>
                </c:pt>
                <c:pt idx="35">
                  <c:v>24.031385639560131</c:v>
                </c:pt>
                <c:pt idx="36">
                  <c:v>22.550859985836894</c:v>
                </c:pt>
                <c:pt idx="37">
                  <c:v>23.545521827840346</c:v>
                </c:pt>
                <c:pt idx="38">
                  <c:v>23.395119495351832</c:v>
                </c:pt>
                <c:pt idx="39">
                  <c:v>29.101561253849667</c:v>
                </c:pt>
                <c:pt idx="40">
                  <c:v>32.093304542942654</c:v>
                </c:pt>
                <c:pt idx="41">
                  <c:v>29.468642592599089</c:v>
                </c:pt>
                <c:pt idx="42">
                  <c:v>26.479272838058996</c:v>
                </c:pt>
                <c:pt idx="43">
                  <c:v>25.902222270024886</c:v>
                </c:pt>
                <c:pt idx="44">
                  <c:v>24.080925716962724</c:v>
                </c:pt>
                <c:pt idx="45">
                  <c:v>22.993882547270541</c:v>
                </c:pt>
                <c:pt idx="46">
                  <c:v>21.34840530306834</c:v>
                </c:pt>
                <c:pt idx="47">
                  <c:v>19.004788318852427</c:v>
                </c:pt>
                <c:pt idx="48">
                  <c:v>9.9216878466417207</c:v>
                </c:pt>
                <c:pt idx="49">
                  <c:v>18.24829830781087</c:v>
                </c:pt>
                <c:pt idx="50">
                  <c:v>21.903967957604255</c:v>
                </c:pt>
                <c:pt idx="51">
                  <c:v>24.577297769993759</c:v>
                </c:pt>
                <c:pt idx="52">
                  <c:v>28.508514196558927</c:v>
                </c:pt>
                <c:pt idx="53">
                  <c:v>24.763978315696555</c:v>
                </c:pt>
                <c:pt idx="54">
                  <c:v>13.149292618647376</c:v>
                </c:pt>
                <c:pt idx="55">
                  <c:v>29.284279067936634</c:v>
                </c:pt>
                <c:pt idx="56">
                  <c:v>23.312778369761926</c:v>
                </c:pt>
                <c:pt idx="57">
                  <c:v>31.041726477538415</c:v>
                </c:pt>
                <c:pt idx="58">
                  <c:v>22.116457197862086</c:v>
                </c:pt>
                <c:pt idx="59">
                  <c:v>21.0763590550293</c:v>
                </c:pt>
                <c:pt idx="60">
                  <c:v>17.82723629266723</c:v>
                </c:pt>
                <c:pt idx="61">
                  <c:v>18.316939115697433</c:v>
                </c:pt>
                <c:pt idx="62">
                  <c:v>24.128700356104254</c:v>
                </c:pt>
                <c:pt idx="63">
                  <c:v>23.056735119984854</c:v>
                </c:pt>
                <c:pt idx="64">
                  <c:v>24.7060111916858</c:v>
                </c:pt>
                <c:pt idx="65">
                  <c:v>28.641583983361421</c:v>
                </c:pt>
                <c:pt idx="66">
                  <c:v>23.63149518556251</c:v>
                </c:pt>
                <c:pt idx="67">
                  <c:v>21.879321822919337</c:v>
                </c:pt>
                <c:pt idx="68">
                  <c:v>18.060097425712328</c:v>
                </c:pt>
                <c:pt idx="69">
                  <c:v>21.514372922618445</c:v>
                </c:pt>
                <c:pt idx="70">
                  <c:v>26.289955286712328</c:v>
                </c:pt>
                <c:pt idx="71">
                  <c:v>22.669765489316504</c:v>
                </c:pt>
                <c:pt idx="72">
                  <c:v>25.553083009348615</c:v>
                </c:pt>
                <c:pt idx="73">
                  <c:v>25.083945249304708</c:v>
                </c:pt>
                <c:pt idx="74">
                  <c:v>26.503298008222778</c:v>
                </c:pt>
                <c:pt idx="75">
                  <c:v>24.898149660738323</c:v>
                </c:pt>
                <c:pt idx="76">
                  <c:v>23.650685770768931</c:v>
                </c:pt>
                <c:pt idx="77">
                  <c:v>24.139128972491555</c:v>
                </c:pt>
                <c:pt idx="78">
                  <c:v>22.286085683238298</c:v>
                </c:pt>
                <c:pt idx="79">
                  <c:v>23.285310545111599</c:v>
                </c:pt>
                <c:pt idx="80">
                  <c:v>28.377799286483327</c:v>
                </c:pt>
                <c:pt idx="81">
                  <c:v>26.813836227185739</c:v>
                </c:pt>
                <c:pt idx="82">
                  <c:v>25.899245295045468</c:v>
                </c:pt>
                <c:pt idx="83">
                  <c:v>24.834447671904705</c:v>
                </c:pt>
                <c:pt idx="84">
                  <c:v>25.654431925571942</c:v>
                </c:pt>
                <c:pt idx="85">
                  <c:v>28.604885619826057</c:v>
                </c:pt>
                <c:pt idx="86">
                  <c:v>22.854182138712485</c:v>
                </c:pt>
                <c:pt idx="87">
                  <c:v>26.388051256801049</c:v>
                </c:pt>
                <c:pt idx="88">
                  <c:v>31.380400002241437</c:v>
                </c:pt>
                <c:pt idx="89">
                  <c:v>31.630952590810448</c:v>
                </c:pt>
                <c:pt idx="90">
                  <c:v>27.645127159976536</c:v>
                </c:pt>
                <c:pt idx="91">
                  <c:v>27.910402705446959</c:v>
                </c:pt>
                <c:pt idx="92">
                  <c:v>28.269869194203181</c:v>
                </c:pt>
                <c:pt idx="93">
                  <c:v>28.432333578870541</c:v>
                </c:pt>
                <c:pt idx="94">
                  <c:v>26.224987376073777</c:v>
                </c:pt>
                <c:pt idx="95">
                  <c:v>29.299750863608857</c:v>
                </c:pt>
                <c:pt idx="96">
                  <c:v>25.25783195820361</c:v>
                </c:pt>
                <c:pt idx="97">
                  <c:v>36.799781924988828</c:v>
                </c:pt>
                <c:pt idx="98">
                  <c:v>36.195618967655356</c:v>
                </c:pt>
                <c:pt idx="99">
                  <c:v>33.140701753149145</c:v>
                </c:pt>
                <c:pt idx="100">
                  <c:v>24.652452752257165</c:v>
                </c:pt>
                <c:pt idx="101">
                  <c:v>25.730981219887607</c:v>
                </c:pt>
                <c:pt idx="102">
                  <c:v>19.566549837479918</c:v>
                </c:pt>
                <c:pt idx="103">
                  <c:v>20.184924051951221</c:v>
                </c:pt>
                <c:pt idx="104">
                  <c:v>21.228441229859655</c:v>
                </c:pt>
                <c:pt idx="105">
                  <c:v>18.143646031256367</c:v>
                </c:pt>
                <c:pt idx="106">
                  <c:v>16.831320220681484</c:v>
                </c:pt>
                <c:pt idx="107">
                  <c:v>20.4670081935827</c:v>
                </c:pt>
                <c:pt idx="108">
                  <c:v>22.503910409015539</c:v>
                </c:pt>
                <c:pt idx="109">
                  <c:v>19.609749474028028</c:v>
                </c:pt>
                <c:pt idx="110">
                  <c:v>20.664315173069795</c:v>
                </c:pt>
                <c:pt idx="111">
                  <c:v>27.177923019965199</c:v>
                </c:pt>
                <c:pt idx="112">
                  <c:v>21.087268360148382</c:v>
                </c:pt>
                <c:pt idx="113">
                  <c:v>21.121395332470946</c:v>
                </c:pt>
                <c:pt idx="114">
                  <c:v>25.578184034994653</c:v>
                </c:pt>
                <c:pt idx="115">
                  <c:v>20.766312002548887</c:v>
                </c:pt>
                <c:pt idx="116">
                  <c:v>23.929384084766131</c:v>
                </c:pt>
                <c:pt idx="117">
                  <c:v>24.173729102434059</c:v>
                </c:pt>
                <c:pt idx="118">
                  <c:v>20.707799338897367</c:v>
                </c:pt>
                <c:pt idx="119">
                  <c:v>21.256928181903987</c:v>
                </c:pt>
                <c:pt idx="120">
                  <c:v>21.653545241880963</c:v>
                </c:pt>
                <c:pt idx="121">
                  <c:v>22.17348648175161</c:v>
                </c:pt>
                <c:pt idx="122">
                  <c:v>20.188889386596639</c:v>
                </c:pt>
                <c:pt idx="123">
                  <c:v>15.912544432766085</c:v>
                </c:pt>
                <c:pt idx="124">
                  <c:v>20.140572925852886</c:v>
                </c:pt>
                <c:pt idx="125">
                  <c:v>22.115064762201261</c:v>
                </c:pt>
                <c:pt idx="126">
                  <c:v>14.048249738253265</c:v>
                </c:pt>
                <c:pt idx="127">
                  <c:v>14.643869543862511</c:v>
                </c:pt>
                <c:pt idx="128">
                  <c:v>18.599538455699758</c:v>
                </c:pt>
                <c:pt idx="129">
                  <c:v>13.566313019636871</c:v>
                </c:pt>
                <c:pt idx="130">
                  <c:v>19.78407734157339</c:v>
                </c:pt>
                <c:pt idx="131">
                  <c:v>19.173545161050555</c:v>
                </c:pt>
                <c:pt idx="132">
                  <c:v>19.843337367545541</c:v>
                </c:pt>
                <c:pt idx="133">
                  <c:v>15.439341764047414</c:v>
                </c:pt>
                <c:pt idx="134">
                  <c:v>12.811659251833788</c:v>
                </c:pt>
                <c:pt idx="135">
                  <c:v>16.978747695535066</c:v>
                </c:pt>
                <c:pt idx="136">
                  <c:v>15.458004755831583</c:v>
                </c:pt>
                <c:pt idx="137">
                  <c:v>19.038657455334153</c:v>
                </c:pt>
                <c:pt idx="138">
                  <c:v>13.282832540952644</c:v>
                </c:pt>
                <c:pt idx="139">
                  <c:v>16.000492724618351</c:v>
                </c:pt>
                <c:pt idx="140">
                  <c:v>13.120728480909419</c:v>
                </c:pt>
                <c:pt idx="141">
                  <c:v>3.1732308490581751</c:v>
                </c:pt>
                <c:pt idx="142">
                  <c:v>12.272472672925588</c:v>
                </c:pt>
                <c:pt idx="143">
                  <c:v>12.557901546919245</c:v>
                </c:pt>
                <c:pt idx="144">
                  <c:v>8.970742981464646</c:v>
                </c:pt>
                <c:pt idx="145">
                  <c:v>12.492272953133616</c:v>
                </c:pt>
                <c:pt idx="146">
                  <c:v>16.170822155750862</c:v>
                </c:pt>
                <c:pt idx="147">
                  <c:v>8.7963156639204758</c:v>
                </c:pt>
                <c:pt idx="148">
                  <c:v>10.074537509941859</c:v>
                </c:pt>
                <c:pt idx="149">
                  <c:v>15.265845464523315</c:v>
                </c:pt>
                <c:pt idx="150">
                  <c:v>21.463955829448501</c:v>
                </c:pt>
                <c:pt idx="151">
                  <c:v>18.703057737070338</c:v>
                </c:pt>
                <c:pt idx="152">
                  <c:v>17.779022611936906</c:v>
                </c:pt>
                <c:pt idx="153">
                  <c:v>17.74120255824981</c:v>
                </c:pt>
                <c:pt idx="154">
                  <c:v>20.316212572847224</c:v>
                </c:pt>
                <c:pt idx="155">
                  <c:v>17.987321793386599</c:v>
                </c:pt>
                <c:pt idx="156">
                  <c:v>13.913271677460475</c:v>
                </c:pt>
                <c:pt idx="157">
                  <c:v>34.183401175477123</c:v>
                </c:pt>
                <c:pt idx="158">
                  <c:v>29.676044271422722</c:v>
                </c:pt>
                <c:pt idx="159">
                  <c:v>26.32220660212834</c:v>
                </c:pt>
                <c:pt idx="160">
                  <c:v>30.743561971869902</c:v>
                </c:pt>
                <c:pt idx="161">
                  <c:v>37.897508844596103</c:v>
                </c:pt>
                <c:pt idx="162">
                  <c:v>39.080243757890401</c:v>
                </c:pt>
                <c:pt idx="163">
                  <c:v>40.565463557777285</c:v>
                </c:pt>
                <c:pt idx="164">
                  <c:v>25.607094111101944</c:v>
                </c:pt>
                <c:pt idx="165">
                  <c:v>26.141620869703182</c:v>
                </c:pt>
                <c:pt idx="166">
                  <c:v>38.443695313161854</c:v>
                </c:pt>
                <c:pt idx="167">
                  <c:v>23.862149923668117</c:v>
                </c:pt>
                <c:pt idx="168">
                  <c:v>27.191675780066149</c:v>
                </c:pt>
                <c:pt idx="169">
                  <c:v>27.529313138650895</c:v>
                </c:pt>
                <c:pt idx="170">
                  <c:v>23.309452533427631</c:v>
                </c:pt>
                <c:pt idx="171">
                  <c:v>25.063677028255</c:v>
                </c:pt>
                <c:pt idx="172">
                  <c:v>23.318014854497768</c:v>
                </c:pt>
                <c:pt idx="173">
                  <c:v>29.665445351720951</c:v>
                </c:pt>
                <c:pt idx="174">
                  <c:v>27.032835648375332</c:v>
                </c:pt>
                <c:pt idx="175">
                  <c:v>31.647834013262827</c:v>
                </c:pt>
                <c:pt idx="176">
                  <c:v>26.468120364345744</c:v>
                </c:pt>
                <c:pt idx="177">
                  <c:v>29.918793752107472</c:v>
                </c:pt>
                <c:pt idx="178">
                  <c:v>32.248699274517392</c:v>
                </c:pt>
                <c:pt idx="179">
                  <c:v>33.447454130329568</c:v>
                </c:pt>
                <c:pt idx="180">
                  <c:v>35.349211806468361</c:v>
                </c:pt>
                <c:pt idx="181">
                  <c:v>27.994174749748407</c:v>
                </c:pt>
                <c:pt idx="182">
                  <c:v>34.311083945247937</c:v>
                </c:pt>
                <c:pt idx="183">
                  <c:v>31.287776774891821</c:v>
                </c:pt>
                <c:pt idx="184">
                  <c:v>22.810807131558583</c:v>
                </c:pt>
                <c:pt idx="185">
                  <c:v>25.149909957810664</c:v>
                </c:pt>
                <c:pt idx="186">
                  <c:v>36.747347804803496</c:v>
                </c:pt>
                <c:pt idx="187">
                  <c:v>32.874634831783695</c:v>
                </c:pt>
                <c:pt idx="188">
                  <c:v>32.043548603259893</c:v>
                </c:pt>
                <c:pt idx="189">
                  <c:v>34.287476938874597</c:v>
                </c:pt>
                <c:pt idx="190">
                  <c:v>31.027091412330009</c:v>
                </c:pt>
                <c:pt idx="191">
                  <c:v>30.474755604135179</c:v>
                </c:pt>
                <c:pt idx="192">
                  <c:v>33.236822882718599</c:v>
                </c:pt>
                <c:pt idx="193">
                  <c:v>31.367490892684692</c:v>
                </c:pt>
                <c:pt idx="194">
                  <c:v>30.72316893330354</c:v>
                </c:pt>
                <c:pt idx="195">
                  <c:v>39.431969223428823</c:v>
                </c:pt>
                <c:pt idx="196">
                  <c:v>35.422194745089186</c:v>
                </c:pt>
                <c:pt idx="197">
                  <c:v>31.883274971764038</c:v>
                </c:pt>
                <c:pt idx="198">
                  <c:v>33.978367855452994</c:v>
                </c:pt>
                <c:pt idx="199">
                  <c:v>28.081499668500982</c:v>
                </c:pt>
                <c:pt idx="200">
                  <c:v>28.672128350853757</c:v>
                </c:pt>
                <c:pt idx="201">
                  <c:v>27.525904093665861</c:v>
                </c:pt>
                <c:pt idx="202">
                  <c:v>35.771173606998723</c:v>
                </c:pt>
                <c:pt idx="203">
                  <c:v>39.667707008712412</c:v>
                </c:pt>
                <c:pt idx="204">
                  <c:v>40.876506294618068</c:v>
                </c:pt>
                <c:pt idx="205">
                  <c:v>23.299863061323062</c:v>
                </c:pt>
                <c:pt idx="206">
                  <c:v>24.414561475926448</c:v>
                </c:pt>
                <c:pt idx="207">
                  <c:v>18.370038219767959</c:v>
                </c:pt>
                <c:pt idx="208">
                  <c:v>21.408293547640994</c:v>
                </c:pt>
                <c:pt idx="209">
                  <c:v>14.503390912849101</c:v>
                </c:pt>
                <c:pt idx="210">
                  <c:v>20.078545081259584</c:v>
                </c:pt>
                <c:pt idx="211">
                  <c:v>14.554691009189456</c:v>
                </c:pt>
                <c:pt idx="212">
                  <c:v>20.452132105173035</c:v>
                </c:pt>
                <c:pt idx="213">
                  <c:v>25.918053026054505</c:v>
                </c:pt>
                <c:pt idx="214">
                  <c:v>11.517590005876054</c:v>
                </c:pt>
                <c:pt idx="215">
                  <c:v>25.128817689209924</c:v>
                </c:pt>
                <c:pt idx="216">
                  <c:v>24.566233930446174</c:v>
                </c:pt>
                <c:pt idx="217">
                  <c:v>29.190390323993189</c:v>
                </c:pt>
                <c:pt idx="218">
                  <c:v>22.710600866011177</c:v>
                </c:pt>
                <c:pt idx="219">
                  <c:v>27.724598271167707</c:v>
                </c:pt>
                <c:pt idx="220">
                  <c:v>31.137761105647893</c:v>
                </c:pt>
                <c:pt idx="221">
                  <c:v>21.558509399308694</c:v>
                </c:pt>
                <c:pt idx="222">
                  <c:v>30.220458080996064</c:v>
                </c:pt>
                <c:pt idx="223">
                  <c:v>30.437320774950436</c:v>
                </c:pt>
                <c:pt idx="224">
                  <c:v>39.400028795623875</c:v>
                </c:pt>
                <c:pt idx="225">
                  <c:v>40.948510450306109</c:v>
                </c:pt>
                <c:pt idx="226">
                  <c:v>38.615057294387327</c:v>
                </c:pt>
                <c:pt idx="227">
                  <c:v>33.209427230262612</c:v>
                </c:pt>
                <c:pt idx="228">
                  <c:v>36.660394585516158</c:v>
                </c:pt>
                <c:pt idx="229">
                  <c:v>32.125452569368534</c:v>
                </c:pt>
                <c:pt idx="230">
                  <c:v>25.144405853475</c:v>
                </c:pt>
                <c:pt idx="231">
                  <c:v>34.297892039857466</c:v>
                </c:pt>
                <c:pt idx="232">
                  <c:v>39.365108102294137</c:v>
                </c:pt>
                <c:pt idx="233">
                  <c:v>38.411312981941443</c:v>
                </c:pt>
                <c:pt idx="234">
                  <c:v>29.874916013255788</c:v>
                </c:pt>
                <c:pt idx="235">
                  <c:v>25.969814080817375</c:v>
                </c:pt>
                <c:pt idx="236">
                  <c:v>28.349500281966531</c:v>
                </c:pt>
                <c:pt idx="237">
                  <c:v>33.867007558268689</c:v>
                </c:pt>
                <c:pt idx="238">
                  <c:v>28.804139502488468</c:v>
                </c:pt>
                <c:pt idx="239">
                  <c:v>28.762402859589599</c:v>
                </c:pt>
                <c:pt idx="240">
                  <c:v>27.705010967674568</c:v>
                </c:pt>
                <c:pt idx="241">
                  <c:v>23.907147978995116</c:v>
                </c:pt>
                <c:pt idx="242">
                  <c:v>24.569020969326736</c:v>
                </c:pt>
                <c:pt idx="243">
                  <c:v>28.013940992939322</c:v>
                </c:pt>
                <c:pt idx="244">
                  <c:v>16.704840132667787</c:v>
                </c:pt>
                <c:pt idx="245">
                  <c:v>13.806464489557872</c:v>
                </c:pt>
                <c:pt idx="246">
                  <c:v>20.705726171769264</c:v>
                </c:pt>
                <c:pt idx="247">
                  <c:v>20.425899569896099</c:v>
                </c:pt>
                <c:pt idx="248">
                  <c:v>21.946128141935311</c:v>
                </c:pt>
                <c:pt idx="249">
                  <c:v>24.929966293395807</c:v>
                </c:pt>
                <c:pt idx="250">
                  <c:v>24.897621702848461</c:v>
                </c:pt>
                <c:pt idx="251">
                  <c:v>25.724829981517534</c:v>
                </c:pt>
                <c:pt idx="252">
                  <c:v>26.151635082986807</c:v>
                </c:pt>
                <c:pt idx="253">
                  <c:v>31.523858629159133</c:v>
                </c:pt>
                <c:pt idx="254">
                  <c:v>22.765480473733898</c:v>
                </c:pt>
                <c:pt idx="255">
                  <c:v>20.471053269420079</c:v>
                </c:pt>
                <c:pt idx="256">
                  <c:v>35.404899529241654</c:v>
                </c:pt>
                <c:pt idx="257">
                  <c:v>43.927482589864631</c:v>
                </c:pt>
                <c:pt idx="258">
                  <c:v>36.723085889950902</c:v>
                </c:pt>
                <c:pt idx="259">
                  <c:v>35.135221476651715</c:v>
                </c:pt>
                <c:pt idx="260">
                  <c:v>35.139709919216628</c:v>
                </c:pt>
                <c:pt idx="261">
                  <c:v>37.558037062152799</c:v>
                </c:pt>
                <c:pt idx="262">
                  <c:v>41.645243608184792</c:v>
                </c:pt>
                <c:pt idx="263">
                  <c:v>34.756622169464478</c:v>
                </c:pt>
                <c:pt idx="264">
                  <c:v>36.07919484430375</c:v>
                </c:pt>
                <c:pt idx="265">
                  <c:v>28.16938499391286</c:v>
                </c:pt>
                <c:pt idx="266">
                  <c:v>31.495278669838097</c:v>
                </c:pt>
                <c:pt idx="267">
                  <c:v>41.588964210958011</c:v>
                </c:pt>
                <c:pt idx="268">
                  <c:v>40.020478149206227</c:v>
                </c:pt>
                <c:pt idx="269">
                  <c:v>22.501966528682168</c:v>
                </c:pt>
                <c:pt idx="270">
                  <c:v>21.966776129976441</c:v>
                </c:pt>
                <c:pt idx="271">
                  <c:v>27.060799709378429</c:v>
                </c:pt>
                <c:pt idx="272">
                  <c:v>28.168964146528488</c:v>
                </c:pt>
                <c:pt idx="273">
                  <c:v>32.89306777883619</c:v>
                </c:pt>
                <c:pt idx="274">
                  <c:v>32.561184697899016</c:v>
                </c:pt>
                <c:pt idx="275">
                  <c:v>32.981245389249288</c:v>
                </c:pt>
                <c:pt idx="276">
                  <c:v>32.330134805155794</c:v>
                </c:pt>
                <c:pt idx="277">
                  <c:v>31.536745757641754</c:v>
                </c:pt>
                <c:pt idx="278">
                  <c:v>29.438717521425982</c:v>
                </c:pt>
                <c:pt idx="279">
                  <c:v>35.836041069739814</c:v>
                </c:pt>
                <c:pt idx="280">
                  <c:v>39.634563498131577</c:v>
                </c:pt>
                <c:pt idx="281">
                  <c:v>35.182387360513005</c:v>
                </c:pt>
                <c:pt idx="282">
                  <c:v>38.625079742945502</c:v>
                </c:pt>
                <c:pt idx="283">
                  <c:v>40.273644315445658</c:v>
                </c:pt>
                <c:pt idx="284">
                  <c:v>29.86954508626588</c:v>
                </c:pt>
                <c:pt idx="285">
                  <c:v>27.072700116715602</c:v>
                </c:pt>
                <c:pt idx="286">
                  <c:v>18.441840671578014</c:v>
                </c:pt>
                <c:pt idx="287">
                  <c:v>26.558577158084493</c:v>
                </c:pt>
                <c:pt idx="288">
                  <c:v>26.710335764690367</c:v>
                </c:pt>
                <c:pt idx="289">
                  <c:v>26.538316373615764</c:v>
                </c:pt>
                <c:pt idx="290">
                  <c:v>30.747348148254215</c:v>
                </c:pt>
                <c:pt idx="291">
                  <c:v>31.791924492346876</c:v>
                </c:pt>
                <c:pt idx="292">
                  <c:v>29.098611381440318</c:v>
                </c:pt>
                <c:pt idx="293">
                  <c:v>27.393022836180478</c:v>
                </c:pt>
                <c:pt idx="294">
                  <c:v>25.893425066572963</c:v>
                </c:pt>
                <c:pt idx="295">
                  <c:v>30.258582077252179</c:v>
                </c:pt>
                <c:pt idx="296">
                  <c:v>29.06014606456241</c:v>
                </c:pt>
                <c:pt idx="297">
                  <c:v>21.108002181880437</c:v>
                </c:pt>
                <c:pt idx="298">
                  <c:v>28.434667309250827</c:v>
                </c:pt>
                <c:pt idx="299">
                  <c:v>31.451780503272971</c:v>
                </c:pt>
                <c:pt idx="300">
                  <c:v>30.152958995500253</c:v>
                </c:pt>
                <c:pt idx="301">
                  <c:v>29.038395739412934</c:v>
                </c:pt>
                <c:pt idx="302">
                  <c:v>29.019823383250266</c:v>
                </c:pt>
                <c:pt idx="303">
                  <c:v>33.072865524912466</c:v>
                </c:pt>
                <c:pt idx="304">
                  <c:v>32.572450541532852</c:v>
                </c:pt>
                <c:pt idx="305">
                  <c:v>29.737119059111965</c:v>
                </c:pt>
                <c:pt idx="306">
                  <c:v>34.62857763010561</c:v>
                </c:pt>
                <c:pt idx="307">
                  <c:v>31.651373862310791</c:v>
                </c:pt>
                <c:pt idx="308">
                  <c:v>29.157299185313381</c:v>
                </c:pt>
                <c:pt idx="309">
                  <c:v>23.888727686176153</c:v>
                </c:pt>
                <c:pt idx="310">
                  <c:v>18.537520420453863</c:v>
                </c:pt>
                <c:pt idx="311">
                  <c:v>27.178428694608705</c:v>
                </c:pt>
                <c:pt idx="312">
                  <c:v>23.475978416581157</c:v>
                </c:pt>
                <c:pt idx="313">
                  <c:v>25.94354871272666</c:v>
                </c:pt>
                <c:pt idx="314">
                  <c:v>26.034911204045258</c:v>
                </c:pt>
                <c:pt idx="315">
                  <c:v>20.986966397882064</c:v>
                </c:pt>
                <c:pt idx="316">
                  <c:v>18.10979239145491</c:v>
                </c:pt>
                <c:pt idx="317">
                  <c:v>18.885922972630564</c:v>
                </c:pt>
                <c:pt idx="318">
                  <c:v>24.84362073207711</c:v>
                </c:pt>
                <c:pt idx="319">
                  <c:v>21.959820762315893</c:v>
                </c:pt>
                <c:pt idx="320">
                  <c:v>25.538652767712993</c:v>
                </c:pt>
                <c:pt idx="321">
                  <c:v>25.501467499021928</c:v>
                </c:pt>
                <c:pt idx="322">
                  <c:v>23.476174714583397</c:v>
                </c:pt>
                <c:pt idx="323">
                  <c:v>19.883629624163024</c:v>
                </c:pt>
                <c:pt idx="324">
                  <c:v>25.856584054325438</c:v>
                </c:pt>
                <c:pt idx="325">
                  <c:v>25.677945050406944</c:v>
                </c:pt>
                <c:pt idx="326">
                  <c:v>24.613870067914348</c:v>
                </c:pt>
                <c:pt idx="327">
                  <c:v>20.161642152464115</c:v>
                </c:pt>
                <c:pt idx="328">
                  <c:v>22.636509031199289</c:v>
                </c:pt>
                <c:pt idx="329">
                  <c:v>25.863445909863643</c:v>
                </c:pt>
                <c:pt idx="330">
                  <c:v>23.274127165290686</c:v>
                </c:pt>
                <c:pt idx="331">
                  <c:v>19.972949888735688</c:v>
                </c:pt>
                <c:pt idx="332">
                  <c:v>23.414518050536159</c:v>
                </c:pt>
                <c:pt idx="333">
                  <c:v>23.122233349918481</c:v>
                </c:pt>
                <c:pt idx="334">
                  <c:v>22.533237303884242</c:v>
                </c:pt>
                <c:pt idx="335">
                  <c:v>21.416135898076554</c:v>
                </c:pt>
                <c:pt idx="336">
                  <c:v>20.673800750643128</c:v>
                </c:pt>
                <c:pt idx="337">
                  <c:v>19.860693967549292</c:v>
                </c:pt>
                <c:pt idx="338">
                  <c:v>22.64867866158351</c:v>
                </c:pt>
                <c:pt idx="339">
                  <c:v>21.685120075043471</c:v>
                </c:pt>
                <c:pt idx="340">
                  <c:v>21.816789109127118</c:v>
                </c:pt>
                <c:pt idx="341">
                  <c:v>30.991913900146422</c:v>
                </c:pt>
                <c:pt idx="342">
                  <c:v>24.028612872866404</c:v>
                </c:pt>
                <c:pt idx="343">
                  <c:v>26.663294013804993</c:v>
                </c:pt>
                <c:pt idx="344">
                  <c:v>27.836931098761433</c:v>
                </c:pt>
                <c:pt idx="345">
                  <c:v>18.263491401029654</c:v>
                </c:pt>
                <c:pt idx="346">
                  <c:v>16.446779498612287</c:v>
                </c:pt>
                <c:pt idx="347">
                  <c:v>23.551216335650693</c:v>
                </c:pt>
                <c:pt idx="348">
                  <c:v>26.088335624680148</c:v>
                </c:pt>
                <c:pt idx="349">
                  <c:v>22.337938681292755</c:v>
                </c:pt>
                <c:pt idx="350">
                  <c:v>20.501125458163962</c:v>
                </c:pt>
                <c:pt idx="351">
                  <c:v>20.560836696356667</c:v>
                </c:pt>
                <c:pt idx="352">
                  <c:v>16.780604088347427</c:v>
                </c:pt>
                <c:pt idx="353">
                  <c:v>24.355428462425703</c:v>
                </c:pt>
                <c:pt idx="354">
                  <c:v>12.417086488321146</c:v>
                </c:pt>
                <c:pt idx="355">
                  <c:v>14.764739268141728</c:v>
                </c:pt>
                <c:pt idx="356">
                  <c:v>17.146379131870226</c:v>
                </c:pt>
                <c:pt idx="357">
                  <c:v>20.383888243603089</c:v>
                </c:pt>
                <c:pt idx="358">
                  <c:v>19.889228739926246</c:v>
                </c:pt>
                <c:pt idx="359">
                  <c:v>19.518362927657904</c:v>
                </c:pt>
                <c:pt idx="360">
                  <c:v>23.028796286413787</c:v>
                </c:pt>
                <c:pt idx="361">
                  <c:v>19.168012858895484</c:v>
                </c:pt>
                <c:pt idx="362">
                  <c:v>18.178300182995777</c:v>
                </c:pt>
                <c:pt idx="363">
                  <c:v>17.568589306851088</c:v>
                </c:pt>
                <c:pt idx="364">
                  <c:v>35.642937515098112</c:v>
                </c:pt>
                <c:pt idx="365">
                  <c:v>13.647045733933943</c:v>
                </c:pt>
                <c:pt idx="366">
                  <c:v>15.277007649310899</c:v>
                </c:pt>
                <c:pt idx="367">
                  <c:v>10.132861619396159</c:v>
                </c:pt>
                <c:pt idx="368">
                  <c:v>23.443184795564036</c:v>
                </c:pt>
                <c:pt idx="369">
                  <c:v>30.073321421071533</c:v>
                </c:pt>
                <c:pt idx="370">
                  <c:v>32.094190361255066</c:v>
                </c:pt>
                <c:pt idx="371">
                  <c:v>24.884922059069716</c:v>
                </c:pt>
                <c:pt idx="372">
                  <c:v>23.172269720846735</c:v>
                </c:pt>
                <c:pt idx="373">
                  <c:v>5.7378457749645477</c:v>
                </c:pt>
                <c:pt idx="374">
                  <c:v>0.20935909495610616</c:v>
                </c:pt>
                <c:pt idx="375">
                  <c:v>25.645748366441065</c:v>
                </c:pt>
                <c:pt idx="376">
                  <c:v>17.885191530017405</c:v>
                </c:pt>
                <c:pt idx="377">
                  <c:v>20.394588141125531</c:v>
                </c:pt>
                <c:pt idx="378">
                  <c:v>15.964740560634066</c:v>
                </c:pt>
                <c:pt idx="379">
                  <c:v>16.884575114862514</c:v>
                </c:pt>
                <c:pt idx="380">
                  <c:v>14.982485491812643</c:v>
                </c:pt>
                <c:pt idx="381">
                  <c:v>18.64252742537245</c:v>
                </c:pt>
                <c:pt idx="382">
                  <c:v>13.306294680730124</c:v>
                </c:pt>
                <c:pt idx="383">
                  <c:v>12.917794831448642</c:v>
                </c:pt>
                <c:pt idx="384">
                  <c:v>2.8286781559723906</c:v>
                </c:pt>
                <c:pt idx="385">
                  <c:v>7.868602219307423</c:v>
                </c:pt>
                <c:pt idx="386">
                  <c:v>5.8117863301043204</c:v>
                </c:pt>
                <c:pt idx="387">
                  <c:v>5.4332646499395736</c:v>
                </c:pt>
                <c:pt idx="388">
                  <c:v>6.1680186659649792</c:v>
                </c:pt>
                <c:pt idx="389">
                  <c:v>14.08660147207353</c:v>
                </c:pt>
                <c:pt idx="390">
                  <c:v>17.229992432596731</c:v>
                </c:pt>
                <c:pt idx="391">
                  <c:v>17.501564407683276</c:v>
                </c:pt>
                <c:pt idx="392">
                  <c:v>9.7082229659044721</c:v>
                </c:pt>
                <c:pt idx="393">
                  <c:v>20.354874848757522</c:v>
                </c:pt>
                <c:pt idx="394">
                  <c:v>18.006439359822558</c:v>
                </c:pt>
                <c:pt idx="395">
                  <c:v>20.470595240898092</c:v>
                </c:pt>
                <c:pt idx="396">
                  <c:v>19.429489718679008</c:v>
                </c:pt>
                <c:pt idx="397">
                  <c:v>16.281041109369653</c:v>
                </c:pt>
                <c:pt idx="398">
                  <c:v>6.5168573856789074</c:v>
                </c:pt>
                <c:pt idx="399">
                  <c:v>10.875236620141424</c:v>
                </c:pt>
                <c:pt idx="400">
                  <c:v>11.954138032983176</c:v>
                </c:pt>
                <c:pt idx="401">
                  <c:v>17.926888009671234</c:v>
                </c:pt>
                <c:pt idx="402">
                  <c:v>18.377117029584916</c:v>
                </c:pt>
                <c:pt idx="403">
                  <c:v>12.928087377294846</c:v>
                </c:pt>
                <c:pt idx="404">
                  <c:v>7.4231546996232858</c:v>
                </c:pt>
                <c:pt idx="405">
                  <c:v>8.3524101045767249</c:v>
                </c:pt>
                <c:pt idx="406">
                  <c:v>7.5096522354456656</c:v>
                </c:pt>
                <c:pt idx="407">
                  <c:v>19.786053382689055</c:v>
                </c:pt>
                <c:pt idx="408">
                  <c:v>13.534031329570498</c:v>
                </c:pt>
                <c:pt idx="409">
                  <c:v>19.962885645785931</c:v>
                </c:pt>
                <c:pt idx="410">
                  <c:v>15.106122783947423</c:v>
                </c:pt>
                <c:pt idx="411">
                  <c:v>16.955367258340758</c:v>
                </c:pt>
                <c:pt idx="412">
                  <c:v>1.1978968268350236</c:v>
                </c:pt>
                <c:pt idx="413">
                  <c:v>11.582551774385374</c:v>
                </c:pt>
                <c:pt idx="414">
                  <c:v>-4.6535304886337006</c:v>
                </c:pt>
                <c:pt idx="415">
                  <c:v>9.6077343216997289</c:v>
                </c:pt>
                <c:pt idx="416">
                  <c:v>13.47383697278098</c:v>
                </c:pt>
                <c:pt idx="417">
                  <c:v>6.6986130285093388</c:v>
                </c:pt>
                <c:pt idx="418">
                  <c:v>6.2894511819162489</c:v>
                </c:pt>
                <c:pt idx="419">
                  <c:v>14.783526117818269</c:v>
                </c:pt>
                <c:pt idx="420">
                  <c:v>19.751980749246705</c:v>
                </c:pt>
                <c:pt idx="421">
                  <c:v>18.170677692383258</c:v>
                </c:pt>
                <c:pt idx="422">
                  <c:v>18.534286827932984</c:v>
                </c:pt>
                <c:pt idx="423">
                  <c:v>13.152718896280486</c:v>
                </c:pt>
                <c:pt idx="424">
                  <c:v>14.533223572726554</c:v>
                </c:pt>
                <c:pt idx="425">
                  <c:v>9.8212516564656696</c:v>
                </c:pt>
                <c:pt idx="426">
                  <c:v>16.371572644299583</c:v>
                </c:pt>
                <c:pt idx="427">
                  <c:v>14.206628490706207</c:v>
                </c:pt>
                <c:pt idx="428">
                  <c:v>14.308290839735848</c:v>
                </c:pt>
                <c:pt idx="429">
                  <c:v>13.081533926554597</c:v>
                </c:pt>
                <c:pt idx="430">
                  <c:v>18.260801032538758</c:v>
                </c:pt>
                <c:pt idx="431">
                  <c:v>18.912563571333664</c:v>
                </c:pt>
                <c:pt idx="432">
                  <c:v>21.725999146175972</c:v>
                </c:pt>
                <c:pt idx="433">
                  <c:v>17.20777907052657</c:v>
                </c:pt>
                <c:pt idx="434">
                  <c:v>16.06738296412707</c:v>
                </c:pt>
                <c:pt idx="435">
                  <c:v>13.542790582265161</c:v>
                </c:pt>
                <c:pt idx="436">
                  <c:v>14.601709885574197</c:v>
                </c:pt>
                <c:pt idx="437">
                  <c:v>8.7641158701662984</c:v>
                </c:pt>
                <c:pt idx="438">
                  <c:v>4.7930522038449794</c:v>
                </c:pt>
                <c:pt idx="439">
                  <c:v>13.050468551636392</c:v>
                </c:pt>
                <c:pt idx="440">
                  <c:v>12.814831614337063</c:v>
                </c:pt>
                <c:pt idx="441">
                  <c:v>17.537626688436454</c:v>
                </c:pt>
                <c:pt idx="442">
                  <c:v>18.895202744361463</c:v>
                </c:pt>
                <c:pt idx="443">
                  <c:v>18.291339487723029</c:v>
                </c:pt>
                <c:pt idx="444">
                  <c:v>11.501849025736895</c:v>
                </c:pt>
                <c:pt idx="445">
                  <c:v>12.0347758044097</c:v>
                </c:pt>
                <c:pt idx="446">
                  <c:v>17.860689923944275</c:v>
                </c:pt>
                <c:pt idx="447">
                  <c:v>18.368550383730575</c:v>
                </c:pt>
                <c:pt idx="448">
                  <c:v>17.75530641696546</c:v>
                </c:pt>
                <c:pt idx="449">
                  <c:v>17.447857513029</c:v>
                </c:pt>
                <c:pt idx="450">
                  <c:v>16.71899181950284</c:v>
                </c:pt>
                <c:pt idx="451">
                  <c:v>19.760361754246546</c:v>
                </c:pt>
                <c:pt idx="452">
                  <c:v>18.874399489491793</c:v>
                </c:pt>
                <c:pt idx="453">
                  <c:v>23.07871114250629</c:v>
                </c:pt>
                <c:pt idx="454">
                  <c:v>15.527426979564993</c:v>
                </c:pt>
                <c:pt idx="455">
                  <c:v>16.026202098743809</c:v>
                </c:pt>
                <c:pt idx="456">
                  <c:v>12.758527551775011</c:v>
                </c:pt>
                <c:pt idx="457">
                  <c:v>13.028257514100531</c:v>
                </c:pt>
                <c:pt idx="458">
                  <c:v>17.568581314554471</c:v>
                </c:pt>
                <c:pt idx="459">
                  <c:v>18.880087492402392</c:v>
                </c:pt>
                <c:pt idx="460">
                  <c:v>19.443204322187725</c:v>
                </c:pt>
                <c:pt idx="461">
                  <c:v>20.547188346950687</c:v>
                </c:pt>
                <c:pt idx="462">
                  <c:v>20.212818112067595</c:v>
                </c:pt>
                <c:pt idx="463">
                  <c:v>22.9104412129543</c:v>
                </c:pt>
                <c:pt idx="464">
                  <c:v>20.858165104073763</c:v>
                </c:pt>
                <c:pt idx="465">
                  <c:v>18.335269252133603</c:v>
                </c:pt>
                <c:pt idx="466">
                  <c:v>14.5339333108184</c:v>
                </c:pt>
                <c:pt idx="467">
                  <c:v>17.173477968318803</c:v>
                </c:pt>
                <c:pt idx="468">
                  <c:v>17.438505773275164</c:v>
                </c:pt>
                <c:pt idx="469">
                  <c:v>19.016549256574287</c:v>
                </c:pt>
                <c:pt idx="470">
                  <c:v>20.639242977347994</c:v>
                </c:pt>
                <c:pt idx="471">
                  <c:v>23.46254132471654</c:v>
                </c:pt>
                <c:pt idx="472">
                  <c:v>22.988091661198766</c:v>
                </c:pt>
                <c:pt idx="473">
                  <c:v>26.175939770607798</c:v>
                </c:pt>
                <c:pt idx="474">
                  <c:v>16.461776854267573</c:v>
                </c:pt>
                <c:pt idx="475">
                  <c:v>16.273582718246267</c:v>
                </c:pt>
                <c:pt idx="476">
                  <c:v>20.864592373043269</c:v>
                </c:pt>
                <c:pt idx="477">
                  <c:v>11.513245406508796</c:v>
                </c:pt>
                <c:pt idx="478">
                  <c:v>19.425496971093814</c:v>
                </c:pt>
                <c:pt idx="479">
                  <c:v>22.088193574180188</c:v>
                </c:pt>
                <c:pt idx="480">
                  <c:v>24.140375216783845</c:v>
                </c:pt>
                <c:pt idx="481">
                  <c:v>27.844559163601055</c:v>
                </c:pt>
                <c:pt idx="482">
                  <c:v>29.413352120813116</c:v>
                </c:pt>
                <c:pt idx="483">
                  <c:v>21.873065278957991</c:v>
                </c:pt>
                <c:pt idx="484">
                  <c:v>20.150238408324</c:v>
                </c:pt>
                <c:pt idx="485">
                  <c:v>23.088168194615864</c:v>
                </c:pt>
                <c:pt idx="486">
                  <c:v>20.268109385464285</c:v>
                </c:pt>
                <c:pt idx="487">
                  <c:v>21.861374831480699</c:v>
                </c:pt>
                <c:pt idx="488">
                  <c:v>11.854397356276461</c:v>
                </c:pt>
                <c:pt idx="489">
                  <c:v>8.1464065972708273</c:v>
                </c:pt>
                <c:pt idx="490">
                  <c:v>3.5049010876303512</c:v>
                </c:pt>
                <c:pt idx="491">
                  <c:v>13.886822218726653</c:v>
                </c:pt>
                <c:pt idx="492">
                  <c:v>16.179364757835621</c:v>
                </c:pt>
                <c:pt idx="493">
                  <c:v>20.716016463492657</c:v>
                </c:pt>
                <c:pt idx="494">
                  <c:v>20.797877124890476</c:v>
                </c:pt>
                <c:pt idx="495">
                  <c:v>17.15612623369671</c:v>
                </c:pt>
                <c:pt idx="496">
                  <c:v>14.06395563764157</c:v>
                </c:pt>
                <c:pt idx="497">
                  <c:v>19.300916497217578</c:v>
                </c:pt>
                <c:pt idx="498">
                  <c:v>21.439534538579419</c:v>
                </c:pt>
                <c:pt idx="499">
                  <c:v>18.446039864702382</c:v>
                </c:pt>
                <c:pt idx="500">
                  <c:v>20.587361126674306</c:v>
                </c:pt>
                <c:pt idx="501">
                  <c:v>23.342437508659998</c:v>
                </c:pt>
                <c:pt idx="502">
                  <c:v>21.98637495568904</c:v>
                </c:pt>
                <c:pt idx="503">
                  <c:v>27.38606287540361</c:v>
                </c:pt>
                <c:pt idx="504">
                  <c:v>25.900986760564212</c:v>
                </c:pt>
                <c:pt idx="505">
                  <c:v>21.975479766000312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96608"/>
        <c:axId val="143356992"/>
      </c:lineChart>
      <c:catAx>
        <c:axId val="142596608"/>
        <c:scaling>
          <c:orientation val="minMax"/>
        </c:scaling>
        <c:delete val="0"/>
        <c:axPos val="b"/>
        <c:majorTickMark val="out"/>
        <c:minorTickMark val="none"/>
        <c:tickLblPos val="nextTo"/>
        <c:crossAx val="143356992"/>
        <c:crosses val="autoZero"/>
        <c:auto val="1"/>
        <c:lblAlgn val="ctr"/>
        <c:lblOffset val="100"/>
        <c:noMultiLvlLbl val="0"/>
      </c:catAx>
      <c:valAx>
        <c:axId val="143356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2596608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ko-KR" altLang="en-US"/>
              <a:t>주성분 부하량</a:t>
            </a:r>
            <a:endParaRPr lang="en-US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보스턴주택가격_PCA!$AD$42</c:f>
              <c:strCache>
                <c:ptCount val="1"/>
                <c:pt idx="0">
                  <c:v>PC2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1"/>
            <c:spPr>
              <a:solidFill>
                <a:srgbClr val="0070C0"/>
              </a:solidFill>
            </c:spPr>
          </c:marker>
          <c:dLbls>
            <c:dLbl>
              <c:idx val="0"/>
              <c:layout/>
              <c:tx>
                <c:strRef>
                  <c:f>보스턴주택가격_PCA!$AB$43</c:f>
                  <c:strCache>
                    <c:ptCount val="1"/>
                    <c:pt idx="0">
                      <c:v>범죄율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400" b="0" i="0" strike="noStrike">
                      <a:latin typeface="맑은 고딕"/>
                    </a:defRPr>
                  </a:pPr>
                  <a:endParaRPr lang="ko-KR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/>
              <c:tx>
                <c:strRef>
                  <c:f>보스턴주택가격_PCA!$AB$44</c:f>
                  <c:strCache>
                    <c:ptCount val="1"/>
                    <c:pt idx="0">
                      <c:v>비소매지역비율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400" b="0" i="0" strike="noStrike">
                      <a:latin typeface="맑은 고딕"/>
                    </a:defRPr>
                  </a:pPr>
                  <a:endParaRPr lang="ko-KR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/>
              <c:tx>
                <c:strRef>
                  <c:f>보스턴주택가격_PCA!$AB$45</c:f>
                  <c:strCache>
                    <c:ptCount val="1"/>
                    <c:pt idx="0">
                      <c:v>일산화질소농도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400" b="0" i="0" strike="noStrike">
                      <a:latin typeface="맑은 고딕"/>
                    </a:defRPr>
                  </a:pPr>
                  <a:endParaRPr lang="ko-KR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/>
              <c:tx>
                <c:strRef>
                  <c:f>보스턴주택가격_PCA!$AB$46</c:f>
                  <c:strCache>
                    <c:ptCount val="1"/>
                    <c:pt idx="0">
                      <c:v>방개수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400" b="0" i="0" strike="noStrike">
                      <a:latin typeface="맑은 고딕"/>
                    </a:defRPr>
                  </a:pPr>
                  <a:endParaRPr lang="ko-KR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/>
              <c:tx>
                <c:strRef>
                  <c:f>보스턴주택가격_PCA!$AB$47</c:f>
                  <c:strCache>
                    <c:ptCount val="1"/>
                    <c:pt idx="0">
                      <c:v>노후건물비율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400" b="0" i="0" strike="noStrike">
                      <a:latin typeface="맑은 고딕"/>
                    </a:defRPr>
                  </a:pPr>
                  <a:endParaRPr lang="ko-KR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/>
              <c:tx>
                <c:strRef>
                  <c:f>보스턴주택가격_PCA!$AB$48</c:f>
                  <c:strCache>
                    <c:ptCount val="1"/>
                    <c:pt idx="0">
                      <c:v>고용센터접근성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400" b="0" i="0" strike="noStrike">
                      <a:latin typeface="맑은 고딕"/>
                    </a:defRPr>
                  </a:pPr>
                  <a:endParaRPr lang="ko-KR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/>
              <c:tx>
                <c:strRef>
                  <c:f>보스턴주택가격_PCA!$AB$49</c:f>
                  <c:strCache>
                    <c:ptCount val="1"/>
                    <c:pt idx="0">
                      <c:v>고속도로접근성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400" b="0" i="0" strike="noStrike">
                      <a:latin typeface="맑은 고딕"/>
                    </a:defRPr>
                  </a:pPr>
                  <a:endParaRPr lang="ko-KR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/>
              <c:tx>
                <c:strRef>
                  <c:f>보스턴주택가격_PCA!$AB$50</c:f>
                  <c:strCache>
                    <c:ptCount val="1"/>
                    <c:pt idx="0">
                      <c:v>재산세율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400" b="0" i="0" strike="noStrike">
                      <a:latin typeface="맑은 고딕"/>
                    </a:defRPr>
                  </a:pPr>
                  <a:endParaRPr lang="ko-KR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/>
              <c:tx>
                <c:strRef>
                  <c:f>보스턴주택가격_PCA!$AB$51</c:f>
                  <c:strCache>
                    <c:ptCount val="1"/>
                    <c:pt idx="0">
                      <c:v>학생교사비율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400" b="0" i="0" strike="noStrike">
                      <a:latin typeface="맑은 고딕"/>
                    </a:defRPr>
                  </a:pPr>
                  <a:endParaRPr lang="ko-KR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/>
              <c:tx>
                <c:strRef>
                  <c:f>보스턴주택가격_PCA!$AB$52</c:f>
                  <c:strCache>
                    <c:ptCount val="1"/>
                    <c:pt idx="0">
                      <c:v>흑인비율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400" b="0" i="0" strike="noStrike">
                      <a:latin typeface="맑은 고딕"/>
                    </a:defRPr>
                  </a:pPr>
                  <a:endParaRPr lang="ko-KR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layout/>
              <c:tx>
                <c:strRef>
                  <c:f>보스턴주택가격_PCA!$AB$53</c:f>
                  <c:strCache>
                    <c:ptCount val="1"/>
                    <c:pt idx="0">
                      <c:v>하위계층비율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400" b="0" i="0" strike="noStrike">
                      <a:latin typeface="맑은 고딕"/>
                    </a:defRPr>
                  </a:pPr>
                  <a:endParaRPr lang="ko-KR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layout/>
              <c:tx>
                <c:strRef>
                  <c:f>보스턴주택가격_PCA!$AB$54</c:f>
                  <c:strCache>
                    <c:ptCount val="1"/>
                    <c:pt idx="0">
                      <c:v>주택가격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400" b="0" i="0" strike="noStrike">
                      <a:latin typeface="맑은 고딕"/>
                    </a:defRPr>
                  </a:pPr>
                  <a:endParaRPr lang="ko-KR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1400"/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보스턴주택가격_PCA!$AC$43:$AC$54</c:f>
              <c:numCache>
                <c:formatCode>0.00_ </c:formatCode>
                <c:ptCount val="12"/>
                <c:pt idx="0">
                  <c:v>0.64044184621632527</c:v>
                </c:pt>
                <c:pt idx="1">
                  <c:v>0.84497410919209637</c:v>
                </c:pt>
                <c:pt idx="2">
                  <c:v>0.82848971009346495</c:v>
                </c:pt>
                <c:pt idx="3">
                  <c:v>-0.518169644403078</c:v>
                </c:pt>
                <c:pt idx="4">
                  <c:v>0.7448577369814664</c:v>
                </c:pt>
                <c:pt idx="5">
                  <c:v>-0.73820163596994326</c:v>
                </c:pt>
                <c:pt idx="6">
                  <c:v>0.79453756904213479</c:v>
                </c:pt>
                <c:pt idx="7">
                  <c:v>0.84959780776588556</c:v>
                </c:pt>
                <c:pt idx="8">
                  <c:v>0.52363723196020306</c:v>
                </c:pt>
                <c:pt idx="9">
                  <c:v>-0.5186434648729159</c:v>
                </c:pt>
                <c:pt idx="10">
                  <c:v>0.80282204569944027</c:v>
                </c:pt>
                <c:pt idx="11">
                  <c:v>-0.68745042119521604</c:v>
                </c:pt>
              </c:numCache>
            </c:numRef>
          </c:xVal>
          <c:yVal>
            <c:numRef>
              <c:f>보스턴주택가격_PCA!$AD$43:$AD$54</c:f>
              <c:numCache>
                <c:formatCode>0.00_ </c:formatCode>
                <c:ptCount val="12"/>
                <c:pt idx="0">
                  <c:v>5.4597771347265539E-2</c:v>
                </c:pt>
                <c:pt idx="1">
                  <c:v>0.13631774667517133</c:v>
                </c:pt>
                <c:pt idx="2">
                  <c:v>0.31247898924878115</c:v>
                </c:pt>
                <c:pt idx="3">
                  <c:v>0.68292472176863384</c:v>
                </c:pt>
                <c:pt idx="4">
                  <c:v>0.27346450744780282</c:v>
                </c:pt>
                <c:pt idx="5">
                  <c:v>-0.41526270163587525</c:v>
                </c:pt>
                <c:pt idx="6">
                  <c:v>0.17849050092211113</c:v>
                </c:pt>
                <c:pt idx="7">
                  <c:v>0.13525666527955113</c:v>
                </c:pt>
                <c:pt idx="8">
                  <c:v>-0.40208271387637851</c:v>
                </c:pt>
                <c:pt idx="9">
                  <c:v>-9.7843428390030934E-2</c:v>
                </c:pt>
                <c:pt idx="10">
                  <c:v>-0.30554438654570365</c:v>
                </c:pt>
                <c:pt idx="11">
                  <c:v>0.60664734355330396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358720"/>
        <c:axId val="143359296"/>
      </c:scatterChart>
      <c:valAx>
        <c:axId val="143358720"/>
        <c:scaling>
          <c:orientation val="minMax"/>
        </c:scaling>
        <c:delete val="0"/>
        <c:axPos val="b"/>
        <c:numFmt formatCode="0.00_ " sourceLinked="1"/>
        <c:majorTickMark val="none"/>
        <c:minorTickMark val="none"/>
        <c:tickLblPos val="nextTo"/>
        <c:crossAx val="143359296"/>
        <c:crosses val="autoZero"/>
        <c:crossBetween val="midCat"/>
      </c:valAx>
      <c:valAx>
        <c:axId val="143359296"/>
        <c:scaling>
          <c:orientation val="minMax"/>
          <c:max val="1"/>
          <c:min val="-1"/>
        </c:scaling>
        <c:delete val="0"/>
        <c:axPos val="l"/>
        <c:numFmt formatCode="0.00_ " sourceLinked="1"/>
        <c:majorTickMark val="none"/>
        <c:minorTickMark val="none"/>
        <c:tickLblPos val="nextTo"/>
        <c:crossAx val="14335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보스턴주택가격_PCA_회귀!$E$4</c:f>
              <c:strCache>
                <c:ptCount val="1"/>
                <c:pt idx="0">
                  <c:v>주택가격</c:v>
                </c:pt>
              </c:strCache>
            </c:strRef>
          </c:tx>
          <c:val>
            <c:numRef>
              <c:f>보스턴주택가격_PCA_회귀!$E$5:$E$510</c:f>
              <c:numCache>
                <c:formatCode>General</c:formatCode>
                <c:ptCount val="506"/>
                <c:pt idx="0">
                  <c:v>24</c:v>
                </c:pt>
                <c:pt idx="1">
                  <c:v>21.6</c:v>
                </c:pt>
                <c:pt idx="2">
                  <c:v>34.700000000000003</c:v>
                </c:pt>
                <c:pt idx="3">
                  <c:v>33.4</c:v>
                </c:pt>
                <c:pt idx="4">
                  <c:v>36.200000000000003</c:v>
                </c:pt>
                <c:pt idx="5">
                  <c:v>28.7</c:v>
                </c:pt>
                <c:pt idx="6">
                  <c:v>22.9</c:v>
                </c:pt>
                <c:pt idx="7">
                  <c:v>27.1</c:v>
                </c:pt>
                <c:pt idx="8">
                  <c:v>16.5</c:v>
                </c:pt>
                <c:pt idx="9">
                  <c:v>18.899999999999999</c:v>
                </c:pt>
                <c:pt idx="10">
                  <c:v>15</c:v>
                </c:pt>
                <c:pt idx="11">
                  <c:v>18.899999999999999</c:v>
                </c:pt>
                <c:pt idx="12">
                  <c:v>21.7</c:v>
                </c:pt>
                <c:pt idx="13">
                  <c:v>20.399999999999999</c:v>
                </c:pt>
                <c:pt idx="14">
                  <c:v>18.2</c:v>
                </c:pt>
                <c:pt idx="15">
                  <c:v>19.899999999999999</c:v>
                </c:pt>
                <c:pt idx="16">
                  <c:v>23.1</c:v>
                </c:pt>
                <c:pt idx="17">
                  <c:v>17.5</c:v>
                </c:pt>
                <c:pt idx="18">
                  <c:v>20.2</c:v>
                </c:pt>
                <c:pt idx="19">
                  <c:v>18.2</c:v>
                </c:pt>
                <c:pt idx="20">
                  <c:v>13.6</c:v>
                </c:pt>
                <c:pt idx="21">
                  <c:v>19.600000000000001</c:v>
                </c:pt>
                <c:pt idx="22">
                  <c:v>15.2</c:v>
                </c:pt>
                <c:pt idx="23">
                  <c:v>14.5</c:v>
                </c:pt>
                <c:pt idx="24">
                  <c:v>15.6</c:v>
                </c:pt>
                <c:pt idx="25">
                  <c:v>13.9</c:v>
                </c:pt>
                <c:pt idx="26">
                  <c:v>16.600000000000001</c:v>
                </c:pt>
                <c:pt idx="27">
                  <c:v>14.8</c:v>
                </c:pt>
                <c:pt idx="28">
                  <c:v>18.399999999999999</c:v>
                </c:pt>
                <c:pt idx="29">
                  <c:v>21</c:v>
                </c:pt>
                <c:pt idx="30">
                  <c:v>12.7</c:v>
                </c:pt>
                <c:pt idx="31">
                  <c:v>14.5</c:v>
                </c:pt>
                <c:pt idx="32">
                  <c:v>13.2</c:v>
                </c:pt>
                <c:pt idx="33">
                  <c:v>13.1</c:v>
                </c:pt>
                <c:pt idx="34">
                  <c:v>13.5</c:v>
                </c:pt>
                <c:pt idx="35">
                  <c:v>18.899999999999999</c:v>
                </c:pt>
                <c:pt idx="36">
                  <c:v>20</c:v>
                </c:pt>
                <c:pt idx="37">
                  <c:v>21</c:v>
                </c:pt>
                <c:pt idx="38">
                  <c:v>24.7</c:v>
                </c:pt>
                <c:pt idx="39">
                  <c:v>30.8</c:v>
                </c:pt>
                <c:pt idx="40">
                  <c:v>34.9</c:v>
                </c:pt>
                <c:pt idx="41">
                  <c:v>26.6</c:v>
                </c:pt>
                <c:pt idx="42">
                  <c:v>25.3</c:v>
                </c:pt>
                <c:pt idx="43">
                  <c:v>24.7</c:v>
                </c:pt>
                <c:pt idx="44">
                  <c:v>21.2</c:v>
                </c:pt>
                <c:pt idx="45">
                  <c:v>19.3</c:v>
                </c:pt>
                <c:pt idx="46">
                  <c:v>20</c:v>
                </c:pt>
                <c:pt idx="47">
                  <c:v>16.600000000000001</c:v>
                </c:pt>
                <c:pt idx="48">
                  <c:v>14.4</c:v>
                </c:pt>
                <c:pt idx="49">
                  <c:v>19.399999999999999</c:v>
                </c:pt>
                <c:pt idx="50">
                  <c:v>19.7</c:v>
                </c:pt>
                <c:pt idx="51">
                  <c:v>20.5</c:v>
                </c:pt>
                <c:pt idx="52">
                  <c:v>25</c:v>
                </c:pt>
                <c:pt idx="53">
                  <c:v>23.4</c:v>
                </c:pt>
                <c:pt idx="54">
                  <c:v>18.899999999999999</c:v>
                </c:pt>
                <c:pt idx="55">
                  <c:v>35.4</c:v>
                </c:pt>
                <c:pt idx="56">
                  <c:v>24.7</c:v>
                </c:pt>
                <c:pt idx="57">
                  <c:v>31.6</c:v>
                </c:pt>
                <c:pt idx="58">
                  <c:v>23.3</c:v>
                </c:pt>
                <c:pt idx="59">
                  <c:v>19.600000000000001</c:v>
                </c:pt>
                <c:pt idx="60">
                  <c:v>18.7</c:v>
                </c:pt>
                <c:pt idx="61">
                  <c:v>16</c:v>
                </c:pt>
                <c:pt idx="62">
                  <c:v>22.2</c:v>
                </c:pt>
                <c:pt idx="63">
                  <c:v>25</c:v>
                </c:pt>
                <c:pt idx="64">
                  <c:v>33</c:v>
                </c:pt>
                <c:pt idx="65">
                  <c:v>23.5</c:v>
                </c:pt>
                <c:pt idx="66">
                  <c:v>19.399999999999999</c:v>
                </c:pt>
                <c:pt idx="67">
                  <c:v>22</c:v>
                </c:pt>
                <c:pt idx="68">
                  <c:v>17.399999999999999</c:v>
                </c:pt>
                <c:pt idx="69">
                  <c:v>20.9</c:v>
                </c:pt>
                <c:pt idx="70">
                  <c:v>24.2</c:v>
                </c:pt>
                <c:pt idx="71">
                  <c:v>21.7</c:v>
                </c:pt>
                <c:pt idx="72">
                  <c:v>22.8</c:v>
                </c:pt>
                <c:pt idx="73">
                  <c:v>23.4</c:v>
                </c:pt>
                <c:pt idx="74">
                  <c:v>24.1</c:v>
                </c:pt>
                <c:pt idx="75">
                  <c:v>21.4</c:v>
                </c:pt>
                <c:pt idx="76">
                  <c:v>20</c:v>
                </c:pt>
                <c:pt idx="77">
                  <c:v>20.8</c:v>
                </c:pt>
                <c:pt idx="78">
                  <c:v>21.2</c:v>
                </c:pt>
                <c:pt idx="79">
                  <c:v>20.3</c:v>
                </c:pt>
                <c:pt idx="80">
                  <c:v>28</c:v>
                </c:pt>
                <c:pt idx="81">
                  <c:v>23.9</c:v>
                </c:pt>
                <c:pt idx="82">
                  <c:v>24.8</c:v>
                </c:pt>
                <c:pt idx="83">
                  <c:v>22.9</c:v>
                </c:pt>
                <c:pt idx="84">
                  <c:v>23.9</c:v>
                </c:pt>
                <c:pt idx="85">
                  <c:v>26.6</c:v>
                </c:pt>
                <c:pt idx="86">
                  <c:v>22.5</c:v>
                </c:pt>
                <c:pt idx="87">
                  <c:v>22.2</c:v>
                </c:pt>
                <c:pt idx="88">
                  <c:v>23.6</c:v>
                </c:pt>
                <c:pt idx="89">
                  <c:v>28.7</c:v>
                </c:pt>
                <c:pt idx="90">
                  <c:v>22.6</c:v>
                </c:pt>
                <c:pt idx="91">
                  <c:v>22</c:v>
                </c:pt>
                <c:pt idx="92">
                  <c:v>22.9</c:v>
                </c:pt>
                <c:pt idx="93">
                  <c:v>25</c:v>
                </c:pt>
                <c:pt idx="94">
                  <c:v>20.6</c:v>
                </c:pt>
                <c:pt idx="95">
                  <c:v>28.4</c:v>
                </c:pt>
                <c:pt idx="96">
                  <c:v>21.4</c:v>
                </c:pt>
                <c:pt idx="97">
                  <c:v>38.700000000000003</c:v>
                </c:pt>
                <c:pt idx="98">
                  <c:v>43.8</c:v>
                </c:pt>
                <c:pt idx="99">
                  <c:v>33.200000000000003</c:v>
                </c:pt>
                <c:pt idx="100">
                  <c:v>27.5</c:v>
                </c:pt>
                <c:pt idx="101">
                  <c:v>26.5</c:v>
                </c:pt>
                <c:pt idx="102">
                  <c:v>18.600000000000001</c:v>
                </c:pt>
                <c:pt idx="103">
                  <c:v>19.3</c:v>
                </c:pt>
                <c:pt idx="104">
                  <c:v>20.100000000000001</c:v>
                </c:pt>
                <c:pt idx="105">
                  <c:v>19.5</c:v>
                </c:pt>
                <c:pt idx="106">
                  <c:v>19.5</c:v>
                </c:pt>
                <c:pt idx="107">
                  <c:v>20.399999999999999</c:v>
                </c:pt>
                <c:pt idx="108">
                  <c:v>19.8</c:v>
                </c:pt>
                <c:pt idx="109">
                  <c:v>19.399999999999999</c:v>
                </c:pt>
                <c:pt idx="110">
                  <c:v>21.7</c:v>
                </c:pt>
                <c:pt idx="111">
                  <c:v>22.8</c:v>
                </c:pt>
                <c:pt idx="112">
                  <c:v>18.8</c:v>
                </c:pt>
                <c:pt idx="113">
                  <c:v>18.7</c:v>
                </c:pt>
                <c:pt idx="114">
                  <c:v>18.5</c:v>
                </c:pt>
                <c:pt idx="115">
                  <c:v>18.3</c:v>
                </c:pt>
                <c:pt idx="116">
                  <c:v>21.2</c:v>
                </c:pt>
                <c:pt idx="117">
                  <c:v>19.2</c:v>
                </c:pt>
                <c:pt idx="118">
                  <c:v>20.399999999999999</c:v>
                </c:pt>
                <c:pt idx="119">
                  <c:v>19.3</c:v>
                </c:pt>
                <c:pt idx="120">
                  <c:v>22</c:v>
                </c:pt>
                <c:pt idx="121">
                  <c:v>20.3</c:v>
                </c:pt>
                <c:pt idx="122">
                  <c:v>20.5</c:v>
                </c:pt>
                <c:pt idx="123">
                  <c:v>17.3</c:v>
                </c:pt>
                <c:pt idx="124">
                  <c:v>18.8</c:v>
                </c:pt>
                <c:pt idx="125">
                  <c:v>21.4</c:v>
                </c:pt>
                <c:pt idx="126">
                  <c:v>15.7</c:v>
                </c:pt>
                <c:pt idx="127">
                  <c:v>16.2</c:v>
                </c:pt>
                <c:pt idx="128">
                  <c:v>18</c:v>
                </c:pt>
                <c:pt idx="129">
                  <c:v>14.3</c:v>
                </c:pt>
                <c:pt idx="130">
                  <c:v>19.2</c:v>
                </c:pt>
                <c:pt idx="131">
                  <c:v>19.600000000000001</c:v>
                </c:pt>
                <c:pt idx="132">
                  <c:v>23</c:v>
                </c:pt>
                <c:pt idx="133">
                  <c:v>18.399999999999999</c:v>
                </c:pt>
                <c:pt idx="134">
                  <c:v>15.6</c:v>
                </c:pt>
                <c:pt idx="135">
                  <c:v>18.100000000000001</c:v>
                </c:pt>
                <c:pt idx="136">
                  <c:v>17.399999999999999</c:v>
                </c:pt>
                <c:pt idx="137">
                  <c:v>17.100000000000001</c:v>
                </c:pt>
                <c:pt idx="138">
                  <c:v>13.3</c:v>
                </c:pt>
                <c:pt idx="139">
                  <c:v>17.8</c:v>
                </c:pt>
                <c:pt idx="140">
                  <c:v>14</c:v>
                </c:pt>
                <c:pt idx="141">
                  <c:v>14.4</c:v>
                </c:pt>
                <c:pt idx="142">
                  <c:v>13.4</c:v>
                </c:pt>
                <c:pt idx="143">
                  <c:v>15.6</c:v>
                </c:pt>
                <c:pt idx="144">
                  <c:v>11.8</c:v>
                </c:pt>
                <c:pt idx="145">
                  <c:v>13.8</c:v>
                </c:pt>
                <c:pt idx="146">
                  <c:v>15.6</c:v>
                </c:pt>
                <c:pt idx="147">
                  <c:v>14.6</c:v>
                </c:pt>
                <c:pt idx="148">
                  <c:v>17.8</c:v>
                </c:pt>
                <c:pt idx="149">
                  <c:v>15.4</c:v>
                </c:pt>
                <c:pt idx="150">
                  <c:v>21.5</c:v>
                </c:pt>
                <c:pt idx="151">
                  <c:v>19.600000000000001</c:v>
                </c:pt>
                <c:pt idx="152">
                  <c:v>15.3</c:v>
                </c:pt>
                <c:pt idx="153">
                  <c:v>19.399999999999999</c:v>
                </c:pt>
                <c:pt idx="154">
                  <c:v>17</c:v>
                </c:pt>
                <c:pt idx="155">
                  <c:v>15.6</c:v>
                </c:pt>
                <c:pt idx="156">
                  <c:v>13.1</c:v>
                </c:pt>
                <c:pt idx="157">
                  <c:v>41.3</c:v>
                </c:pt>
                <c:pt idx="158">
                  <c:v>24.3</c:v>
                </c:pt>
                <c:pt idx="159">
                  <c:v>23.3</c:v>
                </c:pt>
                <c:pt idx="160">
                  <c:v>27</c:v>
                </c:pt>
                <c:pt idx="161">
                  <c:v>50</c:v>
                </c:pt>
                <c:pt idx="162">
                  <c:v>50</c:v>
                </c:pt>
                <c:pt idx="163">
                  <c:v>50</c:v>
                </c:pt>
                <c:pt idx="164">
                  <c:v>22.7</c:v>
                </c:pt>
                <c:pt idx="165">
                  <c:v>25</c:v>
                </c:pt>
                <c:pt idx="166">
                  <c:v>50</c:v>
                </c:pt>
                <c:pt idx="167">
                  <c:v>23.8</c:v>
                </c:pt>
                <c:pt idx="168">
                  <c:v>23.8</c:v>
                </c:pt>
                <c:pt idx="169">
                  <c:v>22.3</c:v>
                </c:pt>
                <c:pt idx="170">
                  <c:v>17.399999999999999</c:v>
                </c:pt>
                <c:pt idx="171">
                  <c:v>19.100000000000001</c:v>
                </c:pt>
                <c:pt idx="172">
                  <c:v>23.1</c:v>
                </c:pt>
                <c:pt idx="173">
                  <c:v>23.6</c:v>
                </c:pt>
                <c:pt idx="174">
                  <c:v>22.6</c:v>
                </c:pt>
                <c:pt idx="175">
                  <c:v>29.4</c:v>
                </c:pt>
                <c:pt idx="176">
                  <c:v>23.2</c:v>
                </c:pt>
                <c:pt idx="177">
                  <c:v>24.6</c:v>
                </c:pt>
                <c:pt idx="178">
                  <c:v>29.9</c:v>
                </c:pt>
                <c:pt idx="179">
                  <c:v>37.200000000000003</c:v>
                </c:pt>
                <c:pt idx="180">
                  <c:v>39.799999999999997</c:v>
                </c:pt>
                <c:pt idx="181">
                  <c:v>36.200000000000003</c:v>
                </c:pt>
                <c:pt idx="182">
                  <c:v>37.9</c:v>
                </c:pt>
                <c:pt idx="183">
                  <c:v>32.5</c:v>
                </c:pt>
                <c:pt idx="184">
                  <c:v>26.4</c:v>
                </c:pt>
                <c:pt idx="185">
                  <c:v>29.6</c:v>
                </c:pt>
                <c:pt idx="186">
                  <c:v>50</c:v>
                </c:pt>
                <c:pt idx="187">
                  <c:v>32</c:v>
                </c:pt>
                <c:pt idx="188">
                  <c:v>29.8</c:v>
                </c:pt>
                <c:pt idx="189">
                  <c:v>34.9</c:v>
                </c:pt>
                <c:pt idx="190">
                  <c:v>37</c:v>
                </c:pt>
                <c:pt idx="191">
                  <c:v>30.5</c:v>
                </c:pt>
                <c:pt idx="192">
                  <c:v>36.4</c:v>
                </c:pt>
                <c:pt idx="193">
                  <c:v>31.1</c:v>
                </c:pt>
                <c:pt idx="194">
                  <c:v>29.1</c:v>
                </c:pt>
                <c:pt idx="195">
                  <c:v>50</c:v>
                </c:pt>
                <c:pt idx="196">
                  <c:v>33.299999999999997</c:v>
                </c:pt>
                <c:pt idx="197">
                  <c:v>30.3</c:v>
                </c:pt>
                <c:pt idx="198">
                  <c:v>34.6</c:v>
                </c:pt>
                <c:pt idx="199">
                  <c:v>34.9</c:v>
                </c:pt>
                <c:pt idx="200">
                  <c:v>32.9</c:v>
                </c:pt>
                <c:pt idx="201">
                  <c:v>24.1</c:v>
                </c:pt>
                <c:pt idx="202">
                  <c:v>42.3</c:v>
                </c:pt>
                <c:pt idx="203">
                  <c:v>48.5</c:v>
                </c:pt>
                <c:pt idx="204">
                  <c:v>50</c:v>
                </c:pt>
                <c:pt idx="205">
                  <c:v>22.6</c:v>
                </c:pt>
                <c:pt idx="206">
                  <c:v>24.4</c:v>
                </c:pt>
                <c:pt idx="207">
                  <c:v>22.5</c:v>
                </c:pt>
                <c:pt idx="208">
                  <c:v>24.4</c:v>
                </c:pt>
                <c:pt idx="209">
                  <c:v>20</c:v>
                </c:pt>
                <c:pt idx="210">
                  <c:v>21.7</c:v>
                </c:pt>
                <c:pt idx="211">
                  <c:v>19.3</c:v>
                </c:pt>
                <c:pt idx="212">
                  <c:v>22.4</c:v>
                </c:pt>
                <c:pt idx="213">
                  <c:v>28.1</c:v>
                </c:pt>
                <c:pt idx="214">
                  <c:v>23.7</c:v>
                </c:pt>
                <c:pt idx="215">
                  <c:v>25</c:v>
                </c:pt>
                <c:pt idx="216">
                  <c:v>23.3</c:v>
                </c:pt>
                <c:pt idx="217">
                  <c:v>28.7</c:v>
                </c:pt>
                <c:pt idx="218">
                  <c:v>21.5</c:v>
                </c:pt>
                <c:pt idx="219">
                  <c:v>23</c:v>
                </c:pt>
                <c:pt idx="220">
                  <c:v>26.7</c:v>
                </c:pt>
                <c:pt idx="221">
                  <c:v>21.7</c:v>
                </c:pt>
                <c:pt idx="222">
                  <c:v>27.5</c:v>
                </c:pt>
                <c:pt idx="223">
                  <c:v>30.1</c:v>
                </c:pt>
                <c:pt idx="224">
                  <c:v>44.8</c:v>
                </c:pt>
                <c:pt idx="225">
                  <c:v>50</c:v>
                </c:pt>
                <c:pt idx="226">
                  <c:v>37.6</c:v>
                </c:pt>
                <c:pt idx="227">
                  <c:v>31.6</c:v>
                </c:pt>
                <c:pt idx="228">
                  <c:v>46.7</c:v>
                </c:pt>
                <c:pt idx="229">
                  <c:v>31.5</c:v>
                </c:pt>
                <c:pt idx="230">
                  <c:v>24.3</c:v>
                </c:pt>
                <c:pt idx="231">
                  <c:v>31.7</c:v>
                </c:pt>
                <c:pt idx="232">
                  <c:v>41.7</c:v>
                </c:pt>
                <c:pt idx="233">
                  <c:v>48.3</c:v>
                </c:pt>
                <c:pt idx="234">
                  <c:v>29</c:v>
                </c:pt>
                <c:pt idx="235">
                  <c:v>24</c:v>
                </c:pt>
                <c:pt idx="236">
                  <c:v>25.1</c:v>
                </c:pt>
                <c:pt idx="237">
                  <c:v>31.5</c:v>
                </c:pt>
                <c:pt idx="238">
                  <c:v>23.7</c:v>
                </c:pt>
                <c:pt idx="239">
                  <c:v>23.3</c:v>
                </c:pt>
                <c:pt idx="240">
                  <c:v>22</c:v>
                </c:pt>
                <c:pt idx="241">
                  <c:v>20.100000000000001</c:v>
                </c:pt>
                <c:pt idx="242">
                  <c:v>22.2</c:v>
                </c:pt>
                <c:pt idx="243">
                  <c:v>23.7</c:v>
                </c:pt>
                <c:pt idx="244">
                  <c:v>17.600000000000001</c:v>
                </c:pt>
                <c:pt idx="245">
                  <c:v>18.5</c:v>
                </c:pt>
                <c:pt idx="246">
                  <c:v>24.3</c:v>
                </c:pt>
                <c:pt idx="247">
                  <c:v>20.5</c:v>
                </c:pt>
                <c:pt idx="248">
                  <c:v>24.5</c:v>
                </c:pt>
                <c:pt idx="249">
                  <c:v>26.2</c:v>
                </c:pt>
                <c:pt idx="250">
                  <c:v>24.4</c:v>
                </c:pt>
                <c:pt idx="251">
                  <c:v>24.8</c:v>
                </c:pt>
                <c:pt idx="252">
                  <c:v>29.6</c:v>
                </c:pt>
                <c:pt idx="253">
                  <c:v>42.8</c:v>
                </c:pt>
                <c:pt idx="254">
                  <c:v>21.9</c:v>
                </c:pt>
                <c:pt idx="255">
                  <c:v>20.9</c:v>
                </c:pt>
                <c:pt idx="256">
                  <c:v>44</c:v>
                </c:pt>
                <c:pt idx="257">
                  <c:v>50</c:v>
                </c:pt>
                <c:pt idx="258">
                  <c:v>36</c:v>
                </c:pt>
                <c:pt idx="259">
                  <c:v>30.1</c:v>
                </c:pt>
                <c:pt idx="260">
                  <c:v>33.799999999999997</c:v>
                </c:pt>
                <c:pt idx="261">
                  <c:v>43.1</c:v>
                </c:pt>
                <c:pt idx="262">
                  <c:v>48.8</c:v>
                </c:pt>
                <c:pt idx="263">
                  <c:v>31</c:v>
                </c:pt>
                <c:pt idx="264">
                  <c:v>36.5</c:v>
                </c:pt>
                <c:pt idx="265">
                  <c:v>22.8</c:v>
                </c:pt>
                <c:pt idx="266">
                  <c:v>30.7</c:v>
                </c:pt>
                <c:pt idx="267">
                  <c:v>50</c:v>
                </c:pt>
                <c:pt idx="268">
                  <c:v>43.5</c:v>
                </c:pt>
                <c:pt idx="269">
                  <c:v>20.7</c:v>
                </c:pt>
                <c:pt idx="270">
                  <c:v>21.1</c:v>
                </c:pt>
                <c:pt idx="271">
                  <c:v>25.2</c:v>
                </c:pt>
                <c:pt idx="272">
                  <c:v>24.4</c:v>
                </c:pt>
                <c:pt idx="273">
                  <c:v>35.200000000000003</c:v>
                </c:pt>
                <c:pt idx="274">
                  <c:v>32.4</c:v>
                </c:pt>
                <c:pt idx="275">
                  <c:v>32</c:v>
                </c:pt>
                <c:pt idx="276">
                  <c:v>33.200000000000003</c:v>
                </c:pt>
                <c:pt idx="277">
                  <c:v>33.1</c:v>
                </c:pt>
                <c:pt idx="278">
                  <c:v>29.1</c:v>
                </c:pt>
                <c:pt idx="279">
                  <c:v>35.1</c:v>
                </c:pt>
                <c:pt idx="280">
                  <c:v>45.4</c:v>
                </c:pt>
                <c:pt idx="281">
                  <c:v>35.4</c:v>
                </c:pt>
                <c:pt idx="282">
                  <c:v>46</c:v>
                </c:pt>
                <c:pt idx="283">
                  <c:v>50</c:v>
                </c:pt>
                <c:pt idx="284">
                  <c:v>32.200000000000003</c:v>
                </c:pt>
                <c:pt idx="285">
                  <c:v>22</c:v>
                </c:pt>
                <c:pt idx="286">
                  <c:v>20.100000000000001</c:v>
                </c:pt>
                <c:pt idx="287">
                  <c:v>23.2</c:v>
                </c:pt>
                <c:pt idx="288">
                  <c:v>22.3</c:v>
                </c:pt>
                <c:pt idx="289">
                  <c:v>24.8</c:v>
                </c:pt>
                <c:pt idx="290">
                  <c:v>28.5</c:v>
                </c:pt>
                <c:pt idx="291">
                  <c:v>37.299999999999997</c:v>
                </c:pt>
                <c:pt idx="292">
                  <c:v>27.9</c:v>
                </c:pt>
                <c:pt idx="293">
                  <c:v>23.9</c:v>
                </c:pt>
                <c:pt idx="294">
                  <c:v>21.7</c:v>
                </c:pt>
                <c:pt idx="295">
                  <c:v>28.6</c:v>
                </c:pt>
                <c:pt idx="296">
                  <c:v>27.1</c:v>
                </c:pt>
                <c:pt idx="297">
                  <c:v>20.3</c:v>
                </c:pt>
                <c:pt idx="298">
                  <c:v>22.5</c:v>
                </c:pt>
                <c:pt idx="299">
                  <c:v>29</c:v>
                </c:pt>
                <c:pt idx="300">
                  <c:v>24.8</c:v>
                </c:pt>
                <c:pt idx="301">
                  <c:v>22</c:v>
                </c:pt>
                <c:pt idx="302">
                  <c:v>26.4</c:v>
                </c:pt>
                <c:pt idx="303">
                  <c:v>33.1</c:v>
                </c:pt>
                <c:pt idx="304">
                  <c:v>36.1</c:v>
                </c:pt>
                <c:pt idx="305">
                  <c:v>28.4</c:v>
                </c:pt>
                <c:pt idx="306">
                  <c:v>33.4</c:v>
                </c:pt>
                <c:pt idx="307">
                  <c:v>28.2</c:v>
                </c:pt>
                <c:pt idx="308">
                  <c:v>22.8</c:v>
                </c:pt>
                <c:pt idx="309">
                  <c:v>20.3</c:v>
                </c:pt>
                <c:pt idx="310">
                  <c:v>16.100000000000001</c:v>
                </c:pt>
                <c:pt idx="311">
                  <c:v>22.1</c:v>
                </c:pt>
                <c:pt idx="312">
                  <c:v>19.399999999999999</c:v>
                </c:pt>
                <c:pt idx="313">
                  <c:v>21.6</c:v>
                </c:pt>
                <c:pt idx="314">
                  <c:v>23.8</c:v>
                </c:pt>
                <c:pt idx="315">
                  <c:v>16.2</c:v>
                </c:pt>
                <c:pt idx="316">
                  <c:v>17.8</c:v>
                </c:pt>
                <c:pt idx="317">
                  <c:v>19.8</c:v>
                </c:pt>
                <c:pt idx="318">
                  <c:v>23.1</c:v>
                </c:pt>
                <c:pt idx="319">
                  <c:v>21</c:v>
                </c:pt>
                <c:pt idx="320">
                  <c:v>23.8</c:v>
                </c:pt>
                <c:pt idx="321">
                  <c:v>23.1</c:v>
                </c:pt>
                <c:pt idx="322">
                  <c:v>20.399999999999999</c:v>
                </c:pt>
                <c:pt idx="323">
                  <c:v>18.5</c:v>
                </c:pt>
                <c:pt idx="324">
                  <c:v>25</c:v>
                </c:pt>
                <c:pt idx="325">
                  <c:v>24.6</c:v>
                </c:pt>
                <c:pt idx="326">
                  <c:v>23</c:v>
                </c:pt>
                <c:pt idx="327">
                  <c:v>22.2</c:v>
                </c:pt>
                <c:pt idx="328">
                  <c:v>19.3</c:v>
                </c:pt>
                <c:pt idx="329">
                  <c:v>22.6</c:v>
                </c:pt>
                <c:pt idx="330">
                  <c:v>19.8</c:v>
                </c:pt>
                <c:pt idx="331">
                  <c:v>17.100000000000001</c:v>
                </c:pt>
                <c:pt idx="332">
                  <c:v>19.399999999999999</c:v>
                </c:pt>
                <c:pt idx="333">
                  <c:v>22.2</c:v>
                </c:pt>
                <c:pt idx="334">
                  <c:v>20.7</c:v>
                </c:pt>
                <c:pt idx="335">
                  <c:v>21.1</c:v>
                </c:pt>
                <c:pt idx="336">
                  <c:v>19.5</c:v>
                </c:pt>
                <c:pt idx="337">
                  <c:v>18.5</c:v>
                </c:pt>
                <c:pt idx="338">
                  <c:v>20.6</c:v>
                </c:pt>
                <c:pt idx="339">
                  <c:v>19</c:v>
                </c:pt>
                <c:pt idx="340">
                  <c:v>18.7</c:v>
                </c:pt>
                <c:pt idx="341">
                  <c:v>32.700000000000003</c:v>
                </c:pt>
                <c:pt idx="342">
                  <c:v>16.5</c:v>
                </c:pt>
                <c:pt idx="343">
                  <c:v>23.9</c:v>
                </c:pt>
                <c:pt idx="344">
                  <c:v>31.2</c:v>
                </c:pt>
                <c:pt idx="345">
                  <c:v>17.5</c:v>
                </c:pt>
                <c:pt idx="346">
                  <c:v>17.2</c:v>
                </c:pt>
                <c:pt idx="347">
                  <c:v>23.1</c:v>
                </c:pt>
                <c:pt idx="348">
                  <c:v>24.5</c:v>
                </c:pt>
                <c:pt idx="349">
                  <c:v>26.6</c:v>
                </c:pt>
                <c:pt idx="350">
                  <c:v>22.9</c:v>
                </c:pt>
                <c:pt idx="351">
                  <c:v>24.1</c:v>
                </c:pt>
                <c:pt idx="352">
                  <c:v>18.600000000000001</c:v>
                </c:pt>
                <c:pt idx="353">
                  <c:v>30.1</c:v>
                </c:pt>
                <c:pt idx="354">
                  <c:v>18.2</c:v>
                </c:pt>
                <c:pt idx="355">
                  <c:v>20.6</c:v>
                </c:pt>
                <c:pt idx="356">
                  <c:v>17.8</c:v>
                </c:pt>
                <c:pt idx="357">
                  <c:v>21.7</c:v>
                </c:pt>
                <c:pt idx="358">
                  <c:v>22.7</c:v>
                </c:pt>
                <c:pt idx="359">
                  <c:v>22.6</c:v>
                </c:pt>
                <c:pt idx="360">
                  <c:v>25</c:v>
                </c:pt>
                <c:pt idx="361">
                  <c:v>19.899999999999999</c:v>
                </c:pt>
                <c:pt idx="362">
                  <c:v>20.8</c:v>
                </c:pt>
                <c:pt idx="363">
                  <c:v>16.8</c:v>
                </c:pt>
                <c:pt idx="364">
                  <c:v>21.9</c:v>
                </c:pt>
                <c:pt idx="365">
                  <c:v>27.5</c:v>
                </c:pt>
                <c:pt idx="366">
                  <c:v>21.9</c:v>
                </c:pt>
                <c:pt idx="367">
                  <c:v>23.1</c:v>
                </c:pt>
                <c:pt idx="368">
                  <c:v>50</c:v>
                </c:pt>
                <c:pt idx="369">
                  <c:v>50</c:v>
                </c:pt>
                <c:pt idx="370">
                  <c:v>50</c:v>
                </c:pt>
                <c:pt idx="371">
                  <c:v>50</c:v>
                </c:pt>
                <c:pt idx="372">
                  <c:v>50</c:v>
                </c:pt>
                <c:pt idx="373">
                  <c:v>13.8</c:v>
                </c:pt>
                <c:pt idx="374">
                  <c:v>13.8</c:v>
                </c:pt>
                <c:pt idx="375">
                  <c:v>15</c:v>
                </c:pt>
                <c:pt idx="376">
                  <c:v>13.9</c:v>
                </c:pt>
                <c:pt idx="377">
                  <c:v>13.3</c:v>
                </c:pt>
                <c:pt idx="378">
                  <c:v>13.1</c:v>
                </c:pt>
                <c:pt idx="379">
                  <c:v>10.199999999999999</c:v>
                </c:pt>
                <c:pt idx="380">
                  <c:v>10.4</c:v>
                </c:pt>
                <c:pt idx="381">
                  <c:v>10.9</c:v>
                </c:pt>
                <c:pt idx="382">
                  <c:v>11.3</c:v>
                </c:pt>
                <c:pt idx="383">
                  <c:v>12.3</c:v>
                </c:pt>
                <c:pt idx="384">
                  <c:v>8.8000000000000007</c:v>
                </c:pt>
                <c:pt idx="385">
                  <c:v>7.2</c:v>
                </c:pt>
                <c:pt idx="386">
                  <c:v>10.5</c:v>
                </c:pt>
                <c:pt idx="387">
                  <c:v>7.4</c:v>
                </c:pt>
                <c:pt idx="388">
                  <c:v>10.199999999999999</c:v>
                </c:pt>
                <c:pt idx="389">
                  <c:v>11.5</c:v>
                </c:pt>
                <c:pt idx="390">
                  <c:v>15.1</c:v>
                </c:pt>
                <c:pt idx="391">
                  <c:v>23.2</c:v>
                </c:pt>
                <c:pt idx="392">
                  <c:v>9.6999999999999993</c:v>
                </c:pt>
                <c:pt idx="393">
                  <c:v>13.8</c:v>
                </c:pt>
                <c:pt idx="394">
                  <c:v>12.7</c:v>
                </c:pt>
                <c:pt idx="395">
                  <c:v>13.1</c:v>
                </c:pt>
                <c:pt idx="396">
                  <c:v>12.5</c:v>
                </c:pt>
                <c:pt idx="397">
                  <c:v>8.5</c:v>
                </c:pt>
                <c:pt idx="398">
                  <c:v>5</c:v>
                </c:pt>
                <c:pt idx="399">
                  <c:v>6.3</c:v>
                </c:pt>
                <c:pt idx="400">
                  <c:v>5.6</c:v>
                </c:pt>
                <c:pt idx="401">
                  <c:v>7.2</c:v>
                </c:pt>
                <c:pt idx="402">
                  <c:v>12.1</c:v>
                </c:pt>
                <c:pt idx="403">
                  <c:v>8.3000000000000007</c:v>
                </c:pt>
                <c:pt idx="404">
                  <c:v>8.5</c:v>
                </c:pt>
                <c:pt idx="405">
                  <c:v>5</c:v>
                </c:pt>
                <c:pt idx="406">
                  <c:v>11.9</c:v>
                </c:pt>
                <c:pt idx="407">
                  <c:v>27.9</c:v>
                </c:pt>
                <c:pt idx="408">
                  <c:v>17.2</c:v>
                </c:pt>
                <c:pt idx="409">
                  <c:v>27.5</c:v>
                </c:pt>
                <c:pt idx="410">
                  <c:v>15</c:v>
                </c:pt>
                <c:pt idx="411">
                  <c:v>17.2</c:v>
                </c:pt>
                <c:pt idx="412">
                  <c:v>17.899999999999999</c:v>
                </c:pt>
                <c:pt idx="413">
                  <c:v>16.3</c:v>
                </c:pt>
                <c:pt idx="414">
                  <c:v>7</c:v>
                </c:pt>
                <c:pt idx="415">
                  <c:v>7.2</c:v>
                </c:pt>
                <c:pt idx="416">
                  <c:v>7.5</c:v>
                </c:pt>
                <c:pt idx="417">
                  <c:v>10.4</c:v>
                </c:pt>
                <c:pt idx="418">
                  <c:v>8.8000000000000007</c:v>
                </c:pt>
                <c:pt idx="419">
                  <c:v>8.4</c:v>
                </c:pt>
                <c:pt idx="420">
                  <c:v>16.7</c:v>
                </c:pt>
                <c:pt idx="421">
                  <c:v>14.2</c:v>
                </c:pt>
                <c:pt idx="422">
                  <c:v>20.8</c:v>
                </c:pt>
                <c:pt idx="423">
                  <c:v>13.4</c:v>
                </c:pt>
                <c:pt idx="424">
                  <c:v>11.7</c:v>
                </c:pt>
                <c:pt idx="425">
                  <c:v>8.3000000000000007</c:v>
                </c:pt>
                <c:pt idx="426">
                  <c:v>10.199999999999999</c:v>
                </c:pt>
                <c:pt idx="427">
                  <c:v>10.9</c:v>
                </c:pt>
                <c:pt idx="428">
                  <c:v>11</c:v>
                </c:pt>
                <c:pt idx="429">
                  <c:v>9.5</c:v>
                </c:pt>
                <c:pt idx="430">
                  <c:v>14.5</c:v>
                </c:pt>
                <c:pt idx="431">
                  <c:v>14.1</c:v>
                </c:pt>
                <c:pt idx="432">
                  <c:v>16.100000000000001</c:v>
                </c:pt>
                <c:pt idx="433">
                  <c:v>14.3</c:v>
                </c:pt>
                <c:pt idx="434">
                  <c:v>11.7</c:v>
                </c:pt>
                <c:pt idx="435">
                  <c:v>13.4</c:v>
                </c:pt>
                <c:pt idx="436">
                  <c:v>9.6</c:v>
                </c:pt>
                <c:pt idx="437">
                  <c:v>8.6999999999999993</c:v>
                </c:pt>
                <c:pt idx="438">
                  <c:v>8.4</c:v>
                </c:pt>
                <c:pt idx="439">
                  <c:v>12.8</c:v>
                </c:pt>
                <c:pt idx="440">
                  <c:v>10.5</c:v>
                </c:pt>
                <c:pt idx="441">
                  <c:v>17.100000000000001</c:v>
                </c:pt>
                <c:pt idx="442">
                  <c:v>18.399999999999999</c:v>
                </c:pt>
                <c:pt idx="443">
                  <c:v>15.4</c:v>
                </c:pt>
                <c:pt idx="444">
                  <c:v>10.8</c:v>
                </c:pt>
                <c:pt idx="445">
                  <c:v>11.8</c:v>
                </c:pt>
                <c:pt idx="446">
                  <c:v>14.9</c:v>
                </c:pt>
                <c:pt idx="447">
                  <c:v>12.6</c:v>
                </c:pt>
                <c:pt idx="448">
                  <c:v>14.1</c:v>
                </c:pt>
                <c:pt idx="449">
                  <c:v>13</c:v>
                </c:pt>
                <c:pt idx="450">
                  <c:v>13.4</c:v>
                </c:pt>
                <c:pt idx="451">
                  <c:v>15.2</c:v>
                </c:pt>
                <c:pt idx="452">
                  <c:v>16.100000000000001</c:v>
                </c:pt>
                <c:pt idx="453">
                  <c:v>17.8</c:v>
                </c:pt>
                <c:pt idx="454">
                  <c:v>14.9</c:v>
                </c:pt>
                <c:pt idx="455">
                  <c:v>14.1</c:v>
                </c:pt>
                <c:pt idx="456">
                  <c:v>12.7</c:v>
                </c:pt>
                <c:pt idx="457">
                  <c:v>13.5</c:v>
                </c:pt>
                <c:pt idx="458">
                  <c:v>14.9</c:v>
                </c:pt>
                <c:pt idx="459">
                  <c:v>20</c:v>
                </c:pt>
                <c:pt idx="460">
                  <c:v>16.399999999999999</c:v>
                </c:pt>
                <c:pt idx="461">
                  <c:v>17.7</c:v>
                </c:pt>
                <c:pt idx="462">
                  <c:v>19.5</c:v>
                </c:pt>
                <c:pt idx="463">
                  <c:v>20.2</c:v>
                </c:pt>
                <c:pt idx="464">
                  <c:v>21.4</c:v>
                </c:pt>
                <c:pt idx="465">
                  <c:v>19.899999999999999</c:v>
                </c:pt>
                <c:pt idx="466">
                  <c:v>19</c:v>
                </c:pt>
                <c:pt idx="467">
                  <c:v>19.100000000000001</c:v>
                </c:pt>
                <c:pt idx="468">
                  <c:v>19.100000000000001</c:v>
                </c:pt>
                <c:pt idx="469">
                  <c:v>20.100000000000001</c:v>
                </c:pt>
                <c:pt idx="470">
                  <c:v>19.899999999999999</c:v>
                </c:pt>
                <c:pt idx="471">
                  <c:v>19.600000000000001</c:v>
                </c:pt>
                <c:pt idx="472">
                  <c:v>23.2</c:v>
                </c:pt>
                <c:pt idx="473">
                  <c:v>29.8</c:v>
                </c:pt>
                <c:pt idx="474">
                  <c:v>13.8</c:v>
                </c:pt>
                <c:pt idx="475">
                  <c:v>13.3</c:v>
                </c:pt>
                <c:pt idx="476">
                  <c:v>16.7</c:v>
                </c:pt>
                <c:pt idx="477">
                  <c:v>12</c:v>
                </c:pt>
                <c:pt idx="478">
                  <c:v>14.6</c:v>
                </c:pt>
                <c:pt idx="479">
                  <c:v>21.4</c:v>
                </c:pt>
                <c:pt idx="480">
                  <c:v>23</c:v>
                </c:pt>
                <c:pt idx="481">
                  <c:v>23.7</c:v>
                </c:pt>
                <c:pt idx="482">
                  <c:v>25</c:v>
                </c:pt>
                <c:pt idx="483">
                  <c:v>21.8</c:v>
                </c:pt>
                <c:pt idx="484">
                  <c:v>20.6</c:v>
                </c:pt>
                <c:pt idx="485">
                  <c:v>21.2</c:v>
                </c:pt>
                <c:pt idx="486">
                  <c:v>19.100000000000001</c:v>
                </c:pt>
                <c:pt idx="487">
                  <c:v>20.6</c:v>
                </c:pt>
                <c:pt idx="488">
                  <c:v>15.2</c:v>
                </c:pt>
                <c:pt idx="489">
                  <c:v>7</c:v>
                </c:pt>
                <c:pt idx="490">
                  <c:v>8.1</c:v>
                </c:pt>
                <c:pt idx="491">
                  <c:v>13.6</c:v>
                </c:pt>
                <c:pt idx="492">
                  <c:v>20.100000000000001</c:v>
                </c:pt>
                <c:pt idx="493">
                  <c:v>21.8</c:v>
                </c:pt>
                <c:pt idx="494">
                  <c:v>24.5</c:v>
                </c:pt>
                <c:pt idx="495">
                  <c:v>23.1</c:v>
                </c:pt>
                <c:pt idx="496">
                  <c:v>19.7</c:v>
                </c:pt>
                <c:pt idx="497">
                  <c:v>18.3</c:v>
                </c:pt>
                <c:pt idx="498">
                  <c:v>21.2</c:v>
                </c:pt>
                <c:pt idx="499">
                  <c:v>17.5</c:v>
                </c:pt>
                <c:pt idx="500">
                  <c:v>16.8</c:v>
                </c:pt>
                <c:pt idx="501">
                  <c:v>22.4</c:v>
                </c:pt>
                <c:pt idx="502">
                  <c:v>20.6</c:v>
                </c:pt>
                <c:pt idx="503">
                  <c:v>23.9</c:v>
                </c:pt>
                <c:pt idx="504">
                  <c:v>22</c:v>
                </c:pt>
                <c:pt idx="505">
                  <c:v>11.9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보스턴주택가격_PCA_회귀!$F$4</c:f>
              <c:strCache>
                <c:ptCount val="1"/>
                <c:pt idx="0">
                  <c:v>Y예측</c:v>
                </c:pt>
              </c:strCache>
            </c:strRef>
          </c:tx>
          <c:val>
            <c:numRef>
              <c:f>보스턴주택가격_PCA_회귀!$F$5:$F$510</c:f>
              <c:numCache>
                <c:formatCode>General</c:formatCode>
                <c:ptCount val="506"/>
                <c:pt idx="0">
                  <c:v>31.168356789998523</c:v>
                </c:pt>
                <c:pt idx="1">
                  <c:v>25.767463914918938</c:v>
                </c:pt>
                <c:pt idx="2">
                  <c:v>32.139172581052208</c:v>
                </c:pt>
                <c:pt idx="3">
                  <c:v>31.08040676458937</c:v>
                </c:pt>
                <c:pt idx="4">
                  <c:v>30.386588891208003</c:v>
                </c:pt>
                <c:pt idx="5">
                  <c:v>27.217648757009648</c:v>
                </c:pt>
                <c:pt idx="6">
                  <c:v>24.459294679484948</c:v>
                </c:pt>
                <c:pt idx="7">
                  <c:v>21.339227807997538</c:v>
                </c:pt>
                <c:pt idx="8">
                  <c:v>12.732319762105877</c:v>
                </c:pt>
                <c:pt idx="9">
                  <c:v>21.752838749568987</c:v>
                </c:pt>
                <c:pt idx="10">
                  <c:v>21.521541707253128</c:v>
                </c:pt>
                <c:pt idx="11">
                  <c:v>23.965431638840393</c:v>
                </c:pt>
                <c:pt idx="12">
                  <c:v>22.028375247168757</c:v>
                </c:pt>
                <c:pt idx="13">
                  <c:v>21.161062057882603</c:v>
                </c:pt>
                <c:pt idx="14">
                  <c:v>20.681217560883859</c:v>
                </c:pt>
                <c:pt idx="15">
                  <c:v>20.521709454886182</c:v>
                </c:pt>
                <c:pt idx="16">
                  <c:v>22.058479720294653</c:v>
                </c:pt>
                <c:pt idx="17">
                  <c:v>17.680919857317122</c:v>
                </c:pt>
                <c:pt idx="18">
                  <c:v>16.973666023159673</c:v>
                </c:pt>
                <c:pt idx="19">
                  <c:v>18.431785430971786</c:v>
                </c:pt>
                <c:pt idx="20">
                  <c:v>12.153476942907451</c:v>
                </c:pt>
                <c:pt idx="21">
                  <c:v>18.048351111533773</c:v>
                </c:pt>
                <c:pt idx="22">
                  <c:v>16.051450804898778</c:v>
                </c:pt>
                <c:pt idx="23">
                  <c:v>13.902582716438683</c:v>
                </c:pt>
                <c:pt idx="24">
                  <c:v>16.450858803790414</c:v>
                </c:pt>
                <c:pt idx="25">
                  <c:v>14.863267802584723</c:v>
                </c:pt>
                <c:pt idx="26">
                  <c:v>16.801637553952858</c:v>
                </c:pt>
                <c:pt idx="27">
                  <c:v>16.445886005769239</c:v>
                </c:pt>
                <c:pt idx="28">
                  <c:v>21.030484070285013</c:v>
                </c:pt>
                <c:pt idx="29">
                  <c:v>22.307625083290368</c:v>
                </c:pt>
                <c:pt idx="30">
                  <c:v>11.895729151039792</c:v>
                </c:pt>
                <c:pt idx="31">
                  <c:v>18.983227645945483</c:v>
                </c:pt>
                <c:pt idx="32">
                  <c:v>10.043956849704028</c:v>
                </c:pt>
                <c:pt idx="33">
                  <c:v>14.271718273172171</c:v>
                </c:pt>
                <c:pt idx="34">
                  <c:v>14.917416227127861</c:v>
                </c:pt>
                <c:pt idx="35">
                  <c:v>21.952151845488565</c:v>
                </c:pt>
                <c:pt idx="36">
                  <c:v>20.547509278634404</c:v>
                </c:pt>
                <c:pt idx="37">
                  <c:v>22.097715083112792</c:v>
                </c:pt>
                <c:pt idx="38">
                  <c:v>21.843848177093061</c:v>
                </c:pt>
                <c:pt idx="39">
                  <c:v>28.843889297060297</c:v>
                </c:pt>
                <c:pt idx="40">
                  <c:v>32.119030191595442</c:v>
                </c:pt>
                <c:pt idx="41">
                  <c:v>29.709038026649086</c:v>
                </c:pt>
                <c:pt idx="42">
                  <c:v>26.440618522156598</c:v>
                </c:pt>
                <c:pt idx="43">
                  <c:v>25.698222930566086</c:v>
                </c:pt>
                <c:pt idx="44">
                  <c:v>23.85052315512764</c:v>
                </c:pt>
                <c:pt idx="45">
                  <c:v>21.725663495860349</c:v>
                </c:pt>
                <c:pt idx="46">
                  <c:v>19.942352863803006</c:v>
                </c:pt>
                <c:pt idx="47">
                  <c:v>18.38521912549562</c:v>
                </c:pt>
                <c:pt idx="48">
                  <c:v>8.6686021985738151</c:v>
                </c:pt>
                <c:pt idx="49">
                  <c:v>17.939313749995069</c:v>
                </c:pt>
                <c:pt idx="50">
                  <c:v>22.16564116317339</c:v>
                </c:pt>
                <c:pt idx="51">
                  <c:v>25.150644011887074</c:v>
                </c:pt>
                <c:pt idx="52">
                  <c:v>29.311744310324485</c:v>
                </c:pt>
                <c:pt idx="53">
                  <c:v>25.194145449328815</c:v>
                </c:pt>
                <c:pt idx="54">
                  <c:v>17.052939926093565</c:v>
                </c:pt>
                <c:pt idx="55">
                  <c:v>31.889078829391167</c:v>
                </c:pt>
                <c:pt idx="56">
                  <c:v>27.988224364818432</c:v>
                </c:pt>
                <c:pt idx="57">
                  <c:v>33.031677607030133</c:v>
                </c:pt>
                <c:pt idx="58">
                  <c:v>24.05655184775112</c:v>
                </c:pt>
                <c:pt idx="59">
                  <c:v>21.722728658611643</c:v>
                </c:pt>
                <c:pt idx="60">
                  <c:v>18.635664009715466</c:v>
                </c:pt>
                <c:pt idx="61">
                  <c:v>18.914004384726869</c:v>
                </c:pt>
                <c:pt idx="62">
                  <c:v>25.535182500713052</c:v>
                </c:pt>
                <c:pt idx="63">
                  <c:v>25.332999554125113</c:v>
                </c:pt>
                <c:pt idx="64">
                  <c:v>28.730186575135818</c:v>
                </c:pt>
                <c:pt idx="65">
                  <c:v>29.314143540024414</c:v>
                </c:pt>
                <c:pt idx="66">
                  <c:v>23.857929123815538</c:v>
                </c:pt>
                <c:pt idx="67">
                  <c:v>22.886473446996476</c:v>
                </c:pt>
                <c:pt idx="68">
                  <c:v>18.750783516457673</c:v>
                </c:pt>
                <c:pt idx="69">
                  <c:v>22.523535468971346</c:v>
                </c:pt>
                <c:pt idx="70">
                  <c:v>25.830160418416689</c:v>
                </c:pt>
                <c:pt idx="71">
                  <c:v>21.96422249434195</c:v>
                </c:pt>
                <c:pt idx="72">
                  <c:v>24.92689907162735</c:v>
                </c:pt>
                <c:pt idx="73">
                  <c:v>24.584627352018313</c:v>
                </c:pt>
                <c:pt idx="74">
                  <c:v>25.61099273886461</c:v>
                </c:pt>
                <c:pt idx="75">
                  <c:v>24.434592925329849</c:v>
                </c:pt>
                <c:pt idx="76">
                  <c:v>22.670413744468839</c:v>
                </c:pt>
                <c:pt idx="77">
                  <c:v>23.014839902656632</c:v>
                </c:pt>
                <c:pt idx="78">
                  <c:v>22.246620855594848</c:v>
                </c:pt>
                <c:pt idx="79">
                  <c:v>22.482750586402524</c:v>
                </c:pt>
                <c:pt idx="80">
                  <c:v>28.233767555723251</c:v>
                </c:pt>
                <c:pt idx="81">
                  <c:v>26.642517116192899</c:v>
                </c:pt>
                <c:pt idx="82">
                  <c:v>25.4970315209276</c:v>
                </c:pt>
                <c:pt idx="83">
                  <c:v>24.435723200087985</c:v>
                </c:pt>
                <c:pt idx="84">
                  <c:v>24.69699792584748</c:v>
                </c:pt>
                <c:pt idx="85">
                  <c:v>27.552093948842604</c:v>
                </c:pt>
                <c:pt idx="86">
                  <c:v>21.155580064138928</c:v>
                </c:pt>
                <c:pt idx="87">
                  <c:v>24.161595824584392</c:v>
                </c:pt>
                <c:pt idx="88">
                  <c:v>30.494873291873514</c:v>
                </c:pt>
                <c:pt idx="89">
                  <c:v>30.705622462256457</c:v>
                </c:pt>
                <c:pt idx="90">
                  <c:v>25.938098108141489</c:v>
                </c:pt>
                <c:pt idx="91">
                  <c:v>26.232714526417542</c:v>
                </c:pt>
                <c:pt idx="92">
                  <c:v>26.050368306746876</c:v>
                </c:pt>
                <c:pt idx="93">
                  <c:v>26.122327160068284</c:v>
                </c:pt>
                <c:pt idx="94">
                  <c:v>23.789404243052651</c:v>
                </c:pt>
                <c:pt idx="95">
                  <c:v>27.926261439213825</c:v>
                </c:pt>
                <c:pt idx="96">
                  <c:v>23.158368287030854</c:v>
                </c:pt>
                <c:pt idx="97">
                  <c:v>35.841735160547699</c:v>
                </c:pt>
                <c:pt idx="98">
                  <c:v>35.083350985766614</c:v>
                </c:pt>
                <c:pt idx="99">
                  <c:v>31.760990022223474</c:v>
                </c:pt>
                <c:pt idx="100">
                  <c:v>24.103837209795554</c:v>
                </c:pt>
                <c:pt idx="101">
                  <c:v>25.348329894540733</c:v>
                </c:pt>
                <c:pt idx="102">
                  <c:v>21.957986783548805</c:v>
                </c:pt>
                <c:pt idx="103">
                  <c:v>19.141079987673969</c:v>
                </c:pt>
                <c:pt idx="104">
                  <c:v>19.911246929528183</c:v>
                </c:pt>
                <c:pt idx="105">
                  <c:v>16.11709836347779</c:v>
                </c:pt>
                <c:pt idx="106">
                  <c:v>14.797112592878952</c:v>
                </c:pt>
                <c:pt idx="107">
                  <c:v>18.72425208111823</c:v>
                </c:pt>
                <c:pt idx="108">
                  <c:v>21.331789500563616</c:v>
                </c:pt>
                <c:pt idx="109">
                  <c:v>18.349988713097282</c:v>
                </c:pt>
                <c:pt idx="110">
                  <c:v>19.65456890508143</c:v>
                </c:pt>
                <c:pt idx="111">
                  <c:v>26.51175587078184</c:v>
                </c:pt>
                <c:pt idx="112">
                  <c:v>19.430963862181866</c:v>
                </c:pt>
                <c:pt idx="113">
                  <c:v>19.736035205803763</c:v>
                </c:pt>
                <c:pt idx="114">
                  <c:v>24.264323166182251</c:v>
                </c:pt>
                <c:pt idx="115">
                  <c:v>19.756007735882356</c:v>
                </c:pt>
                <c:pt idx="116">
                  <c:v>23.002949288844206</c:v>
                </c:pt>
                <c:pt idx="117">
                  <c:v>23.298000939445238</c:v>
                </c:pt>
                <c:pt idx="118">
                  <c:v>19.726148381296866</c:v>
                </c:pt>
                <c:pt idx="119">
                  <c:v>20.095852038869314</c:v>
                </c:pt>
                <c:pt idx="120">
                  <c:v>19.078983905430249</c:v>
                </c:pt>
                <c:pt idx="121">
                  <c:v>19.741230880693898</c:v>
                </c:pt>
                <c:pt idx="122">
                  <c:v>17.454258962494407</c:v>
                </c:pt>
                <c:pt idx="123">
                  <c:v>12.703033218102586</c:v>
                </c:pt>
                <c:pt idx="124">
                  <c:v>17.284126435853825</c:v>
                </c:pt>
                <c:pt idx="125">
                  <c:v>19.351178232253318</c:v>
                </c:pt>
                <c:pt idx="126">
                  <c:v>10.547945406181801</c:v>
                </c:pt>
                <c:pt idx="127">
                  <c:v>14.7127449924995</c:v>
                </c:pt>
                <c:pt idx="128">
                  <c:v>19.074375887234211</c:v>
                </c:pt>
                <c:pt idx="129">
                  <c:v>13.802304878590187</c:v>
                </c:pt>
                <c:pt idx="130">
                  <c:v>20.791630121882875</c:v>
                </c:pt>
                <c:pt idx="131">
                  <c:v>20.390008491170875</c:v>
                </c:pt>
                <c:pt idx="132">
                  <c:v>21.249576338762932</c:v>
                </c:pt>
                <c:pt idx="133">
                  <c:v>16.530334580061478</c:v>
                </c:pt>
                <c:pt idx="134">
                  <c:v>14.933115250361423</c:v>
                </c:pt>
                <c:pt idx="135">
                  <c:v>17.743160546664257</c:v>
                </c:pt>
                <c:pt idx="136">
                  <c:v>16.002908457002128</c:v>
                </c:pt>
                <c:pt idx="137">
                  <c:v>19.635675119240947</c:v>
                </c:pt>
                <c:pt idx="138">
                  <c:v>13.091716536377589</c:v>
                </c:pt>
                <c:pt idx="139">
                  <c:v>16.054614561186249</c:v>
                </c:pt>
                <c:pt idx="140">
                  <c:v>12.899176822020964</c:v>
                </c:pt>
                <c:pt idx="141">
                  <c:v>1.8228573311756442</c:v>
                </c:pt>
                <c:pt idx="142">
                  <c:v>13.946480753826293</c:v>
                </c:pt>
                <c:pt idx="143">
                  <c:v>14.46870539032583</c:v>
                </c:pt>
                <c:pt idx="144">
                  <c:v>10.276410232854097</c:v>
                </c:pt>
                <c:pt idx="145">
                  <c:v>16.668822205892734</c:v>
                </c:pt>
                <c:pt idx="146">
                  <c:v>20.777714311857899</c:v>
                </c:pt>
                <c:pt idx="147">
                  <c:v>10.243031549473308</c:v>
                </c:pt>
                <c:pt idx="148">
                  <c:v>12.108925877201127</c:v>
                </c:pt>
                <c:pt idx="149">
                  <c:v>17.89306896080987</c:v>
                </c:pt>
                <c:pt idx="150">
                  <c:v>24.466436762196786</c:v>
                </c:pt>
                <c:pt idx="151">
                  <c:v>21.693245188565406</c:v>
                </c:pt>
                <c:pt idx="152">
                  <c:v>20.58649477650701</c:v>
                </c:pt>
                <c:pt idx="153">
                  <c:v>21.635216299880494</c:v>
                </c:pt>
                <c:pt idx="154">
                  <c:v>23.914802907173687</c:v>
                </c:pt>
                <c:pt idx="155">
                  <c:v>24.075838157669587</c:v>
                </c:pt>
                <c:pt idx="156">
                  <c:v>19.46184535666103</c:v>
                </c:pt>
                <c:pt idx="157">
                  <c:v>33.611469448769235</c:v>
                </c:pt>
                <c:pt idx="158">
                  <c:v>28.599322815323962</c:v>
                </c:pt>
                <c:pt idx="159">
                  <c:v>30.055236254037272</c:v>
                </c:pt>
                <c:pt idx="160">
                  <c:v>29.961939558714572</c:v>
                </c:pt>
                <c:pt idx="161">
                  <c:v>37.712253551429022</c:v>
                </c:pt>
                <c:pt idx="162">
                  <c:v>39.016937226159421</c:v>
                </c:pt>
                <c:pt idx="163">
                  <c:v>40.803745463965896</c:v>
                </c:pt>
                <c:pt idx="164">
                  <c:v>24.662945941410648</c:v>
                </c:pt>
                <c:pt idx="165">
                  <c:v>26.824659323349394</c:v>
                </c:pt>
                <c:pt idx="166">
                  <c:v>38.572581561615578</c:v>
                </c:pt>
                <c:pt idx="167">
                  <c:v>24.480897779182971</c:v>
                </c:pt>
                <c:pt idx="168">
                  <c:v>27.071391751753815</c:v>
                </c:pt>
                <c:pt idx="169">
                  <c:v>27.320374438761693</c:v>
                </c:pt>
                <c:pt idx="170">
                  <c:v>23.162431912066964</c:v>
                </c:pt>
                <c:pt idx="171">
                  <c:v>24.557342667680519</c:v>
                </c:pt>
                <c:pt idx="172">
                  <c:v>19.877217032218638</c:v>
                </c:pt>
                <c:pt idx="173">
                  <c:v>26.918934445311436</c:v>
                </c:pt>
                <c:pt idx="174">
                  <c:v>24.06076156686137</c:v>
                </c:pt>
                <c:pt idx="175">
                  <c:v>29.627338270019816</c:v>
                </c:pt>
                <c:pt idx="176">
                  <c:v>24.518995665521675</c:v>
                </c:pt>
                <c:pt idx="177">
                  <c:v>28.035342571631912</c:v>
                </c:pt>
                <c:pt idx="178">
                  <c:v>30.136009402672396</c:v>
                </c:pt>
                <c:pt idx="179">
                  <c:v>30.63598754281087</c:v>
                </c:pt>
                <c:pt idx="180">
                  <c:v>32.739642650296986</c:v>
                </c:pt>
                <c:pt idx="181">
                  <c:v>24.339432550230967</c:v>
                </c:pt>
                <c:pt idx="182">
                  <c:v>31.551983459317235</c:v>
                </c:pt>
                <c:pt idx="183">
                  <c:v>28.387101368985423</c:v>
                </c:pt>
                <c:pt idx="184">
                  <c:v>19.310825474487029</c:v>
                </c:pt>
                <c:pt idx="185">
                  <c:v>22.264390293596957</c:v>
                </c:pt>
                <c:pt idx="186">
                  <c:v>34.815976121875181</c:v>
                </c:pt>
                <c:pt idx="187">
                  <c:v>31.224051511519814</c:v>
                </c:pt>
                <c:pt idx="188">
                  <c:v>31.415794436498839</c:v>
                </c:pt>
                <c:pt idx="189">
                  <c:v>33.781395489248517</c:v>
                </c:pt>
                <c:pt idx="190">
                  <c:v>32.89061063786982</c:v>
                </c:pt>
                <c:pt idx="191">
                  <c:v>32.16778172980063</c:v>
                </c:pt>
                <c:pt idx="192">
                  <c:v>35.190737876080547</c:v>
                </c:pt>
                <c:pt idx="193">
                  <c:v>31.876519451390838</c:v>
                </c:pt>
                <c:pt idx="194">
                  <c:v>31.363170643512728</c:v>
                </c:pt>
                <c:pt idx="195">
                  <c:v>39.025383749375607</c:v>
                </c:pt>
                <c:pt idx="196">
                  <c:v>37.410912520337789</c:v>
                </c:pt>
                <c:pt idx="197">
                  <c:v>34.007856984381171</c:v>
                </c:pt>
                <c:pt idx="198">
                  <c:v>35.899825600871246</c:v>
                </c:pt>
                <c:pt idx="199">
                  <c:v>31.632455212486786</c:v>
                </c:pt>
                <c:pt idx="200">
                  <c:v>32.417821189169366</c:v>
                </c:pt>
                <c:pt idx="201">
                  <c:v>28.460997538061296</c:v>
                </c:pt>
                <c:pt idx="202">
                  <c:v>37.469527636371105</c:v>
                </c:pt>
                <c:pt idx="203">
                  <c:v>38.166510944216711</c:v>
                </c:pt>
                <c:pt idx="204">
                  <c:v>39.51558142477576</c:v>
                </c:pt>
                <c:pt idx="205">
                  <c:v>21.640488930440544</c:v>
                </c:pt>
                <c:pt idx="206">
                  <c:v>23.547516472229617</c:v>
                </c:pt>
                <c:pt idx="207">
                  <c:v>17.041540572700224</c:v>
                </c:pt>
                <c:pt idx="208">
                  <c:v>20.254513196689999</c:v>
                </c:pt>
                <c:pt idx="209">
                  <c:v>12.183088168349194</c:v>
                </c:pt>
                <c:pt idx="210">
                  <c:v>18.292496573181687</c:v>
                </c:pt>
                <c:pt idx="211">
                  <c:v>11.94510636277378</c:v>
                </c:pt>
                <c:pt idx="212">
                  <c:v>18.310676221734127</c:v>
                </c:pt>
                <c:pt idx="213">
                  <c:v>24.677943142195915</c:v>
                </c:pt>
                <c:pt idx="214">
                  <c:v>8.7962720488741226</c:v>
                </c:pt>
                <c:pt idx="215">
                  <c:v>23.755004388123627</c:v>
                </c:pt>
                <c:pt idx="216">
                  <c:v>22.164965273220172</c:v>
                </c:pt>
                <c:pt idx="217">
                  <c:v>27.753890392559242</c:v>
                </c:pt>
                <c:pt idx="218">
                  <c:v>19.9277737091647</c:v>
                </c:pt>
                <c:pt idx="219">
                  <c:v>26.07607955148578</c:v>
                </c:pt>
                <c:pt idx="220">
                  <c:v>28.20699679518215</c:v>
                </c:pt>
                <c:pt idx="221">
                  <c:v>17.934643679866049</c:v>
                </c:pt>
                <c:pt idx="222">
                  <c:v>27.756089235892716</c:v>
                </c:pt>
                <c:pt idx="223">
                  <c:v>27.909871622290105</c:v>
                </c:pt>
                <c:pt idx="224">
                  <c:v>37.329733017800194</c:v>
                </c:pt>
                <c:pt idx="225">
                  <c:v>39.122126443971439</c:v>
                </c:pt>
                <c:pt idx="226">
                  <c:v>36.886771629240613</c:v>
                </c:pt>
                <c:pt idx="227">
                  <c:v>31.079815089652399</c:v>
                </c:pt>
                <c:pt idx="228">
                  <c:v>34.836586121697046</c:v>
                </c:pt>
                <c:pt idx="229">
                  <c:v>29.807587681426622</c:v>
                </c:pt>
                <c:pt idx="230">
                  <c:v>22.717735445171225</c:v>
                </c:pt>
                <c:pt idx="231">
                  <c:v>32.838859218210558</c:v>
                </c:pt>
                <c:pt idx="232">
                  <c:v>38.605243403561083</c:v>
                </c:pt>
                <c:pt idx="233">
                  <c:v>37.352583100562768</c:v>
                </c:pt>
                <c:pt idx="234">
                  <c:v>28.140224524683632</c:v>
                </c:pt>
                <c:pt idx="235">
                  <c:v>23.632145023937777</c:v>
                </c:pt>
                <c:pt idx="236">
                  <c:v>26.859269060087328</c:v>
                </c:pt>
                <c:pt idx="237">
                  <c:v>32.892365444936225</c:v>
                </c:pt>
                <c:pt idx="238">
                  <c:v>28.744876050160528</c:v>
                </c:pt>
                <c:pt idx="239">
                  <c:v>28.731779923390889</c:v>
                </c:pt>
                <c:pt idx="240">
                  <c:v>27.752826609683108</c:v>
                </c:pt>
                <c:pt idx="241">
                  <c:v>23.548217211082402</c:v>
                </c:pt>
                <c:pt idx="242">
                  <c:v>25.410503631005597</c:v>
                </c:pt>
                <c:pt idx="243">
                  <c:v>29.016531661912371</c:v>
                </c:pt>
                <c:pt idx="244">
                  <c:v>18.897488940304584</c:v>
                </c:pt>
                <c:pt idx="245">
                  <c:v>15.543712091910018</c:v>
                </c:pt>
                <c:pt idx="246">
                  <c:v>23.132761723883753</c:v>
                </c:pt>
                <c:pt idx="247">
                  <c:v>23.099493764264601</c:v>
                </c:pt>
                <c:pt idx="248">
                  <c:v>24.394423483002054</c:v>
                </c:pt>
                <c:pt idx="249">
                  <c:v>27.373863288103301</c:v>
                </c:pt>
                <c:pt idx="250">
                  <c:v>26.708192804069036</c:v>
                </c:pt>
                <c:pt idx="251">
                  <c:v>27.807808316805957</c:v>
                </c:pt>
                <c:pt idx="252">
                  <c:v>30.185620127938357</c:v>
                </c:pt>
                <c:pt idx="253">
                  <c:v>36.058980139957086</c:v>
                </c:pt>
                <c:pt idx="254">
                  <c:v>27.126689354703945</c:v>
                </c:pt>
                <c:pt idx="255">
                  <c:v>24.546672452231284</c:v>
                </c:pt>
                <c:pt idx="256">
                  <c:v>35.648254902805434</c:v>
                </c:pt>
                <c:pt idx="257">
                  <c:v>42.842297060282739</c:v>
                </c:pt>
                <c:pt idx="258">
                  <c:v>35.124933759639482</c:v>
                </c:pt>
                <c:pt idx="259">
                  <c:v>33.416769138413962</c:v>
                </c:pt>
                <c:pt idx="260">
                  <c:v>33.508678798767789</c:v>
                </c:pt>
                <c:pt idx="261">
                  <c:v>36.2723744907126</c:v>
                </c:pt>
                <c:pt idx="262">
                  <c:v>41.008851758044138</c:v>
                </c:pt>
                <c:pt idx="263">
                  <c:v>33.119393553937101</c:v>
                </c:pt>
                <c:pt idx="264">
                  <c:v>34.374215536529562</c:v>
                </c:pt>
                <c:pt idx="265">
                  <c:v>25.598089296445778</c:v>
                </c:pt>
                <c:pt idx="266">
                  <c:v>29.681874663441835</c:v>
                </c:pt>
                <c:pt idx="267">
                  <c:v>39.677931540269824</c:v>
                </c:pt>
                <c:pt idx="268">
                  <c:v>38.391006763797662</c:v>
                </c:pt>
                <c:pt idx="269">
                  <c:v>20.181816325526423</c:v>
                </c:pt>
                <c:pt idx="270">
                  <c:v>20.264503082236988</c:v>
                </c:pt>
                <c:pt idx="271">
                  <c:v>25.663699183940277</c:v>
                </c:pt>
                <c:pt idx="272">
                  <c:v>26.35743614103388</c:v>
                </c:pt>
                <c:pt idx="273">
                  <c:v>32.221293030350651</c:v>
                </c:pt>
                <c:pt idx="274">
                  <c:v>30.683135193017094</c:v>
                </c:pt>
                <c:pt idx="275">
                  <c:v>31.431108731956986</c:v>
                </c:pt>
                <c:pt idx="276">
                  <c:v>31.540534119999606</c:v>
                </c:pt>
                <c:pt idx="277">
                  <c:v>30.629946233839387</c:v>
                </c:pt>
                <c:pt idx="278">
                  <c:v>27.3440701948997</c:v>
                </c:pt>
                <c:pt idx="279">
                  <c:v>32.685135315223448</c:v>
                </c:pt>
                <c:pt idx="280">
                  <c:v>37.859947826409083</c:v>
                </c:pt>
                <c:pt idx="281">
                  <c:v>33.5382104613115</c:v>
                </c:pt>
                <c:pt idx="282">
                  <c:v>37.498603427139159</c:v>
                </c:pt>
                <c:pt idx="283">
                  <c:v>39.878058918201113</c:v>
                </c:pt>
                <c:pt idx="284">
                  <c:v>31.843685410001033</c:v>
                </c:pt>
                <c:pt idx="285">
                  <c:v>28.759106949262367</c:v>
                </c:pt>
                <c:pt idx="286">
                  <c:v>22.365585935497506</c:v>
                </c:pt>
                <c:pt idx="287">
                  <c:v>27.07067311689169</c:v>
                </c:pt>
                <c:pt idx="288">
                  <c:v>27.286277120518783</c:v>
                </c:pt>
                <c:pt idx="289">
                  <c:v>27.322983492645495</c:v>
                </c:pt>
                <c:pt idx="290">
                  <c:v>29.77342859937589</c:v>
                </c:pt>
                <c:pt idx="291">
                  <c:v>30.937839102051189</c:v>
                </c:pt>
                <c:pt idx="292">
                  <c:v>27.946992568960209</c:v>
                </c:pt>
                <c:pt idx="293">
                  <c:v>26.435441942121372</c:v>
                </c:pt>
                <c:pt idx="294">
                  <c:v>24.861935918818482</c:v>
                </c:pt>
                <c:pt idx="295">
                  <c:v>30.244310021170488</c:v>
                </c:pt>
                <c:pt idx="296">
                  <c:v>29.021398348996033</c:v>
                </c:pt>
                <c:pt idx="297">
                  <c:v>20.762435790087473</c:v>
                </c:pt>
                <c:pt idx="298">
                  <c:v>30.600889307426112</c:v>
                </c:pt>
                <c:pt idx="299">
                  <c:v>33.875137592558964</c:v>
                </c:pt>
                <c:pt idx="300">
                  <c:v>32.347014467233251</c:v>
                </c:pt>
                <c:pt idx="301">
                  <c:v>27.906948350755759</c:v>
                </c:pt>
                <c:pt idx="302">
                  <c:v>27.952582082023941</c:v>
                </c:pt>
                <c:pt idx="303">
                  <c:v>32.330171752475351</c:v>
                </c:pt>
                <c:pt idx="304">
                  <c:v>30.152789021195915</c:v>
                </c:pt>
                <c:pt idx="305">
                  <c:v>26.209616660261403</c:v>
                </c:pt>
                <c:pt idx="306">
                  <c:v>31.246657091286387</c:v>
                </c:pt>
                <c:pt idx="307">
                  <c:v>28.062237703200978</c:v>
                </c:pt>
                <c:pt idx="308">
                  <c:v>28.805636627955423</c:v>
                </c:pt>
                <c:pt idx="309">
                  <c:v>22.707007657032133</c:v>
                </c:pt>
                <c:pt idx="310">
                  <c:v>16.669380947502432</c:v>
                </c:pt>
                <c:pt idx="311">
                  <c:v>25.665825493221927</c:v>
                </c:pt>
                <c:pt idx="312">
                  <c:v>21.936634171391582</c:v>
                </c:pt>
                <c:pt idx="313">
                  <c:v>25.218179188421423</c:v>
                </c:pt>
                <c:pt idx="314">
                  <c:v>25.788229043257168</c:v>
                </c:pt>
                <c:pt idx="315">
                  <c:v>20.626527562578094</c:v>
                </c:pt>
                <c:pt idx="316">
                  <c:v>17.664817691673527</c:v>
                </c:pt>
                <c:pt idx="317">
                  <c:v>18.435397721100401</c:v>
                </c:pt>
                <c:pt idx="318">
                  <c:v>24.335326025741807</c:v>
                </c:pt>
                <c:pt idx="319">
                  <c:v>21.76549831158707</c:v>
                </c:pt>
                <c:pt idx="320">
                  <c:v>25.224043454624354</c:v>
                </c:pt>
                <c:pt idx="321">
                  <c:v>25.186968284429632</c:v>
                </c:pt>
                <c:pt idx="322">
                  <c:v>23.199703547304388</c:v>
                </c:pt>
                <c:pt idx="323">
                  <c:v>19.385973393995737</c:v>
                </c:pt>
                <c:pt idx="324">
                  <c:v>25.791923967144385</c:v>
                </c:pt>
                <c:pt idx="325">
                  <c:v>26.458848617633567</c:v>
                </c:pt>
                <c:pt idx="326">
                  <c:v>25.309681439291278</c:v>
                </c:pt>
                <c:pt idx="327">
                  <c:v>20.478860275674609</c:v>
                </c:pt>
                <c:pt idx="328">
                  <c:v>23.633487711776969</c:v>
                </c:pt>
                <c:pt idx="329">
                  <c:v>27.237007409773909</c:v>
                </c:pt>
                <c:pt idx="330">
                  <c:v>25.38293289760848</c:v>
                </c:pt>
                <c:pt idx="331">
                  <c:v>21.495347526706038</c:v>
                </c:pt>
                <c:pt idx="332">
                  <c:v>25.593165497672516</c:v>
                </c:pt>
                <c:pt idx="333">
                  <c:v>25.038058263204579</c:v>
                </c:pt>
                <c:pt idx="334">
                  <c:v>24.399133651517758</c:v>
                </c:pt>
                <c:pt idx="335">
                  <c:v>22.445948567126209</c:v>
                </c:pt>
                <c:pt idx="336">
                  <c:v>20.66382566726681</c:v>
                </c:pt>
                <c:pt idx="337">
                  <c:v>20.346654289023814</c:v>
                </c:pt>
                <c:pt idx="338">
                  <c:v>22.259384983954686</c:v>
                </c:pt>
                <c:pt idx="339">
                  <c:v>21.221922838026192</c:v>
                </c:pt>
                <c:pt idx="340">
                  <c:v>21.40247324152336</c:v>
                </c:pt>
                <c:pt idx="341">
                  <c:v>33.697861726735937</c:v>
                </c:pt>
                <c:pt idx="342">
                  <c:v>28.353356649308886</c:v>
                </c:pt>
                <c:pt idx="343">
                  <c:v>28.316088333763112</c:v>
                </c:pt>
                <c:pt idx="344">
                  <c:v>30.589373879601691</c:v>
                </c:pt>
                <c:pt idx="345">
                  <c:v>22.204155129357151</c:v>
                </c:pt>
                <c:pt idx="346">
                  <c:v>20.456702127822723</c:v>
                </c:pt>
                <c:pt idx="347">
                  <c:v>27.692976461343875</c:v>
                </c:pt>
                <c:pt idx="348">
                  <c:v>29.279529957918704</c:v>
                </c:pt>
                <c:pt idx="349">
                  <c:v>28.19644759440736</c:v>
                </c:pt>
                <c:pt idx="350">
                  <c:v>26.117561078708537</c:v>
                </c:pt>
                <c:pt idx="351">
                  <c:v>28.102629907147676</c:v>
                </c:pt>
                <c:pt idx="352">
                  <c:v>23.649259269062366</c:v>
                </c:pt>
                <c:pt idx="353">
                  <c:v>30.551454580627297</c:v>
                </c:pt>
                <c:pt idx="354">
                  <c:v>19.0590083071233</c:v>
                </c:pt>
                <c:pt idx="355">
                  <c:v>21.709796330719445</c:v>
                </c:pt>
                <c:pt idx="356">
                  <c:v>17.752530685602188</c:v>
                </c:pt>
                <c:pt idx="357">
                  <c:v>21.054771346815844</c:v>
                </c:pt>
                <c:pt idx="358">
                  <c:v>20.868170715155053</c:v>
                </c:pt>
                <c:pt idx="359">
                  <c:v>20.119990632428834</c:v>
                </c:pt>
                <c:pt idx="360">
                  <c:v>24.201812779189357</c:v>
                </c:pt>
                <c:pt idx="361">
                  <c:v>19.878489498058109</c:v>
                </c:pt>
                <c:pt idx="362">
                  <c:v>18.151503030462685</c:v>
                </c:pt>
                <c:pt idx="363">
                  <c:v>17.598268355668999</c:v>
                </c:pt>
                <c:pt idx="364">
                  <c:v>36.387059687130311</c:v>
                </c:pt>
                <c:pt idx="365">
                  <c:v>11.774673372351195</c:v>
                </c:pt>
                <c:pt idx="366">
                  <c:v>14.171270403070402</c:v>
                </c:pt>
                <c:pt idx="367">
                  <c:v>9.5874171757060331</c:v>
                </c:pt>
                <c:pt idx="368">
                  <c:v>20.344071437429303</c:v>
                </c:pt>
                <c:pt idx="369">
                  <c:v>27.810238840950479</c:v>
                </c:pt>
                <c:pt idx="370">
                  <c:v>29.754164394915666</c:v>
                </c:pt>
                <c:pt idx="371">
                  <c:v>22.385064270509638</c:v>
                </c:pt>
                <c:pt idx="372">
                  <c:v>21.216979425772742</c:v>
                </c:pt>
                <c:pt idx="373">
                  <c:v>2.0374872721564472</c:v>
                </c:pt>
                <c:pt idx="374">
                  <c:v>-3.2601342139155385</c:v>
                </c:pt>
                <c:pt idx="375">
                  <c:v>25.102720806335153</c:v>
                </c:pt>
                <c:pt idx="376">
                  <c:v>16.500785558464663</c:v>
                </c:pt>
                <c:pt idx="377">
                  <c:v>18.29913297106868</c:v>
                </c:pt>
                <c:pt idx="378">
                  <c:v>15.028824765025353</c:v>
                </c:pt>
                <c:pt idx="379">
                  <c:v>15.412052540677026</c:v>
                </c:pt>
                <c:pt idx="380">
                  <c:v>21.389193137425874</c:v>
                </c:pt>
                <c:pt idx="381">
                  <c:v>17.266282066108747</c:v>
                </c:pt>
                <c:pt idx="382">
                  <c:v>11.269272000321401</c:v>
                </c:pt>
                <c:pt idx="383">
                  <c:v>10.64809180486203</c:v>
                </c:pt>
                <c:pt idx="384">
                  <c:v>1.9754663521558271</c:v>
                </c:pt>
                <c:pt idx="385">
                  <c:v>5.9770589663017333</c:v>
                </c:pt>
                <c:pt idx="386">
                  <c:v>4.6015892667109206</c:v>
                </c:pt>
                <c:pt idx="387">
                  <c:v>4.0515566531645746</c:v>
                </c:pt>
                <c:pt idx="388">
                  <c:v>4.2930799322876219</c:v>
                </c:pt>
                <c:pt idx="389">
                  <c:v>12.18248618416847</c:v>
                </c:pt>
                <c:pt idx="390">
                  <c:v>15.7795204216768</c:v>
                </c:pt>
                <c:pt idx="391">
                  <c:v>16.362253315709516</c:v>
                </c:pt>
                <c:pt idx="392">
                  <c:v>7.8222056976195269</c:v>
                </c:pt>
                <c:pt idx="393">
                  <c:v>19.056225509199429</c:v>
                </c:pt>
                <c:pt idx="394">
                  <c:v>16.999775988690523</c:v>
                </c:pt>
                <c:pt idx="395">
                  <c:v>19.196491440239143</c:v>
                </c:pt>
                <c:pt idx="396">
                  <c:v>17.611910860231404</c:v>
                </c:pt>
                <c:pt idx="397">
                  <c:v>14.326270750845762</c:v>
                </c:pt>
                <c:pt idx="398">
                  <c:v>6.897570303751948</c:v>
                </c:pt>
                <c:pt idx="399">
                  <c:v>9.0537427868305791</c:v>
                </c:pt>
                <c:pt idx="400">
                  <c:v>11.493102815443201</c:v>
                </c:pt>
                <c:pt idx="401">
                  <c:v>16.788739358233496</c:v>
                </c:pt>
                <c:pt idx="402">
                  <c:v>17.069898092687289</c:v>
                </c:pt>
                <c:pt idx="403">
                  <c:v>12.614904068372901</c:v>
                </c:pt>
                <c:pt idx="404">
                  <c:v>9.0852693954436354</c:v>
                </c:pt>
                <c:pt idx="405">
                  <c:v>12.287558405548912</c:v>
                </c:pt>
                <c:pt idx="406">
                  <c:v>5.1053829996608737</c:v>
                </c:pt>
                <c:pt idx="407">
                  <c:v>18.152993548177797</c:v>
                </c:pt>
                <c:pt idx="408">
                  <c:v>10.03396517073022</c:v>
                </c:pt>
                <c:pt idx="409">
                  <c:v>19.395863690106218</c:v>
                </c:pt>
                <c:pt idx="410">
                  <c:v>19.98083875831469</c:v>
                </c:pt>
                <c:pt idx="411">
                  <c:v>17.691956415518185</c:v>
                </c:pt>
                <c:pt idx="412">
                  <c:v>1.0109225249141822</c:v>
                </c:pt>
                <c:pt idx="413">
                  <c:v>11.561652642024779</c:v>
                </c:pt>
                <c:pt idx="414">
                  <c:v>-0.97367120331340118</c:v>
                </c:pt>
                <c:pt idx="415">
                  <c:v>12.207779008996219</c:v>
                </c:pt>
                <c:pt idx="416">
                  <c:v>15.643232039922022</c:v>
                </c:pt>
                <c:pt idx="417">
                  <c:v>8.483405050214591</c:v>
                </c:pt>
                <c:pt idx="418">
                  <c:v>14.874245167544192</c:v>
                </c:pt>
                <c:pt idx="419">
                  <c:v>17.576887067575363</c:v>
                </c:pt>
                <c:pt idx="420">
                  <c:v>20.126358128140417</c:v>
                </c:pt>
                <c:pt idx="421">
                  <c:v>17.908784778126311</c:v>
                </c:pt>
                <c:pt idx="422">
                  <c:v>17.207153180822893</c:v>
                </c:pt>
                <c:pt idx="423">
                  <c:v>14.00677543872694</c:v>
                </c:pt>
                <c:pt idx="424">
                  <c:v>15.082647837592829</c:v>
                </c:pt>
                <c:pt idx="425">
                  <c:v>12.443097046689349</c:v>
                </c:pt>
                <c:pt idx="426">
                  <c:v>17.151396695493773</c:v>
                </c:pt>
                <c:pt idx="427">
                  <c:v>19.468537994811321</c:v>
                </c:pt>
                <c:pt idx="428">
                  <c:v>15.425259391208298</c:v>
                </c:pt>
                <c:pt idx="429">
                  <c:v>14.805820546755033</c:v>
                </c:pt>
                <c:pt idx="430">
                  <c:v>18.343755706451375</c:v>
                </c:pt>
                <c:pt idx="431">
                  <c:v>19.361533204081539</c:v>
                </c:pt>
                <c:pt idx="432">
                  <c:v>21.8992730280935</c:v>
                </c:pt>
                <c:pt idx="433">
                  <c:v>19.553076826289626</c:v>
                </c:pt>
                <c:pt idx="434">
                  <c:v>19.12395682335724</c:v>
                </c:pt>
                <c:pt idx="435">
                  <c:v>16.393322968951413</c:v>
                </c:pt>
                <c:pt idx="436">
                  <c:v>18.619557941079073</c:v>
                </c:pt>
                <c:pt idx="437">
                  <c:v>12.421125091298299</c:v>
                </c:pt>
                <c:pt idx="438">
                  <c:v>7.1127096892863193</c:v>
                </c:pt>
                <c:pt idx="439">
                  <c:v>12.091875401480372</c:v>
                </c:pt>
                <c:pt idx="440">
                  <c:v>13.394611181418334</c:v>
                </c:pt>
                <c:pt idx="441">
                  <c:v>17.530655427994368</c:v>
                </c:pt>
                <c:pt idx="442">
                  <c:v>18.36166237696051</c:v>
                </c:pt>
                <c:pt idx="443">
                  <c:v>18.27048349343346</c:v>
                </c:pt>
                <c:pt idx="444">
                  <c:v>12.596532779771071</c:v>
                </c:pt>
                <c:pt idx="445">
                  <c:v>15.219719370106729</c:v>
                </c:pt>
                <c:pt idx="446">
                  <c:v>18.226376906663514</c:v>
                </c:pt>
                <c:pt idx="447">
                  <c:v>18.591926700344718</c:v>
                </c:pt>
                <c:pt idx="448">
                  <c:v>17.327557305545646</c:v>
                </c:pt>
                <c:pt idx="449">
                  <c:v>17.700404252830005</c:v>
                </c:pt>
                <c:pt idx="450">
                  <c:v>20.26880064251122</c:v>
                </c:pt>
                <c:pt idx="451">
                  <c:v>19.678527424305916</c:v>
                </c:pt>
                <c:pt idx="452">
                  <c:v>18.325037342827709</c:v>
                </c:pt>
                <c:pt idx="453">
                  <c:v>23.576995711863809</c:v>
                </c:pt>
                <c:pt idx="454">
                  <c:v>19.447783579092068</c:v>
                </c:pt>
                <c:pt idx="455">
                  <c:v>18.862800426455898</c:v>
                </c:pt>
                <c:pt idx="456">
                  <c:v>15.880645322952333</c:v>
                </c:pt>
                <c:pt idx="457">
                  <c:v>16.883666259094511</c:v>
                </c:pt>
                <c:pt idx="458">
                  <c:v>18.937776941990656</c:v>
                </c:pt>
                <c:pt idx="459">
                  <c:v>18.819247036787957</c:v>
                </c:pt>
                <c:pt idx="460">
                  <c:v>20.63530223883631</c:v>
                </c:pt>
                <c:pt idx="461">
                  <c:v>20.179886499618412</c:v>
                </c:pt>
                <c:pt idx="462">
                  <c:v>20.29086841792698</c:v>
                </c:pt>
                <c:pt idx="463">
                  <c:v>23.291571968050981</c:v>
                </c:pt>
                <c:pt idx="464">
                  <c:v>20.243493335652694</c:v>
                </c:pt>
                <c:pt idx="465">
                  <c:v>17.691210734954474</c:v>
                </c:pt>
                <c:pt idx="466">
                  <c:v>16.835833799742922</c:v>
                </c:pt>
                <c:pt idx="467">
                  <c:v>14.681690549450632</c:v>
                </c:pt>
                <c:pt idx="468">
                  <c:v>16.158063281087557</c:v>
                </c:pt>
                <c:pt idx="469">
                  <c:v>17.123263788177454</c:v>
                </c:pt>
                <c:pt idx="470">
                  <c:v>18.298402194241902</c:v>
                </c:pt>
                <c:pt idx="471">
                  <c:v>20.533933745285189</c:v>
                </c:pt>
                <c:pt idx="472">
                  <c:v>20.621150826676541</c:v>
                </c:pt>
                <c:pt idx="473">
                  <c:v>24.61689975644515</c:v>
                </c:pt>
                <c:pt idx="474">
                  <c:v>13.89915017322585</c:v>
                </c:pt>
                <c:pt idx="475">
                  <c:v>13.81002266723748</c:v>
                </c:pt>
                <c:pt idx="476">
                  <c:v>18.363175039427954</c:v>
                </c:pt>
                <c:pt idx="477">
                  <c:v>9.4726288902342226</c:v>
                </c:pt>
                <c:pt idx="478">
                  <c:v>17.38473787433291</c:v>
                </c:pt>
                <c:pt idx="479">
                  <c:v>20.39670038019576</c:v>
                </c:pt>
                <c:pt idx="480">
                  <c:v>21.810580332723962</c:v>
                </c:pt>
                <c:pt idx="481">
                  <c:v>25.819831235819475</c:v>
                </c:pt>
                <c:pt idx="482">
                  <c:v>27.641545301504976</c:v>
                </c:pt>
                <c:pt idx="483">
                  <c:v>19.826156099793444</c:v>
                </c:pt>
                <c:pt idx="484">
                  <c:v>18.648664374085449</c:v>
                </c:pt>
                <c:pt idx="485">
                  <c:v>22.218148708853334</c:v>
                </c:pt>
                <c:pt idx="486">
                  <c:v>18.808150335330794</c:v>
                </c:pt>
                <c:pt idx="487">
                  <c:v>19.882901436255722</c:v>
                </c:pt>
                <c:pt idx="488">
                  <c:v>14.159883249266755</c:v>
                </c:pt>
                <c:pt idx="489">
                  <c:v>10.599894796185428</c:v>
                </c:pt>
                <c:pt idx="490">
                  <c:v>5.8854341954557547</c:v>
                </c:pt>
                <c:pt idx="491">
                  <c:v>16.542822871686603</c:v>
                </c:pt>
                <c:pt idx="492">
                  <c:v>19.241745718445365</c:v>
                </c:pt>
                <c:pt idx="493">
                  <c:v>19.599359459434435</c:v>
                </c:pt>
                <c:pt idx="494">
                  <c:v>19.684783659299658</c:v>
                </c:pt>
                <c:pt idx="495">
                  <c:v>16.23589508930392</c:v>
                </c:pt>
                <c:pt idx="496">
                  <c:v>12.947385089955821</c:v>
                </c:pt>
                <c:pt idx="497">
                  <c:v>18.797127193895932</c:v>
                </c:pt>
                <c:pt idx="498">
                  <c:v>20.487827617952696</c:v>
                </c:pt>
                <c:pt idx="499">
                  <c:v>17.209351793656246</c:v>
                </c:pt>
                <c:pt idx="500">
                  <c:v>19.71770496560314</c:v>
                </c:pt>
                <c:pt idx="501">
                  <c:v>23.262747125823971</c:v>
                </c:pt>
                <c:pt idx="502">
                  <c:v>21.464318375226036</c:v>
                </c:pt>
                <c:pt idx="503">
                  <c:v>27.296530269446574</c:v>
                </c:pt>
                <c:pt idx="504">
                  <c:v>25.994406879852203</c:v>
                </c:pt>
                <c:pt idx="505">
                  <c:v>21.744097315726346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594624"/>
        <c:axId val="143304384"/>
      </c:lineChart>
      <c:catAx>
        <c:axId val="141594624"/>
        <c:scaling>
          <c:orientation val="minMax"/>
        </c:scaling>
        <c:delete val="0"/>
        <c:axPos val="b"/>
        <c:majorTickMark val="out"/>
        <c:minorTickMark val="none"/>
        <c:tickLblPos val="nextTo"/>
        <c:crossAx val="143304384"/>
        <c:crosses val="autoZero"/>
        <c:auto val="1"/>
        <c:lblAlgn val="ctr"/>
        <c:lblOffset val="100"/>
        <c:noMultiLvlLbl val="0"/>
      </c:catAx>
      <c:valAx>
        <c:axId val="143304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15946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525780</xdr:colOff>
      <xdr:row>2</xdr:row>
      <xdr:rowOff>175260</xdr:rowOff>
    </xdr:from>
    <xdr:to>
      <xdr:col>27</xdr:col>
      <xdr:colOff>396240</xdr:colOff>
      <xdr:row>15</xdr:row>
      <xdr:rowOff>53340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563880</xdr:colOff>
      <xdr:row>2</xdr:row>
      <xdr:rowOff>167640</xdr:rowOff>
    </xdr:from>
    <xdr:to>
      <xdr:col>34</xdr:col>
      <xdr:colOff>487680</xdr:colOff>
      <xdr:row>15</xdr:row>
      <xdr:rowOff>45720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34</xdr:col>
      <xdr:colOff>624840</xdr:colOff>
      <xdr:row>2</xdr:row>
      <xdr:rowOff>152400</xdr:rowOff>
    </xdr:from>
    <xdr:to>
      <xdr:col>41</xdr:col>
      <xdr:colOff>533400</xdr:colOff>
      <xdr:row>15</xdr:row>
      <xdr:rowOff>30480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556260</xdr:colOff>
      <xdr:row>15</xdr:row>
      <xdr:rowOff>175260</xdr:rowOff>
    </xdr:from>
    <xdr:to>
      <xdr:col>27</xdr:col>
      <xdr:colOff>426720</xdr:colOff>
      <xdr:row>28</xdr:row>
      <xdr:rowOff>53340</xdr:rowOff>
    </xdr:to>
    <xdr:graphicFrame macro="">
      <xdr:nvGraphicFramePr>
        <xdr:cNvPr id="6" name="차트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541020</xdr:colOff>
      <xdr:row>15</xdr:row>
      <xdr:rowOff>198120</xdr:rowOff>
    </xdr:from>
    <xdr:to>
      <xdr:col>34</xdr:col>
      <xdr:colOff>464820</xdr:colOff>
      <xdr:row>28</xdr:row>
      <xdr:rowOff>68580</xdr:rowOff>
    </xdr:to>
    <xdr:graphicFrame macro="">
      <xdr:nvGraphicFramePr>
        <xdr:cNvPr id="7" name="차트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34</xdr:col>
      <xdr:colOff>662940</xdr:colOff>
      <xdr:row>15</xdr:row>
      <xdr:rowOff>182880</xdr:rowOff>
    </xdr:from>
    <xdr:to>
      <xdr:col>41</xdr:col>
      <xdr:colOff>571500</xdr:colOff>
      <xdr:row>28</xdr:row>
      <xdr:rowOff>60960</xdr:rowOff>
    </xdr:to>
    <xdr:graphicFrame macro="">
      <xdr:nvGraphicFramePr>
        <xdr:cNvPr id="8" name="차트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533400</xdr:colOff>
      <xdr:row>28</xdr:row>
      <xdr:rowOff>175260</xdr:rowOff>
    </xdr:from>
    <xdr:to>
      <xdr:col>27</xdr:col>
      <xdr:colOff>403860</xdr:colOff>
      <xdr:row>41</xdr:row>
      <xdr:rowOff>53340</xdr:rowOff>
    </xdr:to>
    <xdr:graphicFrame macro="">
      <xdr:nvGraphicFramePr>
        <xdr:cNvPr id="9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586740</xdr:colOff>
      <xdr:row>28</xdr:row>
      <xdr:rowOff>182880</xdr:rowOff>
    </xdr:from>
    <xdr:to>
      <xdr:col>34</xdr:col>
      <xdr:colOff>510540</xdr:colOff>
      <xdr:row>41</xdr:row>
      <xdr:rowOff>60960</xdr:rowOff>
    </xdr:to>
    <xdr:graphicFrame macro="">
      <xdr:nvGraphicFramePr>
        <xdr:cNvPr id="10" name="차트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35</xdr:col>
      <xdr:colOff>22860</xdr:colOff>
      <xdr:row>29</xdr:row>
      <xdr:rowOff>38100</xdr:rowOff>
    </xdr:from>
    <xdr:to>
      <xdr:col>41</xdr:col>
      <xdr:colOff>601980</xdr:colOff>
      <xdr:row>41</xdr:row>
      <xdr:rowOff>121920</xdr:rowOff>
    </xdr:to>
    <xdr:graphicFrame macro="">
      <xdr:nvGraphicFramePr>
        <xdr:cNvPr id="11" name="차트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</xdr:col>
      <xdr:colOff>396240</xdr:colOff>
      <xdr:row>43</xdr:row>
      <xdr:rowOff>60960</xdr:rowOff>
    </xdr:from>
    <xdr:to>
      <xdr:col>27</xdr:col>
      <xdr:colOff>266700</xdr:colOff>
      <xdr:row>55</xdr:row>
      <xdr:rowOff>152400</xdr:rowOff>
    </xdr:to>
    <xdr:graphicFrame macro="">
      <xdr:nvGraphicFramePr>
        <xdr:cNvPr id="15" name="차트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27</xdr:col>
      <xdr:colOff>594360</xdr:colOff>
      <xdr:row>43</xdr:row>
      <xdr:rowOff>121920</xdr:rowOff>
    </xdr:from>
    <xdr:to>
      <xdr:col>34</xdr:col>
      <xdr:colOff>518160</xdr:colOff>
      <xdr:row>56</xdr:row>
      <xdr:rowOff>0</xdr:rowOff>
    </xdr:to>
    <xdr:graphicFrame macro="">
      <xdr:nvGraphicFramePr>
        <xdr:cNvPr id="16" name="차트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35</xdr:col>
      <xdr:colOff>137160</xdr:colOff>
      <xdr:row>43</xdr:row>
      <xdr:rowOff>144780</xdr:rowOff>
    </xdr:from>
    <xdr:to>
      <xdr:col>42</xdr:col>
      <xdr:colOff>45720</xdr:colOff>
      <xdr:row>56</xdr:row>
      <xdr:rowOff>22860</xdr:rowOff>
    </xdr:to>
    <xdr:graphicFrame macro="">
      <xdr:nvGraphicFramePr>
        <xdr:cNvPr id="17" name="차트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20</xdr:col>
      <xdr:colOff>396240</xdr:colOff>
      <xdr:row>57</xdr:row>
      <xdr:rowOff>60960</xdr:rowOff>
    </xdr:from>
    <xdr:to>
      <xdr:col>27</xdr:col>
      <xdr:colOff>266700</xdr:colOff>
      <xdr:row>69</xdr:row>
      <xdr:rowOff>152400</xdr:rowOff>
    </xdr:to>
    <xdr:graphicFrame macro="">
      <xdr:nvGraphicFramePr>
        <xdr:cNvPr id="18" name="차트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27</xdr:col>
      <xdr:colOff>609600</xdr:colOff>
      <xdr:row>57</xdr:row>
      <xdr:rowOff>76200</xdr:rowOff>
    </xdr:from>
    <xdr:to>
      <xdr:col>34</xdr:col>
      <xdr:colOff>533400</xdr:colOff>
      <xdr:row>69</xdr:row>
      <xdr:rowOff>167640</xdr:rowOff>
    </xdr:to>
    <xdr:graphicFrame macro="">
      <xdr:nvGraphicFramePr>
        <xdr:cNvPr id="19" name="차트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631371</xdr:colOff>
      <xdr:row>5</xdr:row>
      <xdr:rowOff>0</xdr:rowOff>
    </xdr:from>
    <xdr:to>
      <xdr:col>12</xdr:col>
      <xdr:colOff>130628</xdr:colOff>
      <xdr:row>25</xdr:row>
      <xdr:rowOff>65314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359227</xdr:colOff>
      <xdr:row>46</xdr:row>
      <xdr:rowOff>108859</xdr:rowOff>
    </xdr:from>
    <xdr:to>
      <xdr:col>36</xdr:col>
      <xdr:colOff>957943</xdr:colOff>
      <xdr:row>79</xdr:row>
      <xdr:rowOff>10886</xdr:rowOff>
    </xdr:to>
    <xdr:graphicFrame macro="">
      <xdr:nvGraphicFramePr>
        <xdr:cNvPr id="5" name="차트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502920</xdr:colOff>
      <xdr:row>20</xdr:row>
      <xdr:rowOff>213360</xdr:rowOff>
    </xdr:from>
    <xdr:to>
      <xdr:col>26</xdr:col>
      <xdr:colOff>121920</xdr:colOff>
      <xdr:row>33</xdr:row>
      <xdr:rowOff>121920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320040</xdr:colOff>
          <xdr:row>0</xdr:row>
          <xdr:rowOff>114300</xdr:rowOff>
        </xdr:from>
        <xdr:to>
          <xdr:col>18</xdr:col>
          <xdr:colOff>152400</xdr:colOff>
          <xdr:row>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고유값 고유벡터 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30"/>
  <sheetViews>
    <sheetView zoomScale="70" zoomScaleNormal="70" workbookViewId="0">
      <selection activeCell="F22" sqref="B1:F22"/>
    </sheetView>
  </sheetViews>
  <sheetFormatPr defaultRowHeight="17.399999999999999"/>
  <cols>
    <col min="2" max="2" width="15.19921875" bestFit="1" customWidth="1"/>
    <col min="3" max="3" width="18.3984375" customWidth="1"/>
  </cols>
  <sheetData>
    <row r="1" spans="1:27">
      <c r="B1" t="s">
        <v>43</v>
      </c>
      <c r="C1" s="89">
        <f>AVERAGE(C11:C30)</f>
        <v>165.95</v>
      </c>
      <c r="D1" s="89">
        <f t="shared" ref="D1:O1" si="0">AVERAGE(D11:D30)</f>
        <v>29.35</v>
      </c>
      <c r="E1" s="89">
        <f t="shared" si="0"/>
        <v>2.4500000000000002</v>
      </c>
      <c r="F1" s="89">
        <f t="shared" si="0"/>
        <v>20.55</v>
      </c>
      <c r="G1" s="89">
        <f t="shared" si="0"/>
        <v>89.55</v>
      </c>
      <c r="H1" s="89">
        <f t="shared" si="0"/>
        <v>92.25</v>
      </c>
      <c r="I1" s="89">
        <f t="shared" si="0"/>
        <v>8.85</v>
      </c>
      <c r="J1" s="89">
        <f t="shared" si="0"/>
        <v>61.2</v>
      </c>
      <c r="K1" s="89">
        <f t="shared" si="0"/>
        <v>81.8</v>
      </c>
      <c r="L1" s="89">
        <f t="shared" si="0"/>
        <v>0.33405000000000001</v>
      </c>
      <c r="M1" s="89">
        <f t="shared" si="0"/>
        <v>0.40244999999999997</v>
      </c>
      <c r="N1" s="89">
        <f t="shared" si="0"/>
        <v>0.52769999999999995</v>
      </c>
      <c r="O1" s="89">
        <f t="shared" si="0"/>
        <v>0.93035000000000012</v>
      </c>
      <c r="Q1" s="59"/>
      <c r="R1" s="59" t="s">
        <v>536</v>
      </c>
      <c r="S1" s="59" t="s">
        <v>537</v>
      </c>
      <c r="T1" s="59"/>
      <c r="U1" s="59"/>
      <c r="V1" s="59" t="s">
        <v>539</v>
      </c>
      <c r="W1" s="59" t="s">
        <v>537</v>
      </c>
      <c r="X1" s="59" t="s">
        <v>540</v>
      </c>
      <c r="Z1" s="59"/>
      <c r="AA1" s="59" t="s">
        <v>539</v>
      </c>
    </row>
    <row r="2" spans="1:27">
      <c r="B2" t="s">
        <v>88</v>
      </c>
      <c r="C2" s="89">
        <f>MEDIAN(C11:C30)</f>
        <v>173</v>
      </c>
      <c r="D2" s="89">
        <f t="shared" ref="D2:O2" si="1">MEDIAN(D11:D30)</f>
        <v>29</v>
      </c>
      <c r="E2" s="89">
        <f t="shared" si="1"/>
        <v>2</v>
      </c>
      <c r="F2" s="89">
        <f t="shared" si="1"/>
        <v>20</v>
      </c>
      <c r="G2" s="89">
        <f t="shared" si="1"/>
        <v>91.5</v>
      </c>
      <c r="H2" s="89">
        <f t="shared" si="1"/>
        <v>90</v>
      </c>
      <c r="I2" s="89">
        <f t="shared" si="1"/>
        <v>5.5</v>
      </c>
      <c r="J2" s="89">
        <f t="shared" si="1"/>
        <v>60</v>
      </c>
      <c r="K2" s="89">
        <f t="shared" si="1"/>
        <v>83</v>
      </c>
      <c r="L2" s="89">
        <f t="shared" si="1"/>
        <v>0.33200000000000002</v>
      </c>
      <c r="M2" s="89">
        <f t="shared" si="1"/>
        <v>0.40849999999999997</v>
      </c>
      <c r="N2" s="89">
        <f t="shared" si="1"/>
        <v>0.51350000000000007</v>
      </c>
      <c r="O2" s="89">
        <f t="shared" si="1"/>
        <v>0.91300000000000003</v>
      </c>
      <c r="Q2" s="59"/>
      <c r="R2" s="59">
        <v>1</v>
      </c>
      <c r="S2" s="59">
        <v>1</v>
      </c>
      <c r="T2" s="59"/>
      <c r="U2" s="59"/>
      <c r="V2" s="59">
        <v>1</v>
      </c>
      <c r="W2" s="59">
        <v>1</v>
      </c>
      <c r="X2" s="59">
        <v>1</v>
      </c>
      <c r="Z2" s="59"/>
      <c r="AA2" s="59">
        <v>-3</v>
      </c>
    </row>
    <row r="3" spans="1:27">
      <c r="B3" t="s">
        <v>89</v>
      </c>
      <c r="C3" s="89">
        <f>MODE(C11:C30)</f>
        <v>176</v>
      </c>
      <c r="D3" s="89">
        <f t="shared" ref="D3:O3" si="2">MODE(D11:D30)</f>
        <v>34</v>
      </c>
      <c r="E3" s="89">
        <f t="shared" si="2"/>
        <v>1</v>
      </c>
      <c r="F3" s="89">
        <f t="shared" si="2"/>
        <v>20</v>
      </c>
      <c r="G3" s="89">
        <f t="shared" si="2"/>
        <v>111</v>
      </c>
      <c r="H3" s="89">
        <f t="shared" si="2"/>
        <v>84</v>
      </c>
      <c r="I3" s="89">
        <f t="shared" si="2"/>
        <v>4</v>
      </c>
      <c r="J3" s="89">
        <f t="shared" si="2"/>
        <v>60</v>
      </c>
      <c r="K3" s="89">
        <f t="shared" si="2"/>
        <v>88</v>
      </c>
      <c r="L3" s="89">
        <f t="shared" si="2"/>
        <v>0.33200000000000002</v>
      </c>
      <c r="M3" s="89">
        <f t="shared" si="2"/>
        <v>0.42</v>
      </c>
      <c r="N3" s="89" t="e">
        <f t="shared" si="2"/>
        <v>#N/A</v>
      </c>
      <c r="O3" s="89">
        <f t="shared" si="2"/>
        <v>0.91300000000000003</v>
      </c>
      <c r="Q3" s="59"/>
      <c r="R3" s="59">
        <v>1</v>
      </c>
      <c r="S3" s="59">
        <v>1</v>
      </c>
      <c r="T3" s="59"/>
      <c r="U3" s="59"/>
      <c r="V3" s="59">
        <v>2</v>
      </c>
      <c r="W3" s="59">
        <v>1</v>
      </c>
      <c r="X3" s="59">
        <v>2</v>
      </c>
      <c r="Z3" s="59"/>
      <c r="AA3" s="59">
        <v>-2</v>
      </c>
    </row>
    <row r="4" spans="1:27">
      <c r="B4" t="s">
        <v>90</v>
      </c>
      <c r="C4" s="89">
        <f>MAX(C11:C30)</f>
        <v>193</v>
      </c>
      <c r="D4" s="89">
        <f t="shared" ref="D4:O4" si="3">MAX(D11:D30)</f>
        <v>42</v>
      </c>
      <c r="E4" s="89">
        <f t="shared" si="3"/>
        <v>8</v>
      </c>
      <c r="F4" s="89">
        <f t="shared" si="3"/>
        <v>46</v>
      </c>
      <c r="G4" s="89">
        <f t="shared" si="3"/>
        <v>124</v>
      </c>
      <c r="H4" s="89">
        <f t="shared" si="3"/>
        <v>118</v>
      </c>
      <c r="I4" s="89">
        <f t="shared" si="3"/>
        <v>32</v>
      </c>
      <c r="J4" s="89">
        <f t="shared" si="3"/>
        <v>107</v>
      </c>
      <c r="K4" s="89">
        <f t="shared" si="3"/>
        <v>123</v>
      </c>
      <c r="L4" s="89">
        <f t="shared" si="3"/>
        <v>0.37</v>
      </c>
      <c r="M4" s="89">
        <f t="shared" si="3"/>
        <v>0.45</v>
      </c>
      <c r="N4" s="89">
        <f t="shared" si="3"/>
        <v>0.68400000000000005</v>
      </c>
      <c r="O4" s="89">
        <f t="shared" si="3"/>
        <v>1.111</v>
      </c>
      <c r="Q4" s="59"/>
      <c r="R4" s="59">
        <v>3</v>
      </c>
      <c r="S4" s="59">
        <v>3</v>
      </c>
      <c r="T4" s="59"/>
      <c r="U4" s="59"/>
      <c r="V4" s="59">
        <v>2</v>
      </c>
      <c r="W4" s="59">
        <v>2</v>
      </c>
      <c r="X4" s="59">
        <v>3</v>
      </c>
      <c r="Z4" s="59"/>
      <c r="AA4" s="59">
        <v>-1</v>
      </c>
    </row>
    <row r="5" spans="1:27">
      <c r="B5" t="s">
        <v>91</v>
      </c>
      <c r="C5" s="89">
        <f>MIN(C11:C30)</f>
        <v>136</v>
      </c>
      <c r="D5" s="89">
        <f t="shared" ref="D5:O5" si="4">MIN(D11:D30)</f>
        <v>13</v>
      </c>
      <c r="E5" s="89">
        <f t="shared" si="4"/>
        <v>0</v>
      </c>
      <c r="F5" s="89">
        <f t="shared" si="4"/>
        <v>2</v>
      </c>
      <c r="G5" s="89">
        <f t="shared" si="4"/>
        <v>47</v>
      </c>
      <c r="H5" s="89">
        <f t="shared" si="4"/>
        <v>71</v>
      </c>
      <c r="I5" s="89">
        <f t="shared" si="4"/>
        <v>0</v>
      </c>
      <c r="J5" s="89">
        <f t="shared" si="4"/>
        <v>24</v>
      </c>
      <c r="K5" s="89">
        <f t="shared" si="4"/>
        <v>40</v>
      </c>
      <c r="L5" s="89">
        <f t="shared" si="4"/>
        <v>0.312</v>
      </c>
      <c r="M5" s="89">
        <f t="shared" si="4"/>
        <v>0.35599999999999998</v>
      </c>
      <c r="N5" s="89">
        <f t="shared" si="4"/>
        <v>0.41699999999999998</v>
      </c>
      <c r="O5" s="89">
        <f t="shared" si="4"/>
        <v>0.81200000000000006</v>
      </c>
      <c r="Q5" s="59"/>
      <c r="R5" s="59">
        <v>4</v>
      </c>
      <c r="S5" s="59">
        <v>4</v>
      </c>
      <c r="T5" s="59"/>
      <c r="U5" s="59"/>
      <c r="V5" s="59">
        <v>3</v>
      </c>
      <c r="W5" s="59">
        <v>3</v>
      </c>
      <c r="X5" s="59">
        <v>4</v>
      </c>
      <c r="Z5" s="78" t="s">
        <v>542</v>
      </c>
      <c r="AA5" s="78">
        <f>MAX(AA2:AA4)</f>
        <v>-1</v>
      </c>
    </row>
    <row r="6" spans="1:27">
      <c r="B6" t="s">
        <v>92</v>
      </c>
      <c r="C6" s="89">
        <f>MAX(C11:C30)-MIN(C11:C30)</f>
        <v>57</v>
      </c>
      <c r="D6" s="89">
        <f t="shared" ref="D6:O6" si="5">MAX(D11:D30)-MIN(D11:D30)</f>
        <v>29</v>
      </c>
      <c r="E6" s="89">
        <f t="shared" si="5"/>
        <v>8</v>
      </c>
      <c r="F6" s="89">
        <f t="shared" si="5"/>
        <v>44</v>
      </c>
      <c r="G6" s="89">
        <f t="shared" si="5"/>
        <v>77</v>
      </c>
      <c r="H6" s="89">
        <f t="shared" si="5"/>
        <v>47</v>
      </c>
      <c r="I6" s="89">
        <f t="shared" si="5"/>
        <v>32</v>
      </c>
      <c r="J6" s="89">
        <f t="shared" si="5"/>
        <v>83</v>
      </c>
      <c r="K6" s="89">
        <f t="shared" si="5"/>
        <v>83</v>
      </c>
      <c r="L6" s="89">
        <f t="shared" si="5"/>
        <v>5.7999999999999996E-2</v>
      </c>
      <c r="M6" s="89">
        <f t="shared" si="5"/>
        <v>9.4000000000000028E-2</v>
      </c>
      <c r="N6" s="89">
        <f t="shared" si="5"/>
        <v>0.26700000000000007</v>
      </c>
      <c r="O6" s="89">
        <f t="shared" si="5"/>
        <v>0.29899999999999993</v>
      </c>
      <c r="Q6" s="59"/>
      <c r="R6" s="59">
        <v>5</v>
      </c>
      <c r="S6" s="59">
        <v>5</v>
      </c>
      <c r="T6" s="59"/>
      <c r="U6" s="59"/>
      <c r="V6" s="59">
        <v>3</v>
      </c>
      <c r="W6" s="59">
        <v>3</v>
      </c>
      <c r="X6" s="59">
        <v>5</v>
      </c>
      <c r="Z6" s="78" t="s">
        <v>543</v>
      </c>
      <c r="AA6" s="78">
        <f>MIN(AA2:AA4)</f>
        <v>-3</v>
      </c>
    </row>
    <row r="7" spans="1:27">
      <c r="B7" t="s">
        <v>450</v>
      </c>
      <c r="C7" s="84">
        <f>_xlfn.VAR.S(C11:C30)</f>
        <v>266.26052631578949</v>
      </c>
      <c r="D7" s="84">
        <f t="shared" ref="D7:O7" si="6">_xlfn.VAR.S(D11:D30)</f>
        <v>51.713157894736803</v>
      </c>
      <c r="E7" s="84">
        <f t="shared" si="6"/>
        <v>5.2078947368421051</v>
      </c>
      <c r="F7" s="84">
        <f t="shared" si="6"/>
        <v>149.83947368421056</v>
      </c>
      <c r="G7" s="84">
        <f t="shared" si="6"/>
        <v>581.73421052631636</v>
      </c>
      <c r="H7" s="84">
        <f t="shared" si="6"/>
        <v>184.72368421052633</v>
      </c>
      <c r="I7" s="84">
        <f t="shared" si="6"/>
        <v>80.871052631578948</v>
      </c>
      <c r="J7" s="84">
        <f t="shared" si="6"/>
        <v>459.64210526315776</v>
      </c>
      <c r="K7" s="84">
        <f t="shared" si="6"/>
        <v>531.1157894736848</v>
      </c>
      <c r="L7" s="84">
        <f t="shared" si="6"/>
        <v>3.0352368421052617E-4</v>
      </c>
      <c r="M7" s="84">
        <f t="shared" si="6"/>
        <v>8.0120789473684209E-4</v>
      </c>
      <c r="N7" s="84">
        <f t="shared" si="6"/>
        <v>5.1921157894737674E-3</v>
      </c>
      <c r="O7" s="84">
        <f t="shared" si="6"/>
        <v>7.5528710526315823E-3</v>
      </c>
      <c r="Q7" s="59"/>
      <c r="R7" s="59"/>
      <c r="S7" s="59">
        <v>6</v>
      </c>
      <c r="T7" s="59"/>
      <c r="U7" s="59"/>
      <c r="V7" s="59">
        <v>4</v>
      </c>
      <c r="W7" s="59">
        <v>4</v>
      </c>
      <c r="X7" s="59">
        <v>6</v>
      </c>
      <c r="Z7" s="78" t="s">
        <v>544</v>
      </c>
      <c r="AA7" s="78">
        <f>MAX(AA2:AA4)-MIN(AA2:AA4)</f>
        <v>2</v>
      </c>
    </row>
    <row r="8" spans="1:27">
      <c r="B8" t="s">
        <v>44</v>
      </c>
      <c r="C8" s="84">
        <f>_xlfn.STDEV.S(C11:C30)</f>
        <v>16.317491422267992</v>
      </c>
      <c r="D8" s="84">
        <f t="shared" ref="D8:O8" si="7">_xlfn.STDEV.S(D11:D30)</f>
        <v>7.1911861257192333</v>
      </c>
      <c r="E8" s="84">
        <f t="shared" si="7"/>
        <v>2.282081229238369</v>
      </c>
      <c r="F8" s="84">
        <f t="shared" si="7"/>
        <v>12.240893500239702</v>
      </c>
      <c r="G8" s="84">
        <f t="shared" si="7"/>
        <v>24.119166870485316</v>
      </c>
      <c r="H8" s="84">
        <f t="shared" si="7"/>
        <v>13.591309142629576</v>
      </c>
      <c r="I8" s="84">
        <f t="shared" si="7"/>
        <v>8.9928334039711277</v>
      </c>
      <c r="J8" s="84">
        <f t="shared" si="7"/>
        <v>21.439265501951269</v>
      </c>
      <c r="K8" s="84">
        <f t="shared" si="7"/>
        <v>23.045949524237113</v>
      </c>
      <c r="L8" s="84">
        <f t="shared" si="7"/>
        <v>1.7421931127476257E-2</v>
      </c>
      <c r="M8" s="84">
        <f t="shared" si="7"/>
        <v>2.8305615957559413E-2</v>
      </c>
      <c r="N8" s="84">
        <f t="shared" si="7"/>
        <v>7.2056337607970103E-2</v>
      </c>
      <c r="O8" s="84">
        <f t="shared" si="7"/>
        <v>8.6907255465994218E-2</v>
      </c>
      <c r="Q8" s="78" t="s">
        <v>538</v>
      </c>
      <c r="R8" s="78">
        <f>MEDIAN(R2:R6)</f>
        <v>3</v>
      </c>
      <c r="S8" s="78">
        <f>MEDIAN(S2:S7)</f>
        <v>3.5</v>
      </c>
      <c r="T8" s="59"/>
      <c r="U8" s="59"/>
      <c r="V8" s="59">
        <v>5</v>
      </c>
      <c r="W8" s="59">
        <v>5</v>
      </c>
      <c r="X8" s="59">
        <v>7</v>
      </c>
    </row>
    <row r="9" spans="1:27">
      <c r="Q9" s="59"/>
      <c r="R9" s="59"/>
      <c r="S9" s="59"/>
      <c r="T9" s="59"/>
      <c r="U9" s="59"/>
      <c r="V9" s="59">
        <v>5</v>
      </c>
      <c r="W9" s="59">
        <v>5</v>
      </c>
      <c r="X9" s="59">
        <v>8</v>
      </c>
    </row>
    <row r="10" spans="1:27">
      <c r="A10" t="s">
        <v>7</v>
      </c>
      <c r="B10" t="s">
        <v>8</v>
      </c>
      <c r="C10" t="s">
        <v>11</v>
      </c>
      <c r="D10" t="s">
        <v>12</v>
      </c>
      <c r="E10" t="s">
        <v>13</v>
      </c>
      <c r="F10" t="s">
        <v>14</v>
      </c>
      <c r="G10" t="s">
        <v>15</v>
      </c>
      <c r="H10" t="s">
        <v>16</v>
      </c>
      <c r="I10" t="s">
        <v>17</v>
      </c>
      <c r="J10" t="s">
        <v>18</v>
      </c>
      <c r="K10" t="s">
        <v>19</v>
      </c>
      <c r="L10" t="s">
        <v>20</v>
      </c>
      <c r="M10" t="s">
        <v>21</v>
      </c>
      <c r="N10" t="s">
        <v>22</v>
      </c>
      <c r="O10" t="s">
        <v>23</v>
      </c>
      <c r="Q10" s="59"/>
      <c r="R10" s="59"/>
      <c r="S10" s="59"/>
      <c r="T10" s="59"/>
      <c r="U10" s="59"/>
      <c r="V10" s="59">
        <v>5</v>
      </c>
      <c r="W10" s="59">
        <v>6</v>
      </c>
      <c r="X10" s="59">
        <v>9</v>
      </c>
    </row>
    <row r="11" spans="1:27">
      <c r="A11">
        <v>1</v>
      </c>
      <c r="B11" t="s">
        <v>48</v>
      </c>
      <c r="C11">
        <v>176</v>
      </c>
      <c r="D11">
        <v>34</v>
      </c>
      <c r="E11">
        <v>1</v>
      </c>
      <c r="F11">
        <v>5</v>
      </c>
      <c r="G11">
        <v>64</v>
      </c>
      <c r="H11">
        <v>84</v>
      </c>
      <c r="I11">
        <v>4</v>
      </c>
      <c r="J11">
        <v>44</v>
      </c>
      <c r="K11">
        <v>40</v>
      </c>
      <c r="L11">
        <v>0.37</v>
      </c>
      <c r="M11">
        <v>0.42</v>
      </c>
      <c r="N11">
        <v>0.47699999999999998</v>
      </c>
      <c r="O11">
        <v>0.89700000000000002</v>
      </c>
      <c r="Q11" s="59"/>
      <c r="R11" s="59"/>
      <c r="S11" s="59"/>
      <c r="T11" s="59"/>
      <c r="U11" s="59"/>
      <c r="V11" s="59">
        <v>6</v>
      </c>
      <c r="W11" s="59">
        <v>7</v>
      </c>
      <c r="X11" s="59">
        <v>10</v>
      </c>
    </row>
    <row r="12" spans="1:27">
      <c r="A12">
        <v>2</v>
      </c>
      <c r="B12" t="s">
        <v>49</v>
      </c>
      <c r="C12">
        <v>177</v>
      </c>
      <c r="D12">
        <v>40</v>
      </c>
      <c r="E12">
        <v>2</v>
      </c>
      <c r="F12">
        <v>20</v>
      </c>
      <c r="G12">
        <v>78</v>
      </c>
      <c r="H12">
        <v>91</v>
      </c>
      <c r="I12">
        <v>20</v>
      </c>
      <c r="J12">
        <v>51</v>
      </c>
      <c r="K12">
        <v>64</v>
      </c>
      <c r="L12">
        <v>0.36599999999999999</v>
      </c>
      <c r="M12">
        <v>0.42399999999999999</v>
      </c>
      <c r="N12">
        <v>0.58199999999999996</v>
      </c>
      <c r="O12">
        <v>1.006</v>
      </c>
      <c r="Q12" s="59"/>
      <c r="R12" s="59"/>
      <c r="S12" s="59"/>
      <c r="T12" s="59"/>
      <c r="U12" s="78" t="s">
        <v>541</v>
      </c>
      <c r="V12" s="78">
        <f>MODE(V2:V11)</f>
        <v>5</v>
      </c>
      <c r="W12" s="78">
        <f>MODE(W2:W11)</f>
        <v>1</v>
      </c>
      <c r="X12" s="78" t="e">
        <f>MODE(X2:X11)</f>
        <v>#N/A</v>
      </c>
    </row>
    <row r="13" spans="1:27">
      <c r="A13">
        <v>3</v>
      </c>
      <c r="B13" t="s">
        <v>50</v>
      </c>
      <c r="C13">
        <v>141</v>
      </c>
      <c r="D13">
        <v>25</v>
      </c>
      <c r="E13">
        <v>4</v>
      </c>
      <c r="F13">
        <v>3</v>
      </c>
      <c r="G13">
        <v>47</v>
      </c>
      <c r="H13">
        <v>84</v>
      </c>
      <c r="I13">
        <v>11</v>
      </c>
      <c r="J13">
        <v>57</v>
      </c>
      <c r="K13">
        <v>51</v>
      </c>
      <c r="L13">
        <v>0.36299999999999999</v>
      </c>
      <c r="M13">
        <v>0.441</v>
      </c>
      <c r="N13">
        <v>0.47199999999999998</v>
      </c>
      <c r="O13">
        <v>0.91300000000000003</v>
      </c>
    </row>
    <row r="14" spans="1:27">
      <c r="A14">
        <v>4</v>
      </c>
      <c r="B14" t="s">
        <v>51</v>
      </c>
      <c r="C14">
        <v>173</v>
      </c>
      <c r="D14">
        <v>42</v>
      </c>
      <c r="E14">
        <v>2</v>
      </c>
      <c r="F14">
        <v>24</v>
      </c>
      <c r="G14">
        <v>99</v>
      </c>
      <c r="H14">
        <v>103</v>
      </c>
      <c r="I14">
        <v>17</v>
      </c>
      <c r="J14">
        <v>60</v>
      </c>
      <c r="K14">
        <v>116</v>
      </c>
      <c r="L14">
        <v>0.34699999999999998</v>
      </c>
      <c r="M14">
        <v>0.41499999999999998</v>
      </c>
      <c r="N14">
        <v>0.58399999999999996</v>
      </c>
      <c r="O14">
        <v>1</v>
      </c>
    </row>
    <row r="15" spans="1:27">
      <c r="A15">
        <v>5</v>
      </c>
      <c r="B15" t="s">
        <v>52</v>
      </c>
      <c r="C15">
        <v>175</v>
      </c>
      <c r="D15">
        <v>23</v>
      </c>
      <c r="E15">
        <v>2</v>
      </c>
      <c r="F15">
        <v>14</v>
      </c>
      <c r="G15">
        <v>90</v>
      </c>
      <c r="H15">
        <v>83</v>
      </c>
      <c r="I15">
        <v>4</v>
      </c>
      <c r="J15">
        <v>78</v>
      </c>
      <c r="K15">
        <v>88</v>
      </c>
      <c r="L15">
        <v>0.34399999999999997</v>
      </c>
      <c r="M15">
        <v>0.42499999999999999</v>
      </c>
      <c r="N15">
        <v>0.47899999999999998</v>
      </c>
      <c r="O15">
        <v>0.90400000000000003</v>
      </c>
    </row>
    <row r="16" spans="1:27">
      <c r="A16">
        <v>6</v>
      </c>
      <c r="B16" t="s">
        <v>53</v>
      </c>
      <c r="C16">
        <v>176</v>
      </c>
      <c r="D16">
        <v>36</v>
      </c>
      <c r="E16">
        <v>3</v>
      </c>
      <c r="F16">
        <v>26</v>
      </c>
      <c r="G16">
        <v>120</v>
      </c>
      <c r="H16">
        <v>98</v>
      </c>
      <c r="I16">
        <v>0</v>
      </c>
      <c r="J16">
        <v>107</v>
      </c>
      <c r="K16">
        <v>82</v>
      </c>
      <c r="L16">
        <v>0.34200000000000003</v>
      </c>
      <c r="M16">
        <v>0.45</v>
      </c>
      <c r="N16">
        <v>0.57599999999999996</v>
      </c>
      <c r="O16">
        <v>1.026</v>
      </c>
      <c r="W16" s="59"/>
    </row>
    <row r="17" spans="1:23">
      <c r="A17">
        <v>7</v>
      </c>
      <c r="B17" t="s">
        <v>54</v>
      </c>
      <c r="C17">
        <v>185</v>
      </c>
      <c r="D17">
        <v>34</v>
      </c>
      <c r="E17">
        <v>2</v>
      </c>
      <c r="F17">
        <v>35</v>
      </c>
      <c r="G17">
        <v>115</v>
      </c>
      <c r="H17">
        <v>110</v>
      </c>
      <c r="I17">
        <v>4</v>
      </c>
      <c r="J17">
        <v>88</v>
      </c>
      <c r="K17">
        <v>123</v>
      </c>
      <c r="L17">
        <v>0.34</v>
      </c>
      <c r="M17">
        <v>0.42899999999999999</v>
      </c>
      <c r="N17">
        <v>0.60299999999999998</v>
      </c>
      <c r="O17">
        <v>1.032</v>
      </c>
      <c r="W17" s="59"/>
    </row>
    <row r="18" spans="1:23">
      <c r="A18">
        <v>8</v>
      </c>
      <c r="B18" t="s">
        <v>55</v>
      </c>
      <c r="C18">
        <v>151</v>
      </c>
      <c r="D18">
        <v>30</v>
      </c>
      <c r="E18">
        <v>1</v>
      </c>
      <c r="F18">
        <v>37</v>
      </c>
      <c r="G18">
        <v>111</v>
      </c>
      <c r="H18">
        <v>100</v>
      </c>
      <c r="I18">
        <v>10</v>
      </c>
      <c r="J18">
        <v>60</v>
      </c>
      <c r="K18">
        <v>61</v>
      </c>
      <c r="L18">
        <v>0.33900000000000002</v>
      </c>
      <c r="M18">
        <v>0.41399999999999998</v>
      </c>
      <c r="N18">
        <v>0.66100000000000003</v>
      </c>
      <c r="O18">
        <v>1.0740000000000001</v>
      </c>
      <c r="W18" s="59"/>
    </row>
    <row r="19" spans="1:23">
      <c r="A19">
        <v>9</v>
      </c>
      <c r="B19" t="s">
        <v>56</v>
      </c>
      <c r="C19">
        <v>193</v>
      </c>
      <c r="D19">
        <v>35</v>
      </c>
      <c r="E19">
        <v>4</v>
      </c>
      <c r="F19">
        <v>20</v>
      </c>
      <c r="G19">
        <v>80</v>
      </c>
      <c r="H19">
        <v>113</v>
      </c>
      <c r="I19">
        <v>25</v>
      </c>
      <c r="J19">
        <v>87</v>
      </c>
      <c r="K19">
        <v>96</v>
      </c>
      <c r="L19">
        <v>0.33500000000000002</v>
      </c>
      <c r="M19">
        <v>0.42</v>
      </c>
      <c r="N19">
        <v>0.51400000000000001</v>
      </c>
      <c r="O19">
        <v>0.93400000000000005</v>
      </c>
      <c r="W19" s="59"/>
    </row>
    <row r="20" spans="1:23">
      <c r="A20">
        <v>10</v>
      </c>
      <c r="B20" t="s">
        <v>57</v>
      </c>
      <c r="C20">
        <v>179</v>
      </c>
      <c r="D20">
        <v>28</v>
      </c>
      <c r="E20">
        <v>3</v>
      </c>
      <c r="F20">
        <v>6</v>
      </c>
      <c r="G20">
        <v>76</v>
      </c>
      <c r="H20">
        <v>87</v>
      </c>
      <c r="I20">
        <v>15</v>
      </c>
      <c r="J20">
        <v>68</v>
      </c>
      <c r="K20">
        <v>68</v>
      </c>
      <c r="L20">
        <v>0.33200000000000002</v>
      </c>
      <c r="M20">
        <v>0.40300000000000002</v>
      </c>
      <c r="N20">
        <v>0.42899999999999999</v>
      </c>
      <c r="O20">
        <v>0.83199999999999996</v>
      </c>
      <c r="W20" s="59"/>
    </row>
    <row r="21" spans="1:23">
      <c r="A21">
        <v>11</v>
      </c>
      <c r="B21" t="s">
        <v>58</v>
      </c>
      <c r="C21">
        <v>154</v>
      </c>
      <c r="D21">
        <v>24</v>
      </c>
      <c r="E21">
        <v>4</v>
      </c>
      <c r="F21">
        <v>9</v>
      </c>
      <c r="G21">
        <v>63</v>
      </c>
      <c r="H21">
        <v>79</v>
      </c>
      <c r="I21">
        <v>8</v>
      </c>
      <c r="J21">
        <v>31</v>
      </c>
      <c r="K21">
        <v>57</v>
      </c>
      <c r="L21">
        <v>0.33200000000000002</v>
      </c>
      <c r="M21">
        <v>0.371</v>
      </c>
      <c r="N21">
        <v>0.45900000000000002</v>
      </c>
      <c r="O21">
        <v>0.83099999999999996</v>
      </c>
      <c r="W21" s="59"/>
    </row>
    <row r="22" spans="1:23">
      <c r="A22">
        <v>12</v>
      </c>
      <c r="B22" t="s">
        <v>59</v>
      </c>
      <c r="C22">
        <v>143</v>
      </c>
      <c r="D22">
        <v>26</v>
      </c>
      <c r="E22">
        <v>0</v>
      </c>
      <c r="F22">
        <v>13</v>
      </c>
      <c r="G22">
        <v>75</v>
      </c>
      <c r="H22">
        <v>71</v>
      </c>
      <c r="I22">
        <v>2</v>
      </c>
      <c r="J22">
        <v>24</v>
      </c>
      <c r="K22">
        <v>88</v>
      </c>
      <c r="L22">
        <v>0.32700000000000001</v>
      </c>
      <c r="M22">
        <v>0.35599999999999998</v>
      </c>
      <c r="N22">
        <v>0.47599999999999998</v>
      </c>
      <c r="O22">
        <v>0.83199999999999996</v>
      </c>
    </row>
    <row r="23" spans="1:23">
      <c r="A23">
        <v>13</v>
      </c>
      <c r="B23" t="s">
        <v>60</v>
      </c>
      <c r="C23">
        <v>179</v>
      </c>
      <c r="D23">
        <v>29</v>
      </c>
      <c r="E23">
        <v>8</v>
      </c>
      <c r="F23">
        <v>2</v>
      </c>
      <c r="G23">
        <v>47</v>
      </c>
      <c r="H23">
        <v>111</v>
      </c>
      <c r="I23">
        <v>12</v>
      </c>
      <c r="J23">
        <v>66</v>
      </c>
      <c r="K23">
        <v>67</v>
      </c>
      <c r="L23">
        <v>0.32400000000000001</v>
      </c>
      <c r="M23">
        <v>0.39500000000000002</v>
      </c>
      <c r="N23">
        <v>0.41699999999999998</v>
      </c>
      <c r="O23">
        <v>0.81200000000000006</v>
      </c>
    </row>
    <row r="24" spans="1:23">
      <c r="A24">
        <v>14</v>
      </c>
      <c r="B24" t="s">
        <v>61</v>
      </c>
      <c r="C24">
        <v>146</v>
      </c>
      <c r="D24">
        <v>27</v>
      </c>
      <c r="E24">
        <v>1</v>
      </c>
      <c r="F24">
        <v>18</v>
      </c>
      <c r="G24">
        <v>69</v>
      </c>
      <c r="H24">
        <v>76</v>
      </c>
      <c r="I24">
        <v>2</v>
      </c>
      <c r="J24">
        <v>37</v>
      </c>
      <c r="K24">
        <v>70</v>
      </c>
      <c r="L24">
        <v>0.32100000000000001</v>
      </c>
      <c r="M24">
        <v>0.37</v>
      </c>
      <c r="N24">
        <v>0.503</v>
      </c>
      <c r="O24">
        <v>0.874</v>
      </c>
    </row>
    <row r="25" spans="1:23">
      <c r="A25">
        <v>15</v>
      </c>
      <c r="B25" t="s">
        <v>62</v>
      </c>
      <c r="C25">
        <v>173</v>
      </c>
      <c r="D25">
        <v>13</v>
      </c>
      <c r="E25">
        <v>0</v>
      </c>
      <c r="F25">
        <v>34</v>
      </c>
      <c r="G25">
        <v>111</v>
      </c>
      <c r="H25">
        <v>73</v>
      </c>
      <c r="I25">
        <v>1</v>
      </c>
      <c r="J25">
        <v>65</v>
      </c>
      <c r="K25">
        <v>84</v>
      </c>
      <c r="L25">
        <v>0.32</v>
      </c>
      <c r="M25">
        <v>0.39100000000000001</v>
      </c>
      <c r="N25">
        <v>0.53300000000000003</v>
      </c>
      <c r="O25">
        <v>0.92500000000000004</v>
      </c>
    </row>
    <row r="26" spans="1:23">
      <c r="A26">
        <v>16</v>
      </c>
      <c r="B26" t="s">
        <v>63</v>
      </c>
      <c r="C26">
        <v>178</v>
      </c>
      <c r="D26">
        <v>26</v>
      </c>
      <c r="E26">
        <v>8</v>
      </c>
      <c r="F26">
        <v>27</v>
      </c>
      <c r="G26">
        <v>111</v>
      </c>
      <c r="H26">
        <v>118</v>
      </c>
      <c r="I26">
        <v>32</v>
      </c>
      <c r="J26">
        <v>52</v>
      </c>
      <c r="K26">
        <v>112</v>
      </c>
      <c r="L26">
        <v>0.32</v>
      </c>
      <c r="M26">
        <v>0.372</v>
      </c>
      <c r="N26">
        <v>0.54</v>
      </c>
      <c r="O26">
        <v>0.91300000000000003</v>
      </c>
    </row>
    <row r="27" spans="1:23">
      <c r="A27">
        <v>17</v>
      </c>
      <c r="B27" t="s">
        <v>64</v>
      </c>
      <c r="C27">
        <v>136</v>
      </c>
      <c r="D27">
        <v>18</v>
      </c>
      <c r="E27">
        <v>1</v>
      </c>
      <c r="F27">
        <v>46</v>
      </c>
      <c r="G27">
        <v>113</v>
      </c>
      <c r="H27">
        <v>89</v>
      </c>
      <c r="I27">
        <v>1</v>
      </c>
      <c r="J27">
        <v>89</v>
      </c>
      <c r="K27">
        <v>107</v>
      </c>
      <c r="L27">
        <v>0.316</v>
      </c>
      <c r="M27">
        <v>0.42699999999999999</v>
      </c>
      <c r="N27">
        <v>0.68400000000000005</v>
      </c>
      <c r="O27">
        <v>1.111</v>
      </c>
    </row>
    <row r="28" spans="1:23">
      <c r="A28">
        <v>18</v>
      </c>
      <c r="B28" t="s">
        <v>65</v>
      </c>
      <c r="C28">
        <v>154</v>
      </c>
      <c r="D28">
        <v>29</v>
      </c>
      <c r="E28">
        <v>2</v>
      </c>
      <c r="F28">
        <v>21</v>
      </c>
      <c r="G28">
        <v>93</v>
      </c>
      <c r="H28">
        <v>95</v>
      </c>
      <c r="I28">
        <v>7</v>
      </c>
      <c r="J28">
        <v>47</v>
      </c>
      <c r="K28">
        <v>70</v>
      </c>
      <c r="L28">
        <v>0.316</v>
      </c>
      <c r="M28">
        <v>0.373</v>
      </c>
      <c r="N28">
        <v>0.51300000000000001</v>
      </c>
      <c r="O28">
        <v>0.88600000000000001</v>
      </c>
    </row>
    <row r="29" spans="1:23">
      <c r="A29">
        <v>19</v>
      </c>
      <c r="B29" t="s">
        <v>66</v>
      </c>
      <c r="C29">
        <v>162</v>
      </c>
      <c r="D29">
        <v>38</v>
      </c>
      <c r="E29">
        <v>0</v>
      </c>
      <c r="F29">
        <v>31</v>
      </c>
      <c r="G29">
        <v>124</v>
      </c>
      <c r="H29">
        <v>90</v>
      </c>
      <c r="I29">
        <v>2</v>
      </c>
      <c r="J29">
        <v>72</v>
      </c>
      <c r="K29">
        <v>107</v>
      </c>
      <c r="L29">
        <v>0.315</v>
      </c>
      <c r="M29">
        <v>0.39600000000000002</v>
      </c>
      <c r="N29">
        <v>0.56899999999999995</v>
      </c>
      <c r="O29">
        <v>0.96499999999999997</v>
      </c>
    </row>
    <row r="30" spans="1:23">
      <c r="A30">
        <v>20</v>
      </c>
      <c r="B30" t="s">
        <v>67</v>
      </c>
      <c r="C30">
        <v>168</v>
      </c>
      <c r="D30">
        <v>30</v>
      </c>
      <c r="E30">
        <v>1</v>
      </c>
      <c r="F30">
        <v>20</v>
      </c>
      <c r="G30">
        <v>105</v>
      </c>
      <c r="H30">
        <v>90</v>
      </c>
      <c r="I30">
        <v>0</v>
      </c>
      <c r="J30">
        <v>41</v>
      </c>
      <c r="K30">
        <v>85</v>
      </c>
      <c r="L30">
        <v>0.312</v>
      </c>
      <c r="M30">
        <v>0.35699999999999998</v>
      </c>
      <c r="N30">
        <v>0.48299999999999998</v>
      </c>
      <c r="O30">
        <v>0.84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47"/>
  <sheetViews>
    <sheetView zoomScale="70" zoomScaleNormal="70" workbookViewId="0">
      <selection activeCell="Q16" sqref="Q16:Q25"/>
    </sheetView>
  </sheetViews>
  <sheetFormatPr defaultRowHeight="17.399999999999999"/>
  <cols>
    <col min="2" max="2" width="15.19921875" bestFit="1" customWidth="1"/>
  </cols>
  <sheetData>
    <row r="1" spans="1:17">
      <c r="B1" t="s">
        <v>43</v>
      </c>
      <c r="C1" s="84">
        <f>AVERAGE(C8:C47)</f>
        <v>150.125</v>
      </c>
      <c r="D1" s="84">
        <f t="shared" ref="D1:O1" si="0">AVERAGE(D8:D47)</f>
        <v>26.475000000000001</v>
      </c>
      <c r="E1" s="84">
        <f t="shared" si="0"/>
        <v>2.5</v>
      </c>
      <c r="F1" s="84">
        <f t="shared" si="0"/>
        <v>18.574999999999999</v>
      </c>
      <c r="G1" s="84">
        <f t="shared" si="0"/>
        <v>81.875</v>
      </c>
      <c r="H1" s="84">
        <f t="shared" si="0"/>
        <v>81.45</v>
      </c>
      <c r="I1" s="84">
        <f t="shared" si="0"/>
        <v>7.3</v>
      </c>
      <c r="J1" s="84">
        <f t="shared" si="0"/>
        <v>56.05</v>
      </c>
      <c r="K1" s="84">
        <f t="shared" si="0"/>
        <v>84.4</v>
      </c>
      <c r="L1" s="84">
        <f t="shared" si="0"/>
        <v>0.31690000000000007</v>
      </c>
      <c r="M1" s="84">
        <f t="shared" si="0"/>
        <v>0.38482499999999992</v>
      </c>
      <c r="N1" s="84">
        <f t="shared" si="0"/>
        <v>0.50022499999999992</v>
      </c>
      <c r="O1" s="84">
        <f t="shared" si="0"/>
        <v>0.88512500000000016</v>
      </c>
    </row>
    <row r="2" spans="1:17">
      <c r="B2" t="s">
        <v>44</v>
      </c>
      <c r="C2" s="84">
        <f>_xlfn.STDEV.S(C8:C47)</f>
        <v>22.20093264384202</v>
      </c>
      <c r="D2" s="84">
        <f t="shared" ref="D2:O2" si="1">_xlfn.STDEV.S(D8:D47)</f>
        <v>8.2586008003466986</v>
      </c>
      <c r="E2" s="84">
        <f t="shared" si="1"/>
        <v>2.6794565082283346</v>
      </c>
      <c r="F2" s="84">
        <f t="shared" si="1"/>
        <v>10.722340683991986</v>
      </c>
      <c r="G2" s="84">
        <f t="shared" si="1"/>
        <v>25.049886124926694</v>
      </c>
      <c r="H2" s="84">
        <f t="shared" si="1"/>
        <v>18.065337258307991</v>
      </c>
      <c r="I2" s="84">
        <f t="shared" si="1"/>
        <v>7.4565407529228995</v>
      </c>
      <c r="J2" s="84">
        <f t="shared" si="1"/>
        <v>20.326753874559582</v>
      </c>
      <c r="K2" s="84">
        <f t="shared" si="1"/>
        <v>23.195711363116782</v>
      </c>
      <c r="L2" s="84">
        <f t="shared" si="1"/>
        <v>2.2071910446747271E-2</v>
      </c>
      <c r="M2" s="84">
        <f t="shared" si="1"/>
        <v>3.0103145333575346E-2</v>
      </c>
      <c r="N2" s="84">
        <f t="shared" si="1"/>
        <v>7.1723646102638386E-2</v>
      </c>
      <c r="O2" s="84">
        <f t="shared" si="1"/>
        <v>9.1514378161335827E-2</v>
      </c>
      <c r="Q2" t="s">
        <v>43</v>
      </c>
    </row>
    <row r="3" spans="1:17">
      <c r="B3" t="s">
        <v>45</v>
      </c>
      <c r="C3" s="89">
        <f>COUNTIFS(C8:C47,"&lt;="&amp;C1+1*C2,C8:C47,"&gt;="&amp;C1-1*C2)/40*100</f>
        <v>52.5</v>
      </c>
      <c r="D3" s="89">
        <f t="shared" ref="D3:O3" si="2">COUNTIFS(D8:D47,"&lt;="&amp;D1+1*D2,D8:D47,"&gt;="&amp;D1-1*D2)/40*100</f>
        <v>60</v>
      </c>
      <c r="E3" s="89">
        <f t="shared" si="2"/>
        <v>85</v>
      </c>
      <c r="F3" s="89">
        <f t="shared" si="2"/>
        <v>67.5</v>
      </c>
      <c r="G3" s="89">
        <f t="shared" si="2"/>
        <v>60</v>
      </c>
      <c r="H3" s="89">
        <f t="shared" si="2"/>
        <v>67.5</v>
      </c>
      <c r="I3" s="89">
        <f t="shared" si="2"/>
        <v>82.5</v>
      </c>
      <c r="J3" s="89">
        <f t="shared" si="2"/>
        <v>65</v>
      </c>
      <c r="K3" s="89">
        <f t="shared" si="2"/>
        <v>65</v>
      </c>
      <c r="L3" s="89">
        <f t="shared" si="2"/>
        <v>65</v>
      </c>
      <c r="M3" s="89">
        <f t="shared" si="2"/>
        <v>67.5</v>
      </c>
      <c r="N3" s="89">
        <f t="shared" si="2"/>
        <v>72.5</v>
      </c>
      <c r="O3" s="89">
        <f t="shared" si="2"/>
        <v>75</v>
      </c>
      <c r="Q3" s="93">
        <f>AVERAGE(C3:O3)</f>
        <v>68.07692307692308</v>
      </c>
    </row>
    <row r="4" spans="1:17">
      <c r="B4" t="s">
        <v>46</v>
      </c>
      <c r="C4" s="89">
        <f>COUNTIFS(C8:C47,"&lt;="&amp;C1+2*C2,C8:C47,"&gt;="&amp;C1-2*C2)/40*100</f>
        <v>100</v>
      </c>
      <c r="D4" s="89">
        <f t="shared" ref="D4:O4" si="3">COUNTIFS(D8:D47,"&lt;="&amp;D1+2*D2,D8:D47,"&gt;="&amp;D1-2*D2)/40*100</f>
        <v>97.5</v>
      </c>
      <c r="E4" s="89">
        <f t="shared" si="3"/>
        <v>87.5</v>
      </c>
      <c r="F4" s="89">
        <f t="shared" si="3"/>
        <v>97.5</v>
      </c>
      <c r="G4" s="89">
        <f t="shared" si="3"/>
        <v>97.5</v>
      </c>
      <c r="H4" s="89">
        <f t="shared" si="3"/>
        <v>95</v>
      </c>
      <c r="I4" s="89">
        <f t="shared" si="3"/>
        <v>95</v>
      </c>
      <c r="J4" s="89">
        <f t="shared" si="3"/>
        <v>97.5</v>
      </c>
      <c r="K4" s="89">
        <f t="shared" si="3"/>
        <v>95</v>
      </c>
      <c r="L4" s="89">
        <f t="shared" si="3"/>
        <v>92.5</v>
      </c>
      <c r="M4" s="89">
        <f t="shared" si="3"/>
        <v>97.5</v>
      </c>
      <c r="N4" s="89">
        <f t="shared" si="3"/>
        <v>90</v>
      </c>
      <c r="O4" s="89">
        <f t="shared" si="3"/>
        <v>92.5</v>
      </c>
      <c r="Q4" s="93">
        <f>AVERAGE(C4:O4)</f>
        <v>95</v>
      </c>
    </row>
    <row r="5" spans="1:17">
      <c r="B5" t="s">
        <v>47</v>
      </c>
      <c r="C5" s="89">
        <f>COUNTIFS(C8:C47,"&lt;="&amp;C1+3*C2,C8:C47,"&gt;="&amp;C1-3*C2)/40*100</f>
        <v>100</v>
      </c>
      <c r="D5" s="89">
        <f t="shared" ref="D5:O5" si="4">COUNTIFS(D8:D47,"&lt;="&amp;D1+3*D2,D8:D47,"&gt;="&amp;D1-3*D2)/40*100</f>
        <v>100</v>
      </c>
      <c r="E5" s="89">
        <f t="shared" si="4"/>
        <v>100</v>
      </c>
      <c r="F5" s="89">
        <f t="shared" si="4"/>
        <v>100</v>
      </c>
      <c r="G5" s="89">
        <f t="shared" si="4"/>
        <v>100</v>
      </c>
      <c r="H5" s="89">
        <f t="shared" si="4"/>
        <v>100</v>
      </c>
      <c r="I5" s="89">
        <f t="shared" si="4"/>
        <v>97.5</v>
      </c>
      <c r="J5" s="89">
        <f t="shared" si="4"/>
        <v>100</v>
      </c>
      <c r="K5" s="89">
        <f t="shared" si="4"/>
        <v>100</v>
      </c>
      <c r="L5" s="89">
        <f t="shared" si="4"/>
        <v>100</v>
      </c>
      <c r="M5" s="89">
        <f t="shared" si="4"/>
        <v>100</v>
      </c>
      <c r="N5" s="89">
        <f t="shared" si="4"/>
        <v>100</v>
      </c>
      <c r="O5" s="89">
        <f t="shared" si="4"/>
        <v>100</v>
      </c>
      <c r="Q5" s="93">
        <f>AVERAGE(C5:O5)</f>
        <v>99.807692307692307</v>
      </c>
    </row>
    <row r="6" spans="1:17">
      <c r="I6">
        <f>I1-3*I2</f>
        <v>-15.0696222587687</v>
      </c>
      <c r="J6">
        <f>I1+3*I2</f>
        <v>29.669622258768701</v>
      </c>
    </row>
    <row r="7" spans="1:17">
      <c r="A7" t="s">
        <v>7</v>
      </c>
      <c r="B7" t="s">
        <v>8</v>
      </c>
      <c r="C7" t="s">
        <v>11</v>
      </c>
      <c r="D7" t="s">
        <v>12</v>
      </c>
      <c r="E7" t="s">
        <v>13</v>
      </c>
      <c r="F7" t="s">
        <v>14</v>
      </c>
      <c r="G7" t="s">
        <v>15</v>
      </c>
      <c r="H7" t="s">
        <v>16</v>
      </c>
      <c r="I7" t="s">
        <v>17</v>
      </c>
      <c r="J7" t="s">
        <v>18</v>
      </c>
      <c r="K7" t="s">
        <v>19</v>
      </c>
      <c r="L7" t="s">
        <v>20</v>
      </c>
      <c r="M7" t="s">
        <v>21</v>
      </c>
      <c r="N7" t="s">
        <v>22</v>
      </c>
      <c r="O7" t="s">
        <v>23</v>
      </c>
    </row>
    <row r="8" spans="1:17">
      <c r="A8">
        <v>1</v>
      </c>
      <c r="B8" t="s">
        <v>48</v>
      </c>
      <c r="C8">
        <v>176</v>
      </c>
      <c r="D8">
        <v>34</v>
      </c>
      <c r="E8">
        <v>1</v>
      </c>
      <c r="F8">
        <v>5</v>
      </c>
      <c r="G8">
        <v>64</v>
      </c>
      <c r="H8">
        <v>84</v>
      </c>
      <c r="I8">
        <v>4</v>
      </c>
      <c r="J8">
        <v>44</v>
      </c>
      <c r="K8">
        <v>40</v>
      </c>
      <c r="L8">
        <v>0.37</v>
      </c>
      <c r="M8">
        <v>0.42</v>
      </c>
      <c r="N8">
        <v>0.47699999999999998</v>
      </c>
      <c r="O8">
        <v>0.89700000000000002</v>
      </c>
    </row>
    <row r="9" spans="1:17">
      <c r="A9">
        <v>2</v>
      </c>
      <c r="B9" t="s">
        <v>49</v>
      </c>
      <c r="C9">
        <v>177</v>
      </c>
      <c r="D9">
        <v>40</v>
      </c>
      <c r="E9">
        <v>2</v>
      </c>
      <c r="F9">
        <v>20</v>
      </c>
      <c r="G9">
        <v>78</v>
      </c>
      <c r="H9">
        <v>91</v>
      </c>
      <c r="I9">
        <v>20</v>
      </c>
      <c r="J9">
        <v>51</v>
      </c>
      <c r="K9">
        <v>64</v>
      </c>
      <c r="L9">
        <v>0.36599999999999999</v>
      </c>
      <c r="M9">
        <v>0.42399999999999999</v>
      </c>
      <c r="N9">
        <v>0.58199999999999996</v>
      </c>
      <c r="O9">
        <v>1.006</v>
      </c>
    </row>
    <row r="10" spans="1:17">
      <c r="A10">
        <v>3</v>
      </c>
      <c r="B10" t="s">
        <v>50</v>
      </c>
      <c r="C10">
        <v>141</v>
      </c>
      <c r="D10">
        <v>25</v>
      </c>
      <c r="E10">
        <v>4</v>
      </c>
      <c r="F10">
        <v>3</v>
      </c>
      <c r="G10">
        <v>47</v>
      </c>
      <c r="H10">
        <v>84</v>
      </c>
      <c r="I10">
        <v>11</v>
      </c>
      <c r="J10">
        <v>57</v>
      </c>
      <c r="K10">
        <v>51</v>
      </c>
      <c r="L10">
        <v>0.36299999999999999</v>
      </c>
      <c r="M10">
        <v>0.441</v>
      </c>
      <c r="N10">
        <v>0.47199999999999998</v>
      </c>
      <c r="O10">
        <v>0.91300000000000003</v>
      </c>
    </row>
    <row r="11" spans="1:17">
      <c r="A11">
        <v>4</v>
      </c>
      <c r="B11" t="s">
        <v>51</v>
      </c>
      <c r="C11">
        <v>173</v>
      </c>
      <c r="D11">
        <v>42</v>
      </c>
      <c r="E11">
        <v>2</v>
      </c>
      <c r="F11">
        <v>24</v>
      </c>
      <c r="G11">
        <v>99</v>
      </c>
      <c r="H11">
        <v>103</v>
      </c>
      <c r="I11">
        <v>17</v>
      </c>
      <c r="J11">
        <v>60</v>
      </c>
      <c r="K11">
        <v>116</v>
      </c>
      <c r="L11">
        <v>0.34699999999999998</v>
      </c>
      <c r="M11">
        <v>0.41499999999999998</v>
      </c>
      <c r="N11">
        <v>0.58399999999999996</v>
      </c>
      <c r="O11">
        <v>1</v>
      </c>
    </row>
    <row r="12" spans="1:17">
      <c r="A12">
        <v>5</v>
      </c>
      <c r="B12" t="s">
        <v>52</v>
      </c>
      <c r="C12">
        <v>175</v>
      </c>
      <c r="D12">
        <v>23</v>
      </c>
      <c r="E12">
        <v>2</v>
      </c>
      <c r="F12">
        <v>14</v>
      </c>
      <c r="G12">
        <v>90</v>
      </c>
      <c r="H12">
        <v>83</v>
      </c>
      <c r="I12">
        <v>4</v>
      </c>
      <c r="J12">
        <v>78</v>
      </c>
      <c r="K12">
        <v>88</v>
      </c>
      <c r="L12">
        <v>0.34399999999999997</v>
      </c>
      <c r="M12">
        <v>0.42499999999999999</v>
      </c>
      <c r="N12">
        <v>0.47899999999999998</v>
      </c>
      <c r="O12">
        <v>0.90400000000000003</v>
      </c>
    </row>
    <row r="13" spans="1:17">
      <c r="A13">
        <v>6</v>
      </c>
      <c r="B13" t="s">
        <v>53</v>
      </c>
      <c r="C13">
        <v>176</v>
      </c>
      <c r="D13">
        <v>36</v>
      </c>
      <c r="E13">
        <v>3</v>
      </c>
      <c r="F13">
        <v>26</v>
      </c>
      <c r="G13">
        <v>120</v>
      </c>
      <c r="H13">
        <v>98</v>
      </c>
      <c r="I13">
        <v>0</v>
      </c>
      <c r="J13">
        <v>107</v>
      </c>
      <c r="K13">
        <v>82</v>
      </c>
      <c r="L13">
        <v>0.34200000000000003</v>
      </c>
      <c r="M13">
        <v>0.45</v>
      </c>
      <c r="N13">
        <v>0.57599999999999996</v>
      </c>
      <c r="O13">
        <v>1.026</v>
      </c>
    </row>
    <row r="14" spans="1:17">
      <c r="A14">
        <v>7</v>
      </c>
      <c r="B14" t="s">
        <v>54</v>
      </c>
      <c r="C14">
        <v>185</v>
      </c>
      <c r="D14">
        <v>34</v>
      </c>
      <c r="E14">
        <v>2</v>
      </c>
      <c r="F14">
        <v>35</v>
      </c>
      <c r="G14">
        <v>115</v>
      </c>
      <c r="H14">
        <v>110</v>
      </c>
      <c r="I14">
        <v>4</v>
      </c>
      <c r="J14">
        <v>88</v>
      </c>
      <c r="K14">
        <v>123</v>
      </c>
      <c r="L14">
        <v>0.34</v>
      </c>
      <c r="M14">
        <v>0.42899999999999999</v>
      </c>
      <c r="N14">
        <v>0.60299999999999998</v>
      </c>
      <c r="O14">
        <v>1.032</v>
      </c>
    </row>
    <row r="15" spans="1:17">
      <c r="A15">
        <v>8</v>
      </c>
      <c r="B15" t="s">
        <v>55</v>
      </c>
      <c r="C15">
        <v>151</v>
      </c>
      <c r="D15">
        <v>30</v>
      </c>
      <c r="E15">
        <v>1</v>
      </c>
      <c r="F15">
        <v>37</v>
      </c>
      <c r="G15">
        <v>111</v>
      </c>
      <c r="H15">
        <v>100</v>
      </c>
      <c r="I15">
        <v>10</v>
      </c>
      <c r="J15">
        <v>60</v>
      </c>
      <c r="K15">
        <v>61</v>
      </c>
      <c r="L15">
        <v>0.33900000000000002</v>
      </c>
      <c r="M15">
        <v>0.41399999999999998</v>
      </c>
      <c r="N15">
        <v>0.66100000000000003</v>
      </c>
      <c r="O15">
        <v>1.0740000000000001</v>
      </c>
    </row>
    <row r="16" spans="1:17">
      <c r="A16">
        <v>9</v>
      </c>
      <c r="B16" t="s">
        <v>56</v>
      </c>
      <c r="C16">
        <v>193</v>
      </c>
      <c r="D16">
        <v>35</v>
      </c>
      <c r="E16">
        <v>4</v>
      </c>
      <c r="F16">
        <v>20</v>
      </c>
      <c r="G16">
        <v>80</v>
      </c>
      <c r="H16">
        <v>113</v>
      </c>
      <c r="I16">
        <v>25</v>
      </c>
      <c r="J16">
        <v>87</v>
      </c>
      <c r="K16">
        <v>96</v>
      </c>
      <c r="L16">
        <v>0.33500000000000002</v>
      </c>
      <c r="M16">
        <v>0.42</v>
      </c>
      <c r="N16">
        <v>0.51400000000000001</v>
      </c>
      <c r="O16">
        <v>0.93400000000000005</v>
      </c>
    </row>
    <row r="17" spans="1:15">
      <c r="A17">
        <v>10</v>
      </c>
      <c r="B17" t="s">
        <v>57</v>
      </c>
      <c r="C17">
        <v>179</v>
      </c>
      <c r="D17">
        <v>28</v>
      </c>
      <c r="E17">
        <v>3</v>
      </c>
      <c r="F17">
        <v>6</v>
      </c>
      <c r="G17">
        <v>76</v>
      </c>
      <c r="H17">
        <v>87</v>
      </c>
      <c r="I17">
        <v>15</v>
      </c>
      <c r="J17">
        <v>68</v>
      </c>
      <c r="K17">
        <v>68</v>
      </c>
      <c r="L17">
        <v>0.33200000000000002</v>
      </c>
      <c r="M17">
        <v>0.40300000000000002</v>
      </c>
      <c r="N17">
        <v>0.42899999999999999</v>
      </c>
      <c r="O17">
        <v>0.83199999999999996</v>
      </c>
    </row>
    <row r="18" spans="1:15">
      <c r="A18">
        <v>11</v>
      </c>
      <c r="B18" t="s">
        <v>58</v>
      </c>
      <c r="C18">
        <v>154</v>
      </c>
      <c r="D18">
        <v>24</v>
      </c>
      <c r="E18">
        <v>4</v>
      </c>
      <c r="F18">
        <v>9</v>
      </c>
      <c r="G18">
        <v>63</v>
      </c>
      <c r="H18">
        <v>79</v>
      </c>
      <c r="I18">
        <v>8</v>
      </c>
      <c r="J18">
        <v>31</v>
      </c>
      <c r="K18">
        <v>57</v>
      </c>
      <c r="L18">
        <v>0.33200000000000002</v>
      </c>
      <c r="M18">
        <v>0.371</v>
      </c>
      <c r="N18">
        <v>0.45900000000000002</v>
      </c>
      <c r="O18">
        <v>0.83099999999999996</v>
      </c>
    </row>
    <row r="19" spans="1:15">
      <c r="A19">
        <v>12</v>
      </c>
      <c r="B19" t="s">
        <v>59</v>
      </c>
      <c r="C19">
        <v>143</v>
      </c>
      <c r="D19">
        <v>26</v>
      </c>
      <c r="E19">
        <v>0</v>
      </c>
      <c r="F19">
        <v>13</v>
      </c>
      <c r="G19">
        <v>75</v>
      </c>
      <c r="H19">
        <v>71</v>
      </c>
      <c r="I19">
        <v>2</v>
      </c>
      <c r="J19">
        <v>24</v>
      </c>
      <c r="K19">
        <v>88</v>
      </c>
      <c r="L19">
        <v>0.32700000000000001</v>
      </c>
      <c r="M19">
        <v>0.35599999999999998</v>
      </c>
      <c r="N19">
        <v>0.47599999999999998</v>
      </c>
      <c r="O19">
        <v>0.83199999999999996</v>
      </c>
    </row>
    <row r="20" spans="1:15">
      <c r="A20">
        <v>13</v>
      </c>
      <c r="B20" t="s">
        <v>60</v>
      </c>
      <c r="C20">
        <v>179</v>
      </c>
      <c r="D20">
        <v>29</v>
      </c>
      <c r="E20">
        <v>8</v>
      </c>
      <c r="F20">
        <v>2</v>
      </c>
      <c r="G20">
        <v>47</v>
      </c>
      <c r="H20">
        <v>111</v>
      </c>
      <c r="I20">
        <v>12</v>
      </c>
      <c r="J20">
        <v>66</v>
      </c>
      <c r="K20">
        <v>67</v>
      </c>
      <c r="L20">
        <v>0.32400000000000001</v>
      </c>
      <c r="M20">
        <v>0.39500000000000002</v>
      </c>
      <c r="N20">
        <v>0.41699999999999998</v>
      </c>
      <c r="O20">
        <v>0.81200000000000006</v>
      </c>
    </row>
    <row r="21" spans="1:15">
      <c r="A21">
        <v>14</v>
      </c>
      <c r="B21" t="s">
        <v>61</v>
      </c>
      <c r="C21">
        <v>146</v>
      </c>
      <c r="D21">
        <v>27</v>
      </c>
      <c r="E21">
        <v>1</v>
      </c>
      <c r="F21">
        <v>18</v>
      </c>
      <c r="G21">
        <v>69</v>
      </c>
      <c r="H21">
        <v>76</v>
      </c>
      <c r="I21">
        <v>2</v>
      </c>
      <c r="J21">
        <v>37</v>
      </c>
      <c r="K21">
        <v>70</v>
      </c>
      <c r="L21">
        <v>0.32100000000000001</v>
      </c>
      <c r="M21">
        <v>0.37</v>
      </c>
      <c r="N21">
        <v>0.503</v>
      </c>
      <c r="O21">
        <v>0.874</v>
      </c>
    </row>
    <row r="22" spans="1:15">
      <c r="A22">
        <v>15</v>
      </c>
      <c r="B22" t="s">
        <v>62</v>
      </c>
      <c r="C22">
        <v>173</v>
      </c>
      <c r="D22">
        <v>13</v>
      </c>
      <c r="E22">
        <v>0</v>
      </c>
      <c r="F22">
        <v>34</v>
      </c>
      <c r="G22">
        <v>111</v>
      </c>
      <c r="H22">
        <v>73</v>
      </c>
      <c r="I22">
        <v>1</v>
      </c>
      <c r="J22">
        <v>65</v>
      </c>
      <c r="K22">
        <v>84</v>
      </c>
      <c r="L22">
        <v>0.32</v>
      </c>
      <c r="M22">
        <v>0.39100000000000001</v>
      </c>
      <c r="N22">
        <v>0.53300000000000003</v>
      </c>
      <c r="O22">
        <v>0.92500000000000004</v>
      </c>
    </row>
    <row r="23" spans="1:15">
      <c r="A23">
        <v>16</v>
      </c>
      <c r="B23" t="s">
        <v>63</v>
      </c>
      <c r="C23">
        <v>178</v>
      </c>
      <c r="D23">
        <v>26</v>
      </c>
      <c r="E23">
        <v>8</v>
      </c>
      <c r="F23">
        <v>27</v>
      </c>
      <c r="G23">
        <v>111</v>
      </c>
      <c r="H23">
        <v>118</v>
      </c>
      <c r="I23">
        <v>32</v>
      </c>
      <c r="J23">
        <v>52</v>
      </c>
      <c r="K23">
        <v>112</v>
      </c>
      <c r="L23">
        <v>0.32</v>
      </c>
      <c r="M23">
        <v>0.372</v>
      </c>
      <c r="N23">
        <v>0.54</v>
      </c>
      <c r="O23">
        <v>0.91300000000000003</v>
      </c>
    </row>
    <row r="24" spans="1:15">
      <c r="A24">
        <v>17</v>
      </c>
      <c r="B24" t="s">
        <v>64</v>
      </c>
      <c r="C24">
        <v>136</v>
      </c>
      <c r="D24">
        <v>18</v>
      </c>
      <c r="E24">
        <v>1</v>
      </c>
      <c r="F24">
        <v>46</v>
      </c>
      <c r="G24">
        <v>113</v>
      </c>
      <c r="H24">
        <v>89</v>
      </c>
      <c r="I24">
        <v>1</v>
      </c>
      <c r="J24">
        <v>89</v>
      </c>
      <c r="K24">
        <v>107</v>
      </c>
      <c r="L24">
        <v>0.316</v>
      </c>
      <c r="M24">
        <v>0.42699999999999999</v>
      </c>
      <c r="N24">
        <v>0.68400000000000005</v>
      </c>
      <c r="O24">
        <v>1.111</v>
      </c>
    </row>
    <row r="25" spans="1:15">
      <c r="A25">
        <v>18</v>
      </c>
      <c r="B25" t="s">
        <v>65</v>
      </c>
      <c r="C25">
        <v>154</v>
      </c>
      <c r="D25">
        <v>29</v>
      </c>
      <c r="E25">
        <v>2</v>
      </c>
      <c r="F25">
        <v>21</v>
      </c>
      <c r="G25">
        <v>93</v>
      </c>
      <c r="H25">
        <v>95</v>
      </c>
      <c r="I25">
        <v>7</v>
      </c>
      <c r="J25">
        <v>47</v>
      </c>
      <c r="K25">
        <v>70</v>
      </c>
      <c r="L25">
        <v>0.316</v>
      </c>
      <c r="M25">
        <v>0.373</v>
      </c>
      <c r="N25">
        <v>0.51300000000000001</v>
      </c>
      <c r="O25">
        <v>0.88600000000000001</v>
      </c>
    </row>
    <row r="26" spans="1:15">
      <c r="A26">
        <v>19</v>
      </c>
      <c r="B26" t="s">
        <v>66</v>
      </c>
      <c r="C26">
        <v>162</v>
      </c>
      <c r="D26">
        <v>38</v>
      </c>
      <c r="E26">
        <v>0</v>
      </c>
      <c r="F26">
        <v>31</v>
      </c>
      <c r="G26">
        <v>124</v>
      </c>
      <c r="H26">
        <v>90</v>
      </c>
      <c r="I26">
        <v>2</v>
      </c>
      <c r="J26">
        <v>72</v>
      </c>
      <c r="K26">
        <v>107</v>
      </c>
      <c r="L26">
        <v>0.315</v>
      </c>
      <c r="M26">
        <v>0.39600000000000002</v>
      </c>
      <c r="N26">
        <v>0.56899999999999995</v>
      </c>
      <c r="O26">
        <v>0.96499999999999997</v>
      </c>
    </row>
    <row r="27" spans="1:15">
      <c r="A27">
        <v>20</v>
      </c>
      <c r="B27" t="s">
        <v>67</v>
      </c>
      <c r="C27">
        <v>168</v>
      </c>
      <c r="D27">
        <v>30</v>
      </c>
      <c r="E27">
        <v>1</v>
      </c>
      <c r="F27">
        <v>20</v>
      </c>
      <c r="G27">
        <v>105</v>
      </c>
      <c r="H27">
        <v>90</v>
      </c>
      <c r="I27">
        <v>0</v>
      </c>
      <c r="J27">
        <v>41</v>
      </c>
      <c r="K27">
        <v>85</v>
      </c>
      <c r="L27">
        <v>0.312</v>
      </c>
      <c r="M27">
        <v>0.35699999999999998</v>
      </c>
      <c r="N27">
        <v>0.48299999999999998</v>
      </c>
      <c r="O27">
        <v>0.84</v>
      </c>
    </row>
    <row r="28" spans="1:15">
      <c r="A28">
        <v>21</v>
      </c>
      <c r="B28" t="s">
        <v>68</v>
      </c>
      <c r="C28">
        <v>148</v>
      </c>
      <c r="D28">
        <v>25</v>
      </c>
      <c r="E28">
        <v>3</v>
      </c>
      <c r="F28">
        <v>17</v>
      </c>
      <c r="G28">
        <v>90</v>
      </c>
      <c r="H28">
        <v>64</v>
      </c>
      <c r="I28">
        <v>9</v>
      </c>
      <c r="J28">
        <v>41</v>
      </c>
      <c r="K28">
        <v>81</v>
      </c>
      <c r="L28">
        <v>0.312</v>
      </c>
      <c r="M28">
        <v>0.36099999999999999</v>
      </c>
      <c r="N28">
        <v>0.48499999999999999</v>
      </c>
      <c r="O28">
        <v>0.84599999999999997</v>
      </c>
    </row>
    <row r="29" spans="1:15">
      <c r="A29">
        <v>22</v>
      </c>
      <c r="B29" t="s">
        <v>69</v>
      </c>
      <c r="C29">
        <v>133</v>
      </c>
      <c r="D29">
        <v>24</v>
      </c>
      <c r="E29">
        <v>8</v>
      </c>
      <c r="F29">
        <v>8</v>
      </c>
      <c r="G29">
        <v>54</v>
      </c>
      <c r="H29">
        <v>70</v>
      </c>
      <c r="I29">
        <v>16</v>
      </c>
      <c r="J29">
        <v>25</v>
      </c>
      <c r="K29">
        <v>92</v>
      </c>
      <c r="L29">
        <v>0.312</v>
      </c>
      <c r="M29">
        <v>0.34899999999999998</v>
      </c>
      <c r="N29">
        <v>0.46200000000000002</v>
      </c>
      <c r="O29">
        <v>0.81100000000000005</v>
      </c>
    </row>
    <row r="30" spans="1:15">
      <c r="A30">
        <v>23</v>
      </c>
      <c r="B30" t="s">
        <v>70</v>
      </c>
      <c r="C30">
        <v>175</v>
      </c>
      <c r="D30">
        <v>39</v>
      </c>
      <c r="E30">
        <v>10</v>
      </c>
      <c r="F30">
        <v>21</v>
      </c>
      <c r="G30">
        <v>107</v>
      </c>
      <c r="H30">
        <v>108</v>
      </c>
      <c r="I30">
        <v>10</v>
      </c>
      <c r="J30">
        <v>73</v>
      </c>
      <c r="K30">
        <v>138</v>
      </c>
      <c r="L30">
        <v>0.31</v>
      </c>
      <c r="M30">
        <v>0.38300000000000001</v>
      </c>
      <c r="N30">
        <v>0.52700000000000002</v>
      </c>
      <c r="O30">
        <v>0.91</v>
      </c>
    </row>
    <row r="31" spans="1:15">
      <c r="A31">
        <v>24</v>
      </c>
      <c r="B31" t="s">
        <v>71</v>
      </c>
      <c r="C31">
        <v>136</v>
      </c>
      <c r="D31">
        <v>39</v>
      </c>
      <c r="E31">
        <v>2</v>
      </c>
      <c r="F31">
        <v>12</v>
      </c>
      <c r="G31">
        <v>70</v>
      </c>
      <c r="H31">
        <v>78</v>
      </c>
      <c r="I31">
        <v>9</v>
      </c>
      <c r="J31">
        <v>35</v>
      </c>
      <c r="K31">
        <v>59</v>
      </c>
      <c r="L31">
        <v>0.309</v>
      </c>
      <c r="M31">
        <v>0.35899999999999999</v>
      </c>
      <c r="N31">
        <v>0.48899999999999999</v>
      </c>
      <c r="O31">
        <v>0.84799999999999998</v>
      </c>
    </row>
    <row r="32" spans="1:15">
      <c r="A32">
        <v>25</v>
      </c>
      <c r="B32" t="s">
        <v>72</v>
      </c>
      <c r="C32">
        <v>126</v>
      </c>
      <c r="D32">
        <v>27</v>
      </c>
      <c r="E32">
        <v>0</v>
      </c>
      <c r="F32">
        <v>26</v>
      </c>
      <c r="G32">
        <v>89</v>
      </c>
      <c r="H32">
        <v>62</v>
      </c>
      <c r="I32">
        <v>1</v>
      </c>
      <c r="J32">
        <v>50</v>
      </c>
      <c r="K32">
        <v>80</v>
      </c>
      <c r="L32">
        <v>0.30599999999999999</v>
      </c>
      <c r="M32">
        <v>0.378</v>
      </c>
      <c r="N32">
        <v>0.56100000000000005</v>
      </c>
      <c r="O32">
        <v>0.93899999999999995</v>
      </c>
    </row>
    <row r="33" spans="1:15">
      <c r="A33">
        <v>26</v>
      </c>
      <c r="B33" t="s">
        <v>73</v>
      </c>
      <c r="C33">
        <v>136</v>
      </c>
      <c r="D33">
        <v>19</v>
      </c>
      <c r="E33">
        <v>0</v>
      </c>
      <c r="F33">
        <v>13</v>
      </c>
      <c r="G33">
        <v>68</v>
      </c>
      <c r="H33">
        <v>52</v>
      </c>
      <c r="I33">
        <v>0</v>
      </c>
      <c r="J33">
        <v>47</v>
      </c>
      <c r="K33">
        <v>59</v>
      </c>
      <c r="L33">
        <v>0.30599999999999999</v>
      </c>
      <c r="M33">
        <v>0.37</v>
      </c>
      <c r="N33">
        <v>0.436</v>
      </c>
      <c r="O33">
        <v>0.80600000000000005</v>
      </c>
    </row>
    <row r="34" spans="1:15">
      <c r="A34">
        <v>27</v>
      </c>
      <c r="B34" t="s">
        <v>74</v>
      </c>
      <c r="C34">
        <v>136</v>
      </c>
      <c r="D34">
        <v>21</v>
      </c>
      <c r="E34">
        <v>0</v>
      </c>
      <c r="F34">
        <v>14</v>
      </c>
      <c r="G34">
        <v>71</v>
      </c>
      <c r="H34">
        <v>73</v>
      </c>
      <c r="I34">
        <v>3</v>
      </c>
      <c r="J34">
        <v>66</v>
      </c>
      <c r="K34">
        <v>74</v>
      </c>
      <c r="L34">
        <v>0.30399999999999999</v>
      </c>
      <c r="M34">
        <v>0.38900000000000001</v>
      </c>
      <c r="N34">
        <v>0.44500000000000001</v>
      </c>
      <c r="O34">
        <v>0.83399999999999996</v>
      </c>
    </row>
    <row r="35" spans="1:15">
      <c r="A35">
        <v>28</v>
      </c>
      <c r="B35" t="s">
        <v>75</v>
      </c>
      <c r="C35">
        <v>125</v>
      </c>
      <c r="D35">
        <v>9</v>
      </c>
      <c r="E35">
        <v>3</v>
      </c>
      <c r="F35">
        <v>0</v>
      </c>
      <c r="G35">
        <v>24</v>
      </c>
      <c r="H35">
        <v>58</v>
      </c>
      <c r="I35">
        <v>12</v>
      </c>
      <c r="J35">
        <v>26</v>
      </c>
      <c r="K35">
        <v>57</v>
      </c>
      <c r="L35">
        <v>0.30299999999999999</v>
      </c>
      <c r="M35">
        <v>0.34399999999999997</v>
      </c>
      <c r="N35">
        <v>0.34</v>
      </c>
      <c r="O35">
        <v>0.68400000000000005</v>
      </c>
    </row>
    <row r="36" spans="1:15">
      <c r="A36">
        <v>29</v>
      </c>
      <c r="B36" t="s">
        <v>76</v>
      </c>
      <c r="C36">
        <v>128</v>
      </c>
      <c r="D36">
        <v>38</v>
      </c>
      <c r="E36">
        <v>0</v>
      </c>
      <c r="F36">
        <v>15</v>
      </c>
      <c r="G36">
        <v>57</v>
      </c>
      <c r="H36">
        <v>71</v>
      </c>
      <c r="I36">
        <v>10</v>
      </c>
      <c r="J36">
        <v>40</v>
      </c>
      <c r="K36">
        <v>100</v>
      </c>
      <c r="L36">
        <v>0.30299999999999999</v>
      </c>
      <c r="M36">
        <v>0.36099999999999999</v>
      </c>
      <c r="N36">
        <v>0.499</v>
      </c>
      <c r="O36">
        <v>0.85899999999999999</v>
      </c>
    </row>
    <row r="37" spans="1:15">
      <c r="A37">
        <v>30</v>
      </c>
      <c r="B37" t="s">
        <v>77</v>
      </c>
      <c r="C37">
        <v>159</v>
      </c>
      <c r="D37">
        <v>36</v>
      </c>
      <c r="E37">
        <v>3</v>
      </c>
      <c r="F37">
        <v>23</v>
      </c>
      <c r="G37">
        <v>114</v>
      </c>
      <c r="H37">
        <v>90</v>
      </c>
      <c r="I37">
        <v>16</v>
      </c>
      <c r="J37">
        <v>66</v>
      </c>
      <c r="K37">
        <v>65</v>
      </c>
      <c r="L37">
        <v>0.30199999999999999</v>
      </c>
      <c r="M37">
        <v>0.376</v>
      </c>
      <c r="N37">
        <v>0.51300000000000001</v>
      </c>
      <c r="O37">
        <v>0.88900000000000001</v>
      </c>
    </row>
    <row r="38" spans="1:15">
      <c r="A38">
        <v>31</v>
      </c>
      <c r="B38" t="s">
        <v>78</v>
      </c>
      <c r="C38">
        <v>120</v>
      </c>
      <c r="D38">
        <v>16</v>
      </c>
      <c r="E38">
        <v>6</v>
      </c>
      <c r="F38">
        <v>7</v>
      </c>
      <c r="G38">
        <v>57</v>
      </c>
      <c r="H38">
        <v>65</v>
      </c>
      <c r="I38">
        <v>3</v>
      </c>
      <c r="J38">
        <v>47</v>
      </c>
      <c r="K38">
        <v>58</v>
      </c>
      <c r="L38">
        <v>0.30099999999999999</v>
      </c>
      <c r="M38">
        <v>0.37</v>
      </c>
      <c r="N38">
        <v>0.42399999999999999</v>
      </c>
      <c r="O38">
        <v>0.79400000000000004</v>
      </c>
    </row>
    <row r="39" spans="1:15">
      <c r="A39">
        <v>32</v>
      </c>
      <c r="B39" t="s">
        <v>79</v>
      </c>
      <c r="C39">
        <v>138</v>
      </c>
      <c r="D39">
        <v>20</v>
      </c>
      <c r="E39">
        <v>3</v>
      </c>
      <c r="F39">
        <v>27</v>
      </c>
      <c r="G39">
        <v>94</v>
      </c>
      <c r="H39">
        <v>85</v>
      </c>
      <c r="I39">
        <v>1</v>
      </c>
      <c r="J39">
        <v>85</v>
      </c>
      <c r="K39">
        <v>105</v>
      </c>
      <c r="L39">
        <v>0.30099999999999999</v>
      </c>
      <c r="M39">
        <v>0.40500000000000003</v>
      </c>
      <c r="N39">
        <v>0.53400000000000003</v>
      </c>
      <c r="O39">
        <v>0.93799999999999994</v>
      </c>
    </row>
    <row r="40" spans="1:15">
      <c r="A40">
        <v>33</v>
      </c>
      <c r="B40" t="s">
        <v>80</v>
      </c>
      <c r="C40">
        <v>131</v>
      </c>
      <c r="D40">
        <v>24</v>
      </c>
      <c r="E40">
        <v>0</v>
      </c>
      <c r="F40">
        <v>35</v>
      </c>
      <c r="G40">
        <v>111</v>
      </c>
      <c r="H40">
        <v>91</v>
      </c>
      <c r="I40">
        <v>4</v>
      </c>
      <c r="J40">
        <v>77</v>
      </c>
      <c r="K40">
        <v>134</v>
      </c>
      <c r="L40">
        <v>0.3</v>
      </c>
      <c r="M40">
        <v>0.40200000000000002</v>
      </c>
      <c r="N40">
        <v>0.59499999999999997</v>
      </c>
      <c r="O40">
        <v>0.997</v>
      </c>
    </row>
    <row r="41" spans="1:15">
      <c r="A41">
        <v>34</v>
      </c>
      <c r="B41" t="s">
        <v>81</v>
      </c>
      <c r="C41">
        <v>152</v>
      </c>
      <c r="D41">
        <v>19</v>
      </c>
      <c r="E41">
        <v>0</v>
      </c>
      <c r="F41">
        <v>27</v>
      </c>
      <c r="G41">
        <v>90</v>
      </c>
      <c r="H41">
        <v>82</v>
      </c>
      <c r="I41">
        <v>2</v>
      </c>
      <c r="J41">
        <v>64</v>
      </c>
      <c r="K41">
        <v>114</v>
      </c>
      <c r="L41">
        <v>0.29599999999999999</v>
      </c>
      <c r="M41">
        <v>0.372</v>
      </c>
      <c r="N41">
        <v>0.49</v>
      </c>
      <c r="O41">
        <v>0.86199999999999999</v>
      </c>
    </row>
    <row r="42" spans="1:15">
      <c r="A42">
        <v>35</v>
      </c>
      <c r="B42" t="s">
        <v>82</v>
      </c>
      <c r="C42">
        <v>114</v>
      </c>
      <c r="D42">
        <v>17</v>
      </c>
      <c r="E42">
        <v>1</v>
      </c>
      <c r="F42">
        <v>2</v>
      </c>
      <c r="G42">
        <v>35</v>
      </c>
      <c r="H42">
        <v>49</v>
      </c>
      <c r="I42">
        <v>9</v>
      </c>
      <c r="J42">
        <v>50</v>
      </c>
      <c r="K42">
        <v>73</v>
      </c>
      <c r="L42">
        <v>0.29199999999999998</v>
      </c>
      <c r="M42">
        <v>0.372</v>
      </c>
      <c r="N42">
        <v>0.35599999999999998</v>
      </c>
      <c r="O42">
        <v>0.72799999999999998</v>
      </c>
    </row>
    <row r="43" spans="1:15">
      <c r="A43">
        <v>36</v>
      </c>
      <c r="B43" t="s">
        <v>83</v>
      </c>
      <c r="C43">
        <v>122</v>
      </c>
      <c r="D43">
        <v>24</v>
      </c>
      <c r="E43">
        <v>1</v>
      </c>
      <c r="F43">
        <v>19</v>
      </c>
      <c r="G43">
        <v>65</v>
      </c>
      <c r="H43">
        <v>69</v>
      </c>
      <c r="I43">
        <v>0</v>
      </c>
      <c r="J43">
        <v>24</v>
      </c>
      <c r="K43">
        <v>85</v>
      </c>
      <c r="L43">
        <v>0.29099999999999998</v>
      </c>
      <c r="M43">
        <v>0.32900000000000001</v>
      </c>
      <c r="N43">
        <v>0.48899999999999999</v>
      </c>
      <c r="O43">
        <v>0.81799999999999995</v>
      </c>
    </row>
    <row r="44" spans="1:15">
      <c r="A44">
        <v>37</v>
      </c>
      <c r="B44" t="s">
        <v>84</v>
      </c>
      <c r="C44">
        <v>119</v>
      </c>
      <c r="D44">
        <v>15</v>
      </c>
      <c r="E44">
        <v>0</v>
      </c>
      <c r="F44">
        <v>14</v>
      </c>
      <c r="G44">
        <v>82</v>
      </c>
      <c r="H44">
        <v>43</v>
      </c>
      <c r="I44">
        <v>0</v>
      </c>
      <c r="J44">
        <v>50</v>
      </c>
      <c r="K44">
        <v>89</v>
      </c>
      <c r="L44">
        <v>0.29099999999999998</v>
      </c>
      <c r="M44">
        <v>0.36399999999999999</v>
      </c>
      <c r="N44">
        <v>0.43</v>
      </c>
      <c r="O44">
        <v>0.79500000000000004</v>
      </c>
    </row>
    <row r="45" spans="1:15">
      <c r="A45">
        <v>38</v>
      </c>
      <c r="B45" t="s">
        <v>85</v>
      </c>
      <c r="C45">
        <v>135</v>
      </c>
      <c r="D45">
        <v>20</v>
      </c>
      <c r="E45">
        <v>2</v>
      </c>
      <c r="F45">
        <v>19</v>
      </c>
      <c r="G45">
        <v>86</v>
      </c>
      <c r="H45">
        <v>72</v>
      </c>
      <c r="I45">
        <v>3</v>
      </c>
      <c r="J45">
        <v>68</v>
      </c>
      <c r="K45">
        <v>90</v>
      </c>
      <c r="L45">
        <v>0.28599999999999998</v>
      </c>
      <c r="M45">
        <v>0.371</v>
      </c>
      <c r="N45">
        <v>0.45800000000000002</v>
      </c>
      <c r="O45">
        <v>0.82899999999999996</v>
      </c>
    </row>
    <row r="46" spans="1:15">
      <c r="A46">
        <v>39</v>
      </c>
      <c r="B46" t="s">
        <v>86</v>
      </c>
      <c r="C46">
        <v>130</v>
      </c>
      <c r="D46">
        <v>22</v>
      </c>
      <c r="E46">
        <v>1</v>
      </c>
      <c r="F46">
        <v>22</v>
      </c>
      <c r="G46">
        <v>68</v>
      </c>
      <c r="H46">
        <v>62</v>
      </c>
      <c r="I46">
        <v>0</v>
      </c>
      <c r="J46">
        <v>56</v>
      </c>
      <c r="K46">
        <v>104</v>
      </c>
      <c r="L46">
        <v>0.28499999999999998</v>
      </c>
      <c r="M46">
        <v>0.36099999999999999</v>
      </c>
      <c r="N46">
        <v>0.48199999999999998</v>
      </c>
      <c r="O46">
        <v>0.84399999999999997</v>
      </c>
    </row>
    <row r="47" spans="1:15">
      <c r="A47">
        <v>40</v>
      </c>
      <c r="B47" t="s">
        <v>87</v>
      </c>
      <c r="C47">
        <v>123</v>
      </c>
      <c r="D47">
        <v>18</v>
      </c>
      <c r="E47">
        <v>8</v>
      </c>
      <c r="F47">
        <v>11</v>
      </c>
      <c r="G47">
        <v>52</v>
      </c>
      <c r="H47">
        <v>69</v>
      </c>
      <c r="I47">
        <v>7</v>
      </c>
      <c r="J47">
        <v>28</v>
      </c>
      <c r="K47">
        <v>83</v>
      </c>
      <c r="L47">
        <v>0.28499999999999998</v>
      </c>
      <c r="M47">
        <v>0.32800000000000001</v>
      </c>
      <c r="N47">
        <v>0.44</v>
      </c>
      <c r="O47">
        <v>0.76700000000000002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60"/>
  <sheetViews>
    <sheetView zoomScale="85" zoomScaleNormal="85" workbookViewId="0">
      <selection activeCell="I17" sqref="I17"/>
    </sheetView>
  </sheetViews>
  <sheetFormatPr defaultRowHeight="17.399999999999999"/>
  <sheetData>
    <row r="1" spans="1:7">
      <c r="A1" s="110" t="s">
        <v>0</v>
      </c>
      <c r="B1" s="110"/>
      <c r="C1" s="110"/>
      <c r="D1" s="2"/>
      <c r="E1" s="110" t="s">
        <v>1</v>
      </c>
      <c r="F1" s="110"/>
      <c r="G1" s="110"/>
    </row>
    <row r="2" spans="1:7">
      <c r="A2" s="3" t="s">
        <v>2</v>
      </c>
      <c r="B2" s="3" t="s">
        <v>3</v>
      </c>
      <c r="C2" s="3" t="s">
        <v>4</v>
      </c>
      <c r="D2" s="2"/>
      <c r="E2" s="3" t="s">
        <v>2</v>
      </c>
      <c r="F2" s="87" t="s">
        <v>3</v>
      </c>
      <c r="G2" s="87" t="s">
        <v>4</v>
      </c>
    </row>
    <row r="3" spans="1:7">
      <c r="A3" s="3" t="s">
        <v>5</v>
      </c>
      <c r="B3" s="3">
        <v>178</v>
      </c>
      <c r="C3" s="3">
        <v>80</v>
      </c>
      <c r="D3" s="3"/>
      <c r="E3" s="3" t="s">
        <v>5</v>
      </c>
      <c r="F3" s="85">
        <f>(B3-B$23)/B$24</f>
        <v>-0.92720089114350912</v>
      </c>
      <c r="G3" s="85">
        <f t="shared" ref="G3:G22" si="0">(C3-C$23)/C$24</f>
        <v>-0.90907248138571384</v>
      </c>
    </row>
    <row r="4" spans="1:7">
      <c r="A4" s="3" t="s">
        <v>6</v>
      </c>
      <c r="B4" s="3">
        <v>184</v>
      </c>
      <c r="C4" s="3">
        <v>80</v>
      </c>
      <c r="D4" s="3"/>
      <c r="E4" s="3" t="s">
        <v>6</v>
      </c>
      <c r="F4" s="85">
        <f t="shared" ref="F4:F22" si="1">(B4-B$23)/B$24</f>
        <v>0.23180022278587456</v>
      </c>
      <c r="G4" s="85">
        <f t="shared" si="0"/>
        <v>-0.90907248138571384</v>
      </c>
    </row>
    <row r="5" spans="1:7">
      <c r="A5" s="3" t="s">
        <v>24</v>
      </c>
      <c r="B5" s="3">
        <v>188</v>
      </c>
      <c r="C5" s="3">
        <v>100</v>
      </c>
      <c r="D5" s="3"/>
      <c r="E5" s="3" t="s">
        <v>24</v>
      </c>
      <c r="F5" s="85">
        <f t="shared" si="1"/>
        <v>1.0044676320721304</v>
      </c>
      <c r="G5" s="85">
        <f t="shared" si="0"/>
        <v>0.76663716172159369</v>
      </c>
    </row>
    <row r="6" spans="1:7">
      <c r="A6" s="3" t="s">
        <v>26</v>
      </c>
      <c r="B6" s="3">
        <v>180</v>
      </c>
      <c r="C6" s="3">
        <v>90</v>
      </c>
      <c r="D6" s="3"/>
      <c r="E6" s="3" t="s">
        <v>26</v>
      </c>
      <c r="F6" s="85">
        <f t="shared" si="1"/>
        <v>-0.54086718650038124</v>
      </c>
      <c r="G6" s="85">
        <f t="shared" si="0"/>
        <v>-7.121765983206009E-2</v>
      </c>
    </row>
    <row r="7" spans="1:7">
      <c r="A7" s="3" t="s">
        <v>27</v>
      </c>
      <c r="B7" s="3">
        <v>185</v>
      </c>
      <c r="C7" s="3">
        <v>90</v>
      </c>
      <c r="D7" s="3"/>
      <c r="E7" s="3" t="s">
        <v>27</v>
      </c>
      <c r="F7" s="85">
        <f t="shared" si="1"/>
        <v>0.42496707510743847</v>
      </c>
      <c r="G7" s="85">
        <f t="shared" si="0"/>
        <v>-7.121765983206009E-2</v>
      </c>
    </row>
    <row r="8" spans="1:7">
      <c r="A8" s="3" t="s">
        <v>28</v>
      </c>
      <c r="B8" s="3">
        <v>178</v>
      </c>
      <c r="C8" s="3">
        <v>94</v>
      </c>
      <c r="D8" s="3"/>
      <c r="E8" s="3" t="s">
        <v>28</v>
      </c>
      <c r="F8" s="85">
        <f t="shared" si="1"/>
        <v>-0.92720089114350912</v>
      </c>
      <c r="G8" s="85">
        <f t="shared" si="0"/>
        <v>0.2639242687894014</v>
      </c>
    </row>
    <row r="9" spans="1:7">
      <c r="A9" s="3" t="s">
        <v>29</v>
      </c>
      <c r="B9" s="3">
        <v>183</v>
      </c>
      <c r="C9" s="3">
        <v>90</v>
      </c>
      <c r="D9" s="3"/>
      <c r="E9" s="3" t="s">
        <v>29</v>
      </c>
      <c r="F9" s="85">
        <f t="shared" si="1"/>
        <v>3.8633370464310597E-2</v>
      </c>
      <c r="G9" s="85">
        <f t="shared" si="0"/>
        <v>-7.121765983206009E-2</v>
      </c>
    </row>
    <row r="10" spans="1:7">
      <c r="A10" s="3" t="s">
        <v>30</v>
      </c>
      <c r="B10" s="3">
        <v>180</v>
      </c>
      <c r="C10" s="3">
        <v>100</v>
      </c>
      <c r="D10" s="3"/>
      <c r="E10" s="3" t="s">
        <v>30</v>
      </c>
      <c r="F10" s="85">
        <f t="shared" si="1"/>
        <v>-0.54086718650038124</v>
      </c>
      <c r="G10" s="85">
        <f t="shared" si="0"/>
        <v>0.76663716172159369</v>
      </c>
    </row>
    <row r="11" spans="1:7">
      <c r="A11" s="3" t="s">
        <v>31</v>
      </c>
      <c r="B11" s="3">
        <v>175</v>
      </c>
      <c r="C11" s="3">
        <v>85</v>
      </c>
      <c r="D11" s="3"/>
      <c r="E11" s="3" t="s">
        <v>31</v>
      </c>
      <c r="F11" s="85">
        <f t="shared" si="1"/>
        <v>-1.5067014481082011</v>
      </c>
      <c r="G11" s="85">
        <f t="shared" si="0"/>
        <v>-0.49014507060888696</v>
      </c>
    </row>
    <row r="12" spans="1:7">
      <c r="A12" s="3" t="s">
        <v>32</v>
      </c>
      <c r="B12" s="3">
        <v>176</v>
      </c>
      <c r="C12" s="3">
        <v>84</v>
      </c>
      <c r="D12" s="3"/>
      <c r="E12" s="3" t="s">
        <v>32</v>
      </c>
      <c r="F12" s="85">
        <f t="shared" si="1"/>
        <v>-1.3135345957866371</v>
      </c>
      <c r="G12" s="85">
        <f t="shared" si="0"/>
        <v>-0.57393055276425231</v>
      </c>
    </row>
    <row r="13" spans="1:7">
      <c r="A13" s="3" t="s">
        <v>33</v>
      </c>
      <c r="B13" s="3">
        <v>183</v>
      </c>
      <c r="C13" s="3">
        <v>80</v>
      </c>
      <c r="D13" s="3"/>
      <c r="E13" s="3" t="s">
        <v>33</v>
      </c>
      <c r="F13" s="85">
        <f t="shared" si="1"/>
        <v>3.8633370464310597E-2</v>
      </c>
      <c r="G13" s="85">
        <f t="shared" si="0"/>
        <v>-0.90907248138571384</v>
      </c>
    </row>
    <row r="14" spans="1:7">
      <c r="A14" s="3" t="s">
        <v>34</v>
      </c>
      <c r="B14" s="3">
        <v>183</v>
      </c>
      <c r="C14" s="3">
        <v>81</v>
      </c>
      <c r="D14" s="3"/>
      <c r="E14" s="3" t="s">
        <v>34</v>
      </c>
      <c r="F14" s="85">
        <f t="shared" si="1"/>
        <v>3.8633370464310597E-2</v>
      </c>
      <c r="G14" s="85">
        <f t="shared" si="0"/>
        <v>-0.82528699923034843</v>
      </c>
    </row>
    <row r="15" spans="1:7">
      <c r="A15" s="3" t="s">
        <v>35</v>
      </c>
      <c r="B15" s="3">
        <v>185</v>
      </c>
      <c r="C15" s="3">
        <v>78</v>
      </c>
      <c r="D15" s="3"/>
      <c r="E15" s="3" t="s">
        <v>35</v>
      </c>
      <c r="F15" s="85">
        <f t="shared" si="1"/>
        <v>0.42496707510743847</v>
      </c>
      <c r="G15" s="85">
        <f t="shared" si="0"/>
        <v>-1.0766434456964447</v>
      </c>
    </row>
    <row r="16" spans="1:7">
      <c r="A16" s="3" t="s">
        <v>36</v>
      </c>
      <c r="B16" s="3">
        <v>184</v>
      </c>
      <c r="C16" s="3">
        <v>91</v>
      </c>
      <c r="D16" s="3"/>
      <c r="E16" s="3" t="s">
        <v>36</v>
      </c>
      <c r="F16" s="85">
        <f t="shared" si="1"/>
        <v>0.23180022278587456</v>
      </c>
      <c r="G16" s="85">
        <f t="shared" si="0"/>
        <v>1.2567822323305283E-2</v>
      </c>
    </row>
    <row r="17" spans="1:7">
      <c r="A17" s="3" t="s">
        <v>37</v>
      </c>
      <c r="B17" s="3">
        <v>194</v>
      </c>
      <c r="C17" s="3">
        <v>130</v>
      </c>
      <c r="D17" s="3"/>
      <c r="E17" s="3" t="s">
        <v>37</v>
      </c>
      <c r="F17" s="85">
        <f t="shared" si="1"/>
        <v>2.1634687460015143</v>
      </c>
      <c r="G17" s="85">
        <f t="shared" si="0"/>
        <v>3.2802016263825546</v>
      </c>
    </row>
    <row r="18" spans="1:7">
      <c r="A18" s="3" t="s">
        <v>38</v>
      </c>
      <c r="B18" s="3">
        <v>190</v>
      </c>
      <c r="C18" s="3">
        <v>95</v>
      </c>
      <c r="D18" s="3"/>
      <c r="E18" s="3" t="s">
        <v>38</v>
      </c>
      <c r="F18" s="85">
        <f t="shared" si="1"/>
        <v>1.3908013367152583</v>
      </c>
      <c r="G18" s="85">
        <f t="shared" si="0"/>
        <v>0.3477097509447668</v>
      </c>
    </row>
    <row r="19" spans="1:7">
      <c r="A19" s="3" t="s">
        <v>39</v>
      </c>
      <c r="B19" s="3">
        <v>180</v>
      </c>
      <c r="C19" s="3">
        <v>84</v>
      </c>
      <c r="D19" s="3"/>
      <c r="E19" s="3" t="s">
        <v>39</v>
      </c>
      <c r="F19" s="85">
        <f t="shared" si="1"/>
        <v>-0.54086718650038124</v>
      </c>
      <c r="G19" s="85">
        <f t="shared" si="0"/>
        <v>-0.57393055276425231</v>
      </c>
    </row>
    <row r="20" spans="1:7">
      <c r="A20" s="3" t="s">
        <v>40</v>
      </c>
      <c r="B20" s="3">
        <v>178</v>
      </c>
      <c r="C20" s="3">
        <v>94</v>
      </c>
      <c r="D20" s="3"/>
      <c r="E20" s="3" t="s">
        <v>40</v>
      </c>
      <c r="F20" s="85">
        <f t="shared" si="1"/>
        <v>-0.92720089114350912</v>
      </c>
      <c r="G20" s="85">
        <f t="shared" si="0"/>
        <v>0.2639242687894014</v>
      </c>
    </row>
    <row r="21" spans="1:7">
      <c r="A21" s="3" t="s">
        <v>41</v>
      </c>
      <c r="B21" s="3">
        <v>192</v>
      </c>
      <c r="C21" s="3">
        <v>105</v>
      </c>
      <c r="D21" s="3"/>
      <c r="E21" s="3" t="s">
        <v>41</v>
      </c>
      <c r="F21" s="85">
        <f t="shared" si="1"/>
        <v>1.7771350413583862</v>
      </c>
      <c r="G21" s="85">
        <f t="shared" si="0"/>
        <v>1.1855645724984205</v>
      </c>
    </row>
    <row r="22" spans="1:7">
      <c r="A22" s="3" t="s">
        <v>42</v>
      </c>
      <c r="B22" s="3">
        <v>180</v>
      </c>
      <c r="C22" s="3">
        <v>86</v>
      </c>
      <c r="D22" s="3"/>
      <c r="E22" s="3" t="s">
        <v>42</v>
      </c>
      <c r="F22" s="85">
        <f t="shared" si="1"/>
        <v>-0.54086718650038124</v>
      </c>
      <c r="G22" s="85">
        <f t="shared" si="0"/>
        <v>-0.4063595884535216</v>
      </c>
    </row>
    <row r="23" spans="1:7">
      <c r="A23" s="3" t="s">
        <v>43</v>
      </c>
      <c r="B23" s="85">
        <f>AVERAGE(B3:B22)</f>
        <v>182.8</v>
      </c>
      <c r="C23" s="85">
        <f>AVERAGE(C3:C22)</f>
        <v>90.85</v>
      </c>
      <c r="D23" s="3"/>
      <c r="E23" s="3" t="s">
        <v>43</v>
      </c>
      <c r="F23" s="85">
        <f>AVERAGE(F3:F22)</f>
        <v>-2.1815882433884324E-15</v>
      </c>
      <c r="G23" s="85">
        <f>AVERAGE(G3:G22)</f>
        <v>4.5519144009631414E-16</v>
      </c>
    </row>
    <row r="24" spans="1:7">
      <c r="A24" s="3" t="s">
        <v>44</v>
      </c>
      <c r="B24" s="85">
        <f>_xlfn.STDEV.S(B3:B22)</f>
        <v>5.1768716422179137</v>
      </c>
      <c r="C24" s="85">
        <f>_xlfn.STDEV.S(C3:C22)</f>
        <v>11.935241933031747</v>
      </c>
      <c r="D24" s="3"/>
      <c r="E24" s="3" t="s">
        <v>44</v>
      </c>
      <c r="F24" s="85">
        <f>_xlfn.STDEV.S(F3:F22)</f>
        <v>1</v>
      </c>
      <c r="G24" s="85">
        <f>_xlfn.STDEV.S(G3:G22)</f>
        <v>1.0000000000000022</v>
      </c>
    </row>
    <row r="25" spans="1:7">
      <c r="A25" s="3"/>
      <c r="B25" s="3"/>
      <c r="C25" s="3"/>
      <c r="D25" s="3"/>
      <c r="E25" s="3"/>
      <c r="F25" s="3"/>
      <c r="G25" s="3"/>
    </row>
    <row r="26" spans="1:7">
      <c r="A26" s="5"/>
      <c r="B26" s="5"/>
      <c r="C26" s="5"/>
      <c r="D26" s="5"/>
    </row>
    <row r="27" spans="1:7">
      <c r="A27" s="5"/>
      <c r="B27" s="5"/>
      <c r="C27" s="5"/>
      <c r="D27" s="5"/>
    </row>
    <row r="28" spans="1:7">
      <c r="A28" s="5"/>
      <c r="B28" s="5"/>
      <c r="C28" s="5"/>
      <c r="D28" s="5"/>
    </row>
    <row r="46" spans="1:7">
      <c r="A46" s="3" t="s">
        <v>8</v>
      </c>
      <c r="B46" s="3" t="s">
        <v>9</v>
      </c>
      <c r="C46" s="3" t="s">
        <v>10</v>
      </c>
      <c r="D46" s="2"/>
      <c r="E46" s="3" t="str">
        <f>$A46</f>
        <v>선수</v>
      </c>
      <c r="F46" s="3" t="str">
        <f t="shared" ref="F46:G48" si="2">$A46</f>
        <v>선수</v>
      </c>
      <c r="G46" s="3" t="str">
        <f t="shared" si="2"/>
        <v>선수</v>
      </c>
    </row>
    <row r="47" spans="1:7">
      <c r="A47" s="3" t="s">
        <v>25</v>
      </c>
      <c r="B47" s="3">
        <v>178</v>
      </c>
      <c r="C47" s="3">
        <v>80</v>
      </c>
      <c r="D47" s="3"/>
      <c r="E47" s="3" t="str">
        <f>$A47</f>
        <v>김선빈</v>
      </c>
      <c r="F47" s="3" t="str">
        <f t="shared" si="2"/>
        <v>김선빈</v>
      </c>
      <c r="G47" s="3" t="str">
        <f t="shared" si="2"/>
        <v>김선빈</v>
      </c>
    </row>
    <row r="48" spans="1:7">
      <c r="A48" s="3" t="s">
        <v>6</v>
      </c>
      <c r="B48" s="3">
        <v>184</v>
      </c>
      <c r="C48" s="3">
        <v>80</v>
      </c>
      <c r="D48" s="3"/>
      <c r="E48" s="3" t="str">
        <f>$A48</f>
        <v>박건우</v>
      </c>
      <c r="F48" s="3" t="str">
        <f t="shared" si="2"/>
        <v>박건우</v>
      </c>
      <c r="G48" s="3" t="str">
        <f t="shared" si="2"/>
        <v>박건우</v>
      </c>
    </row>
    <row r="50" spans="1:7">
      <c r="A50" s="3" t="s">
        <v>8</v>
      </c>
      <c r="B50" s="3" t="s">
        <v>9</v>
      </c>
      <c r="C50" s="3" t="s">
        <v>10</v>
      </c>
      <c r="D50" s="2"/>
      <c r="E50" s="3"/>
      <c r="F50" s="3"/>
      <c r="G50" s="3"/>
    </row>
    <row r="51" spans="1:7">
      <c r="A51" s="3" t="s">
        <v>25</v>
      </c>
      <c r="B51" s="3">
        <v>178</v>
      </c>
      <c r="C51" s="3">
        <v>80</v>
      </c>
      <c r="D51" s="3"/>
      <c r="E51" s="3"/>
      <c r="F51" s="3"/>
      <c r="G51" s="3"/>
    </row>
    <row r="52" spans="1:7">
      <c r="A52" s="3" t="s">
        <v>6</v>
      </c>
      <c r="B52" s="3">
        <v>184</v>
      </c>
      <c r="C52" s="3">
        <v>80</v>
      </c>
      <c r="D52" s="3"/>
      <c r="E52" s="3"/>
      <c r="F52" s="3"/>
      <c r="G52" s="3"/>
    </row>
    <row r="54" spans="1:7">
      <c r="A54" s="3" t="s">
        <v>8</v>
      </c>
      <c r="B54" s="3" t="s">
        <v>9</v>
      </c>
      <c r="C54" s="3" t="s">
        <v>10</v>
      </c>
      <c r="D54" s="2"/>
      <c r="E54" s="3" t="str">
        <f>A$54</f>
        <v>선수</v>
      </c>
      <c r="F54" s="3"/>
      <c r="G54" s="3"/>
    </row>
    <row r="55" spans="1:7">
      <c r="A55" s="3" t="s">
        <v>25</v>
      </c>
      <c r="B55" s="3">
        <v>178</v>
      </c>
      <c r="C55" s="3">
        <v>80</v>
      </c>
      <c r="D55" s="3"/>
      <c r="E55" s="3"/>
      <c r="F55" s="3"/>
      <c r="G55" s="3"/>
    </row>
    <row r="56" spans="1:7">
      <c r="A56" s="3" t="s">
        <v>6</v>
      </c>
      <c r="B56" s="3">
        <v>184</v>
      </c>
      <c r="C56" s="3">
        <v>80</v>
      </c>
      <c r="D56" s="3"/>
      <c r="E56" s="3"/>
      <c r="F56" s="3"/>
      <c r="G56" s="3"/>
    </row>
    <row r="58" spans="1:7">
      <c r="A58" s="3" t="s">
        <v>8</v>
      </c>
      <c r="B58" s="3" t="s">
        <v>9</v>
      </c>
      <c r="C58" s="3" t="s">
        <v>10</v>
      </c>
      <c r="D58" s="2"/>
      <c r="E58" s="3" t="str">
        <f>$A58</f>
        <v>선수</v>
      </c>
      <c r="F58" s="3"/>
      <c r="G58" s="3"/>
    </row>
    <row r="59" spans="1:7">
      <c r="A59" s="3" t="s">
        <v>25</v>
      </c>
      <c r="B59" s="3">
        <v>178</v>
      </c>
      <c r="C59" s="3">
        <v>80</v>
      </c>
      <c r="D59" s="3"/>
      <c r="E59" s="3"/>
      <c r="F59" s="3"/>
      <c r="G59" s="3"/>
    </row>
    <row r="60" spans="1:7">
      <c r="A60" s="3" t="s">
        <v>6</v>
      </c>
      <c r="B60" s="3">
        <v>184</v>
      </c>
      <c r="C60" s="3">
        <v>80</v>
      </c>
      <c r="D60" s="3"/>
      <c r="E60" s="3"/>
      <c r="F60" s="3"/>
      <c r="G60" s="3"/>
    </row>
  </sheetData>
  <mergeCells count="2">
    <mergeCell ref="A1:C1"/>
    <mergeCell ref="E1:G1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8"/>
  <sheetViews>
    <sheetView topLeftCell="A19" zoomScale="55" zoomScaleNormal="55" workbookViewId="0">
      <selection activeCell="L22" sqref="L22"/>
    </sheetView>
  </sheetViews>
  <sheetFormatPr defaultRowHeight="17.399999999999999"/>
  <cols>
    <col min="1" max="1" width="9.19921875" style="6" bestFit="1" customWidth="1"/>
    <col min="2" max="2" width="8.09765625" style="6" bestFit="1" customWidth="1"/>
    <col min="3" max="3" width="13.5" style="6" bestFit="1" customWidth="1"/>
    <col min="4" max="4" width="8.796875" style="6"/>
    <col min="5" max="5" width="13.5" style="6" bestFit="1" customWidth="1"/>
    <col min="6" max="6" width="8" style="6" bestFit="1" customWidth="1"/>
    <col min="7" max="7" width="14.69921875" style="6" bestFit="1" customWidth="1"/>
    <col min="8" max="8" width="9.8984375" style="6" bestFit="1" customWidth="1"/>
    <col min="9" max="16384" width="8.796875" style="6"/>
  </cols>
  <sheetData>
    <row r="1" spans="1:8">
      <c r="A1" s="6" t="s">
        <v>151</v>
      </c>
      <c r="B1" s="6" t="s">
        <v>152</v>
      </c>
      <c r="C1" s="6" t="s">
        <v>153</v>
      </c>
      <c r="E1" s="6" t="s">
        <v>151</v>
      </c>
      <c r="F1" s="6" t="s">
        <v>154</v>
      </c>
      <c r="G1" s="6" t="s">
        <v>155</v>
      </c>
      <c r="H1" s="6" t="s">
        <v>156</v>
      </c>
    </row>
    <row r="2" spans="1:8">
      <c r="A2" s="6" t="s">
        <v>157</v>
      </c>
      <c r="B2" s="6">
        <v>178</v>
      </c>
      <c r="C2" s="6">
        <v>80</v>
      </c>
      <c r="E2" s="6" t="s">
        <v>157</v>
      </c>
      <c r="F2" s="95">
        <f t="shared" ref="F2:F21" si="0">(B2-B$22)</f>
        <v>-4.8000000000000114</v>
      </c>
      <c r="G2" s="95">
        <f t="shared" ref="G2:G21" si="1">(C2-C$22)</f>
        <v>-10.849999999999994</v>
      </c>
      <c r="H2" s="94">
        <f>F2*G2</f>
        <v>52.080000000000098</v>
      </c>
    </row>
    <row r="3" spans="1:8">
      <c r="A3" s="6" t="s">
        <v>158</v>
      </c>
      <c r="B3" s="6">
        <v>184</v>
      </c>
      <c r="C3" s="6">
        <v>80</v>
      </c>
      <c r="E3" s="6" t="s">
        <v>158</v>
      </c>
      <c r="F3" s="95">
        <f t="shared" si="0"/>
        <v>1.1999999999999886</v>
      </c>
      <c r="G3" s="95">
        <f t="shared" si="1"/>
        <v>-10.849999999999994</v>
      </c>
      <c r="H3" s="94">
        <f t="shared" ref="H3:H21" si="2">F3*G3</f>
        <v>-13.01999999999987</v>
      </c>
    </row>
    <row r="4" spans="1:8">
      <c r="A4" s="6" t="s">
        <v>159</v>
      </c>
      <c r="B4" s="6">
        <v>188</v>
      </c>
      <c r="C4" s="6">
        <v>100</v>
      </c>
      <c r="E4" s="6" t="s">
        <v>159</v>
      </c>
      <c r="F4" s="95">
        <f t="shared" si="0"/>
        <v>5.1999999999999886</v>
      </c>
      <c r="G4" s="95">
        <f t="shared" si="1"/>
        <v>9.1500000000000057</v>
      </c>
      <c r="H4" s="94">
        <f t="shared" si="2"/>
        <v>47.579999999999927</v>
      </c>
    </row>
    <row r="5" spans="1:8">
      <c r="A5" s="6" t="s">
        <v>160</v>
      </c>
      <c r="B5" s="6">
        <v>180</v>
      </c>
      <c r="C5" s="6">
        <v>90</v>
      </c>
      <c r="E5" s="6" t="s">
        <v>160</v>
      </c>
      <c r="F5" s="95">
        <f t="shared" si="0"/>
        <v>-2.8000000000000114</v>
      </c>
      <c r="G5" s="95">
        <f t="shared" si="1"/>
        <v>-0.84999999999999432</v>
      </c>
      <c r="H5" s="94">
        <f t="shared" si="2"/>
        <v>2.3799999999999937</v>
      </c>
    </row>
    <row r="6" spans="1:8">
      <c r="A6" s="6" t="s">
        <v>161</v>
      </c>
      <c r="B6" s="6">
        <v>185</v>
      </c>
      <c r="C6" s="6">
        <v>90</v>
      </c>
      <c r="E6" s="6" t="s">
        <v>161</v>
      </c>
      <c r="F6" s="95">
        <f t="shared" si="0"/>
        <v>2.1999999999999886</v>
      </c>
      <c r="G6" s="95">
        <f t="shared" si="1"/>
        <v>-0.84999999999999432</v>
      </c>
      <c r="H6" s="94">
        <f t="shared" si="2"/>
        <v>-1.8699999999999779</v>
      </c>
    </row>
    <row r="7" spans="1:8">
      <c r="A7" s="6" t="s">
        <v>162</v>
      </c>
      <c r="B7" s="6">
        <v>178</v>
      </c>
      <c r="C7" s="6">
        <v>94</v>
      </c>
      <c r="E7" s="6" t="s">
        <v>162</v>
      </c>
      <c r="F7" s="95">
        <f t="shared" si="0"/>
        <v>-4.8000000000000114</v>
      </c>
      <c r="G7" s="95">
        <f t="shared" si="1"/>
        <v>3.1500000000000057</v>
      </c>
      <c r="H7" s="94">
        <f t="shared" si="2"/>
        <v>-15.120000000000063</v>
      </c>
    </row>
    <row r="8" spans="1:8">
      <c r="A8" s="6" t="s">
        <v>163</v>
      </c>
      <c r="B8" s="6">
        <v>183</v>
      </c>
      <c r="C8" s="6">
        <v>90</v>
      </c>
      <c r="E8" s="6" t="s">
        <v>163</v>
      </c>
      <c r="F8" s="95">
        <f t="shared" si="0"/>
        <v>0.19999999999998863</v>
      </c>
      <c r="G8" s="95">
        <f t="shared" si="1"/>
        <v>-0.84999999999999432</v>
      </c>
      <c r="H8" s="94">
        <f t="shared" si="2"/>
        <v>-0.16999999999998919</v>
      </c>
    </row>
    <row r="9" spans="1:8">
      <c r="A9" s="6" t="s">
        <v>164</v>
      </c>
      <c r="B9" s="6">
        <v>180</v>
      </c>
      <c r="C9" s="6">
        <v>100</v>
      </c>
      <c r="E9" s="6" t="s">
        <v>164</v>
      </c>
      <c r="F9" s="95">
        <f t="shared" si="0"/>
        <v>-2.8000000000000114</v>
      </c>
      <c r="G9" s="95">
        <f t="shared" si="1"/>
        <v>9.1500000000000057</v>
      </c>
      <c r="H9" s="94">
        <f t="shared" si="2"/>
        <v>-25.620000000000118</v>
      </c>
    </row>
    <row r="10" spans="1:8">
      <c r="A10" s="6" t="s">
        <v>165</v>
      </c>
      <c r="B10" s="6">
        <v>175</v>
      </c>
      <c r="C10" s="6">
        <v>85</v>
      </c>
      <c r="E10" s="6" t="s">
        <v>165</v>
      </c>
      <c r="F10" s="95">
        <f t="shared" si="0"/>
        <v>-7.8000000000000114</v>
      </c>
      <c r="G10" s="95">
        <f t="shared" si="1"/>
        <v>-5.8499999999999943</v>
      </c>
      <c r="H10" s="94">
        <f t="shared" si="2"/>
        <v>45.630000000000024</v>
      </c>
    </row>
    <row r="11" spans="1:8">
      <c r="A11" s="6" t="s">
        <v>166</v>
      </c>
      <c r="B11" s="6">
        <v>176</v>
      </c>
      <c r="C11" s="6">
        <v>84</v>
      </c>
      <c r="E11" s="6" t="s">
        <v>166</v>
      </c>
      <c r="F11" s="95">
        <f t="shared" si="0"/>
        <v>-6.8000000000000114</v>
      </c>
      <c r="G11" s="95">
        <f t="shared" si="1"/>
        <v>-6.8499999999999943</v>
      </c>
      <c r="H11" s="94">
        <f t="shared" si="2"/>
        <v>46.580000000000041</v>
      </c>
    </row>
    <row r="12" spans="1:8">
      <c r="A12" s="6" t="s">
        <v>167</v>
      </c>
      <c r="B12" s="6">
        <v>183</v>
      </c>
      <c r="C12" s="6">
        <v>80</v>
      </c>
      <c r="E12" s="6" t="s">
        <v>167</v>
      </c>
      <c r="F12" s="95">
        <f t="shared" si="0"/>
        <v>0.19999999999998863</v>
      </c>
      <c r="G12" s="95">
        <f t="shared" si="1"/>
        <v>-10.849999999999994</v>
      </c>
      <c r="H12" s="94">
        <f t="shared" si="2"/>
        <v>-2.1699999999998756</v>
      </c>
    </row>
    <row r="13" spans="1:8">
      <c r="A13" s="6" t="s">
        <v>168</v>
      </c>
      <c r="B13" s="6">
        <v>183</v>
      </c>
      <c r="C13" s="6">
        <v>81</v>
      </c>
      <c r="E13" s="6" t="s">
        <v>168</v>
      </c>
      <c r="F13" s="95">
        <f t="shared" si="0"/>
        <v>0.19999999999998863</v>
      </c>
      <c r="G13" s="95">
        <f t="shared" si="1"/>
        <v>-9.8499999999999943</v>
      </c>
      <c r="H13" s="94">
        <f t="shared" si="2"/>
        <v>-1.969999999999887</v>
      </c>
    </row>
    <row r="14" spans="1:8">
      <c r="A14" s="6" t="s">
        <v>169</v>
      </c>
      <c r="B14" s="6">
        <v>185</v>
      </c>
      <c r="C14" s="6">
        <v>78</v>
      </c>
      <c r="E14" s="6" t="s">
        <v>169</v>
      </c>
      <c r="F14" s="95">
        <f t="shared" si="0"/>
        <v>2.1999999999999886</v>
      </c>
      <c r="G14" s="95">
        <f t="shared" si="1"/>
        <v>-12.849999999999994</v>
      </c>
      <c r="H14" s="94">
        <f t="shared" si="2"/>
        <v>-28.26999999999984</v>
      </c>
    </row>
    <row r="15" spans="1:8">
      <c r="A15" s="6" t="s">
        <v>170</v>
      </c>
      <c r="B15" s="6">
        <v>184</v>
      </c>
      <c r="C15" s="6">
        <v>91</v>
      </c>
      <c r="E15" s="6" t="s">
        <v>170</v>
      </c>
      <c r="F15" s="95">
        <f t="shared" si="0"/>
        <v>1.1999999999999886</v>
      </c>
      <c r="G15" s="95">
        <f t="shared" si="1"/>
        <v>0.15000000000000568</v>
      </c>
      <c r="H15" s="94">
        <f t="shared" si="2"/>
        <v>0.18000000000000513</v>
      </c>
    </row>
    <row r="16" spans="1:8">
      <c r="A16" s="6" t="s">
        <v>171</v>
      </c>
      <c r="B16" s="6">
        <v>194</v>
      </c>
      <c r="C16" s="6">
        <v>130</v>
      </c>
      <c r="E16" s="6" t="s">
        <v>171</v>
      </c>
      <c r="F16" s="95">
        <f t="shared" si="0"/>
        <v>11.199999999999989</v>
      </c>
      <c r="G16" s="95">
        <f t="shared" si="1"/>
        <v>39.150000000000006</v>
      </c>
      <c r="H16" s="94">
        <f t="shared" si="2"/>
        <v>438.47999999999962</v>
      </c>
    </row>
    <row r="17" spans="1:8">
      <c r="A17" s="6" t="s">
        <v>172</v>
      </c>
      <c r="B17" s="6">
        <v>190</v>
      </c>
      <c r="C17" s="6">
        <v>95</v>
      </c>
      <c r="E17" s="6" t="s">
        <v>172</v>
      </c>
      <c r="F17" s="95">
        <f t="shared" si="0"/>
        <v>7.1999999999999886</v>
      </c>
      <c r="G17" s="95">
        <f t="shared" si="1"/>
        <v>4.1500000000000057</v>
      </c>
      <c r="H17" s="94">
        <f t="shared" si="2"/>
        <v>29.879999999999995</v>
      </c>
    </row>
    <row r="18" spans="1:8">
      <c r="A18" s="6" t="s">
        <v>173</v>
      </c>
      <c r="B18" s="6">
        <v>180</v>
      </c>
      <c r="C18" s="6">
        <v>84</v>
      </c>
      <c r="E18" s="6" t="s">
        <v>173</v>
      </c>
      <c r="F18" s="95">
        <f t="shared" si="0"/>
        <v>-2.8000000000000114</v>
      </c>
      <c r="G18" s="95">
        <f t="shared" si="1"/>
        <v>-6.8499999999999943</v>
      </c>
      <c r="H18" s="94">
        <f t="shared" si="2"/>
        <v>19.180000000000064</v>
      </c>
    </row>
    <row r="19" spans="1:8">
      <c r="A19" s="6" t="s">
        <v>174</v>
      </c>
      <c r="B19" s="6">
        <v>178</v>
      </c>
      <c r="C19" s="6">
        <v>94</v>
      </c>
      <c r="E19" s="6" t="s">
        <v>174</v>
      </c>
      <c r="F19" s="95">
        <f t="shared" si="0"/>
        <v>-4.8000000000000114</v>
      </c>
      <c r="G19" s="95">
        <f t="shared" si="1"/>
        <v>3.1500000000000057</v>
      </c>
      <c r="H19" s="94">
        <f t="shared" si="2"/>
        <v>-15.120000000000063</v>
      </c>
    </row>
    <row r="20" spans="1:8">
      <c r="A20" s="6" t="s">
        <v>175</v>
      </c>
      <c r="B20" s="6">
        <v>192</v>
      </c>
      <c r="C20" s="6">
        <v>105</v>
      </c>
      <c r="E20" s="6" t="s">
        <v>175</v>
      </c>
      <c r="F20" s="95">
        <f t="shared" si="0"/>
        <v>9.1999999999999886</v>
      </c>
      <c r="G20" s="95">
        <f t="shared" si="1"/>
        <v>14.150000000000006</v>
      </c>
      <c r="H20" s="94">
        <f t="shared" si="2"/>
        <v>130.17999999999989</v>
      </c>
    </row>
    <row r="21" spans="1:8">
      <c r="A21" s="6" t="s">
        <v>176</v>
      </c>
      <c r="B21" s="6">
        <v>180</v>
      </c>
      <c r="C21" s="6">
        <v>86</v>
      </c>
      <c r="E21" s="6" t="s">
        <v>176</v>
      </c>
      <c r="F21" s="95">
        <f t="shared" si="0"/>
        <v>-2.8000000000000114</v>
      </c>
      <c r="G21" s="95">
        <f t="shared" si="1"/>
        <v>-4.8499999999999943</v>
      </c>
      <c r="H21" s="94">
        <f t="shared" si="2"/>
        <v>13.580000000000039</v>
      </c>
    </row>
    <row r="22" spans="1:8">
      <c r="A22" s="6" t="s">
        <v>177</v>
      </c>
      <c r="B22" s="7">
        <f>AVERAGE(B2:B21)</f>
        <v>182.8</v>
      </c>
      <c r="C22" s="7">
        <f>AVERAGE(C2:C21)</f>
        <v>90.85</v>
      </c>
      <c r="F22" s="7"/>
      <c r="G22" s="7" t="s">
        <v>178</v>
      </c>
      <c r="H22" s="94">
        <f>SUM(H2:H21)</f>
        <v>722.4</v>
      </c>
    </row>
    <row r="23" spans="1:8">
      <c r="B23" s="7"/>
      <c r="C23" s="7"/>
      <c r="G23" s="1" t="s">
        <v>179</v>
      </c>
      <c r="H23" s="8">
        <f>H22/19</f>
        <v>38.021052631578947</v>
      </c>
    </row>
    <row r="25" spans="1:8">
      <c r="G25" s="1" t="s">
        <v>180</v>
      </c>
      <c r="H25" s="8">
        <f>_xlfn.COVARIANCE.S(B2:B21,C2:C21)</f>
        <v>38.021052631578947</v>
      </c>
    </row>
    <row r="27" spans="1:8">
      <c r="H27" s="7"/>
    </row>
    <row r="29" spans="1:8">
      <c r="H29" s="7"/>
    </row>
    <row r="30" spans="1:8">
      <c r="H30" s="7"/>
    </row>
    <row r="35" spans="1:7">
      <c r="A35" s="6" t="s">
        <v>181</v>
      </c>
      <c r="B35" s="6" t="s">
        <v>182</v>
      </c>
      <c r="C35" s="6" t="s">
        <v>183</v>
      </c>
      <c r="E35" s="6" t="s">
        <v>181</v>
      </c>
      <c r="F35" s="6" t="s">
        <v>184</v>
      </c>
      <c r="G35" s="6" t="s">
        <v>185</v>
      </c>
    </row>
    <row r="36" spans="1:7">
      <c r="A36" s="6" t="s">
        <v>186</v>
      </c>
      <c r="B36" s="6">
        <v>178</v>
      </c>
      <c r="C36" s="6">
        <v>80</v>
      </c>
      <c r="E36" s="6" t="s">
        <v>186</v>
      </c>
      <c r="F36" s="6">
        <f t="shared" ref="F36:F55" si="3">B2/100</f>
        <v>1.78</v>
      </c>
      <c r="G36" s="6">
        <f t="shared" ref="G36:G55" si="4">C2*1000</f>
        <v>80000</v>
      </c>
    </row>
    <row r="37" spans="1:7">
      <c r="A37" s="6" t="s">
        <v>187</v>
      </c>
      <c r="B37" s="6">
        <v>184</v>
      </c>
      <c r="C37" s="6">
        <v>80</v>
      </c>
      <c r="E37" s="6" t="s">
        <v>187</v>
      </c>
      <c r="F37" s="6">
        <f t="shared" si="3"/>
        <v>1.84</v>
      </c>
      <c r="G37" s="6">
        <f t="shared" si="4"/>
        <v>80000</v>
      </c>
    </row>
    <row r="38" spans="1:7">
      <c r="A38" s="6" t="s">
        <v>101</v>
      </c>
      <c r="B38" s="6">
        <v>188</v>
      </c>
      <c r="C38" s="6">
        <v>100</v>
      </c>
      <c r="E38" s="6" t="s">
        <v>101</v>
      </c>
      <c r="F38" s="6">
        <f t="shared" si="3"/>
        <v>1.88</v>
      </c>
      <c r="G38" s="6">
        <f t="shared" si="4"/>
        <v>100000</v>
      </c>
    </row>
    <row r="39" spans="1:7">
      <c r="A39" s="6" t="s">
        <v>102</v>
      </c>
      <c r="B39" s="6">
        <v>180</v>
      </c>
      <c r="C39" s="6">
        <v>90</v>
      </c>
      <c r="E39" s="6" t="s">
        <v>102</v>
      </c>
      <c r="F39" s="6">
        <f t="shared" si="3"/>
        <v>1.8</v>
      </c>
      <c r="G39" s="6">
        <f t="shared" si="4"/>
        <v>90000</v>
      </c>
    </row>
    <row r="40" spans="1:7">
      <c r="A40" s="6" t="s">
        <v>103</v>
      </c>
      <c r="B40" s="6">
        <v>185</v>
      </c>
      <c r="C40" s="6">
        <v>90</v>
      </c>
      <c r="E40" s="6" t="s">
        <v>103</v>
      </c>
      <c r="F40" s="6">
        <f t="shared" si="3"/>
        <v>1.85</v>
      </c>
      <c r="G40" s="6">
        <f t="shared" si="4"/>
        <v>90000</v>
      </c>
    </row>
    <row r="41" spans="1:7">
      <c r="A41" s="6" t="s">
        <v>104</v>
      </c>
      <c r="B41" s="6">
        <v>178</v>
      </c>
      <c r="C41" s="6">
        <v>94</v>
      </c>
      <c r="E41" s="6" t="s">
        <v>104</v>
      </c>
      <c r="F41" s="6">
        <f t="shared" si="3"/>
        <v>1.78</v>
      </c>
      <c r="G41" s="6">
        <f t="shared" si="4"/>
        <v>94000</v>
      </c>
    </row>
    <row r="42" spans="1:7">
      <c r="A42" s="6" t="s">
        <v>105</v>
      </c>
      <c r="B42" s="6">
        <v>183</v>
      </c>
      <c r="C42" s="6">
        <v>90</v>
      </c>
      <c r="E42" s="6" t="s">
        <v>105</v>
      </c>
      <c r="F42" s="6">
        <f t="shared" si="3"/>
        <v>1.83</v>
      </c>
      <c r="G42" s="6">
        <f t="shared" si="4"/>
        <v>90000</v>
      </c>
    </row>
    <row r="43" spans="1:7">
      <c r="A43" s="6" t="s">
        <v>107</v>
      </c>
      <c r="B43" s="6">
        <v>180</v>
      </c>
      <c r="C43" s="6">
        <v>100</v>
      </c>
      <c r="E43" s="6" t="s">
        <v>107</v>
      </c>
      <c r="F43" s="6">
        <f t="shared" si="3"/>
        <v>1.8</v>
      </c>
      <c r="G43" s="6">
        <f t="shared" si="4"/>
        <v>100000</v>
      </c>
    </row>
    <row r="44" spans="1:7">
      <c r="A44" s="6" t="s">
        <v>109</v>
      </c>
      <c r="B44" s="6">
        <v>175</v>
      </c>
      <c r="C44" s="6">
        <v>85</v>
      </c>
      <c r="E44" s="6" t="s">
        <v>109</v>
      </c>
      <c r="F44" s="6">
        <f t="shared" si="3"/>
        <v>1.75</v>
      </c>
      <c r="G44" s="6">
        <f t="shared" si="4"/>
        <v>85000</v>
      </c>
    </row>
    <row r="45" spans="1:7">
      <c r="A45" s="6" t="s">
        <v>111</v>
      </c>
      <c r="B45" s="6">
        <v>176</v>
      </c>
      <c r="C45" s="6">
        <v>84</v>
      </c>
      <c r="E45" s="6" t="s">
        <v>111</v>
      </c>
      <c r="F45" s="6">
        <f t="shared" si="3"/>
        <v>1.76</v>
      </c>
      <c r="G45" s="6">
        <f t="shared" si="4"/>
        <v>84000</v>
      </c>
    </row>
    <row r="46" spans="1:7">
      <c r="A46" s="6" t="s">
        <v>113</v>
      </c>
      <c r="B46" s="6">
        <v>183</v>
      </c>
      <c r="C46" s="6">
        <v>80</v>
      </c>
      <c r="E46" s="6" t="s">
        <v>113</v>
      </c>
      <c r="F46" s="6">
        <f t="shared" si="3"/>
        <v>1.83</v>
      </c>
      <c r="G46" s="6">
        <f t="shared" si="4"/>
        <v>80000</v>
      </c>
    </row>
    <row r="47" spans="1:7">
      <c r="A47" s="6" t="s">
        <v>188</v>
      </c>
      <c r="B47" s="6">
        <v>183</v>
      </c>
      <c r="C47" s="6">
        <v>81</v>
      </c>
      <c r="E47" s="6" t="s">
        <v>188</v>
      </c>
      <c r="F47" s="6">
        <f t="shared" si="3"/>
        <v>1.83</v>
      </c>
      <c r="G47" s="6">
        <f t="shared" si="4"/>
        <v>81000</v>
      </c>
    </row>
    <row r="48" spans="1:7">
      <c r="A48" s="6" t="s">
        <v>117</v>
      </c>
      <c r="B48" s="6">
        <v>185</v>
      </c>
      <c r="C48" s="6">
        <v>78</v>
      </c>
      <c r="E48" s="6" t="s">
        <v>117</v>
      </c>
      <c r="F48" s="6">
        <f t="shared" si="3"/>
        <v>1.85</v>
      </c>
      <c r="G48" s="6">
        <f t="shared" si="4"/>
        <v>78000</v>
      </c>
    </row>
    <row r="49" spans="1:8">
      <c r="A49" s="6" t="s">
        <v>119</v>
      </c>
      <c r="B49" s="6">
        <v>184</v>
      </c>
      <c r="C49" s="6">
        <v>91</v>
      </c>
      <c r="E49" s="6" t="s">
        <v>119</v>
      </c>
      <c r="F49" s="6">
        <f t="shared" si="3"/>
        <v>1.84</v>
      </c>
      <c r="G49" s="6">
        <f t="shared" si="4"/>
        <v>91000</v>
      </c>
    </row>
    <row r="50" spans="1:8">
      <c r="A50" s="6" t="s">
        <v>189</v>
      </c>
      <c r="B50" s="6">
        <v>194</v>
      </c>
      <c r="C50" s="6">
        <v>130</v>
      </c>
      <c r="E50" s="6" t="s">
        <v>189</v>
      </c>
      <c r="F50" s="6">
        <f t="shared" si="3"/>
        <v>1.94</v>
      </c>
      <c r="G50" s="6">
        <f t="shared" si="4"/>
        <v>130000</v>
      </c>
    </row>
    <row r="51" spans="1:8">
      <c r="A51" s="6" t="s">
        <v>123</v>
      </c>
      <c r="B51" s="6">
        <v>190</v>
      </c>
      <c r="C51" s="6">
        <v>95</v>
      </c>
      <c r="E51" s="6" t="s">
        <v>123</v>
      </c>
      <c r="F51" s="6">
        <f t="shared" si="3"/>
        <v>1.9</v>
      </c>
      <c r="G51" s="6">
        <f t="shared" si="4"/>
        <v>95000</v>
      </c>
    </row>
    <row r="52" spans="1:8">
      <c r="A52" s="6" t="s">
        <v>125</v>
      </c>
      <c r="B52" s="6">
        <v>180</v>
      </c>
      <c r="C52" s="6">
        <v>84</v>
      </c>
      <c r="E52" s="6" t="s">
        <v>125</v>
      </c>
      <c r="F52" s="6">
        <f t="shared" si="3"/>
        <v>1.8</v>
      </c>
      <c r="G52" s="6">
        <f t="shared" si="4"/>
        <v>84000</v>
      </c>
    </row>
    <row r="53" spans="1:8">
      <c r="A53" s="6" t="s">
        <v>127</v>
      </c>
      <c r="B53" s="6">
        <v>178</v>
      </c>
      <c r="C53" s="6">
        <v>94</v>
      </c>
      <c r="E53" s="6" t="s">
        <v>127</v>
      </c>
      <c r="F53" s="6">
        <f t="shared" si="3"/>
        <v>1.78</v>
      </c>
      <c r="G53" s="6">
        <f t="shared" si="4"/>
        <v>94000</v>
      </c>
    </row>
    <row r="54" spans="1:8">
      <c r="A54" s="6" t="s">
        <v>129</v>
      </c>
      <c r="B54" s="6">
        <v>192</v>
      </c>
      <c r="C54" s="6">
        <v>105</v>
      </c>
      <c r="E54" s="6" t="s">
        <v>129</v>
      </c>
      <c r="F54" s="6">
        <f t="shared" si="3"/>
        <v>1.92</v>
      </c>
      <c r="G54" s="6">
        <f t="shared" si="4"/>
        <v>105000</v>
      </c>
    </row>
    <row r="55" spans="1:8">
      <c r="A55" s="6" t="s">
        <v>131</v>
      </c>
      <c r="B55" s="6">
        <v>180</v>
      </c>
      <c r="C55" s="6">
        <v>86</v>
      </c>
      <c r="E55" s="6" t="s">
        <v>131</v>
      </c>
      <c r="F55" s="6">
        <f t="shared" si="3"/>
        <v>1.8</v>
      </c>
      <c r="G55" s="6">
        <f t="shared" si="4"/>
        <v>86000</v>
      </c>
    </row>
    <row r="56" spans="1:8">
      <c r="B56" s="7"/>
      <c r="C56" s="7"/>
      <c r="F56" s="7"/>
      <c r="G56" s="7"/>
    </row>
    <row r="57" spans="1:8">
      <c r="B57" s="1" t="s">
        <v>190</v>
      </c>
      <c r="C57" s="8">
        <f>_xlfn.COVARIANCE.S(B36:B55,C36:C55)</f>
        <v>38.021052631578947</v>
      </c>
      <c r="F57" s="1" t="s">
        <v>190</v>
      </c>
      <c r="G57" s="8">
        <f>_xlfn.COVARIANCE.S(F36:F55,G36:G55)</f>
        <v>380.21052631578902</v>
      </c>
    </row>
    <row r="58" spans="1:8">
      <c r="H58" s="7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60"/>
  <sheetViews>
    <sheetView topLeftCell="A22" zoomScale="70" zoomScaleNormal="70" workbookViewId="0">
      <selection activeCell="H22" activeCellId="2" sqref="B22:C23 F2:H21 H22"/>
    </sheetView>
  </sheetViews>
  <sheetFormatPr defaultRowHeight="17.399999999999999"/>
  <cols>
    <col min="1" max="2" width="9.19921875" bestFit="1" customWidth="1"/>
    <col min="3" max="3" width="10.69921875" bestFit="1" customWidth="1"/>
    <col min="5" max="5" width="9.19921875" bestFit="1" customWidth="1"/>
    <col min="6" max="6" width="9.8984375" bestFit="1" customWidth="1"/>
    <col min="7" max="7" width="14.69921875" bestFit="1" customWidth="1"/>
    <col min="8" max="8" width="18.796875" bestFit="1" customWidth="1"/>
  </cols>
  <sheetData>
    <row r="1" spans="1:8">
      <c r="A1" s="6" t="s">
        <v>93</v>
      </c>
      <c r="B1" s="6" t="s">
        <v>94</v>
      </c>
      <c r="C1" s="6" t="s">
        <v>95</v>
      </c>
      <c r="D1" s="6"/>
      <c r="E1" s="6" t="s">
        <v>93</v>
      </c>
      <c r="F1" s="6" t="s">
        <v>96</v>
      </c>
      <c r="G1" s="6" t="s">
        <v>97</v>
      </c>
      <c r="H1" s="6" t="s">
        <v>98</v>
      </c>
    </row>
    <row r="2" spans="1:8">
      <c r="A2" s="6" t="s">
        <v>99</v>
      </c>
      <c r="B2" s="6">
        <v>178</v>
      </c>
      <c r="C2" s="6">
        <v>80</v>
      </c>
      <c r="D2" s="6"/>
      <c r="E2" s="6" t="s">
        <v>99</v>
      </c>
      <c r="F2" s="95">
        <f>(B2-B$22)/B$23</f>
        <v>-0.92720089114350912</v>
      </c>
      <c r="G2" s="95">
        <f t="shared" ref="G2:G21" si="0">(C2-C$22)/C$23</f>
        <v>-0.90907248138571384</v>
      </c>
      <c r="H2" s="95">
        <f>F2*G2</f>
        <v>0.84289281485487499</v>
      </c>
    </row>
    <row r="3" spans="1:8">
      <c r="A3" s="6" t="s">
        <v>100</v>
      </c>
      <c r="B3" s="6">
        <v>184</v>
      </c>
      <c r="C3" s="6">
        <v>80</v>
      </c>
      <c r="D3" s="6"/>
      <c r="E3" s="6" t="s">
        <v>100</v>
      </c>
      <c r="F3" s="95">
        <f t="shared" ref="F3:F21" si="1">(B3-B$22)/B$23</f>
        <v>0.23180022278587456</v>
      </c>
      <c r="G3" s="95">
        <f t="shared" si="0"/>
        <v>-0.90907248138571384</v>
      </c>
      <c r="H3" s="95">
        <f t="shared" ref="H3:H21" si="2">F3*G3</f>
        <v>-0.21072320371371628</v>
      </c>
    </row>
    <row r="4" spans="1:8">
      <c r="A4" s="6" t="s">
        <v>101</v>
      </c>
      <c r="B4" s="6">
        <v>188</v>
      </c>
      <c r="C4" s="6">
        <v>100</v>
      </c>
      <c r="D4" s="6"/>
      <c r="E4" s="6" t="s">
        <v>101</v>
      </c>
      <c r="F4" s="95">
        <f t="shared" si="1"/>
        <v>1.0044676320721304</v>
      </c>
      <c r="G4" s="95">
        <f t="shared" si="0"/>
        <v>0.76663716172159369</v>
      </c>
      <c r="H4" s="95">
        <f t="shared" si="2"/>
        <v>0.77006221449298806</v>
      </c>
    </row>
    <row r="5" spans="1:8">
      <c r="A5" s="6" t="s">
        <v>102</v>
      </c>
      <c r="B5" s="6">
        <v>180</v>
      </c>
      <c r="C5" s="6">
        <v>90</v>
      </c>
      <c r="D5" s="6"/>
      <c r="E5" s="6" t="s">
        <v>102</v>
      </c>
      <c r="F5" s="95">
        <f t="shared" si="1"/>
        <v>-0.54086718650038124</v>
      </c>
      <c r="G5" s="95">
        <f t="shared" si="0"/>
        <v>-7.121765983206009E-2</v>
      </c>
      <c r="H5" s="95">
        <f t="shared" si="2"/>
        <v>3.8519295302507556E-2</v>
      </c>
    </row>
    <row r="6" spans="1:8">
      <c r="A6" s="6" t="s">
        <v>103</v>
      </c>
      <c r="B6" s="6">
        <v>185</v>
      </c>
      <c r="C6" s="6">
        <v>90</v>
      </c>
      <c r="D6" s="6"/>
      <c r="E6" s="6" t="s">
        <v>103</v>
      </c>
      <c r="F6" s="95">
        <f t="shared" si="1"/>
        <v>0.42496707510743847</v>
      </c>
      <c r="G6" s="95">
        <f t="shared" si="0"/>
        <v>-7.121765983206009E-2</v>
      </c>
      <c r="H6" s="95">
        <f t="shared" si="2"/>
        <v>-3.0265160594827083E-2</v>
      </c>
    </row>
    <row r="7" spans="1:8">
      <c r="A7" s="6" t="s">
        <v>104</v>
      </c>
      <c r="B7" s="6">
        <v>178</v>
      </c>
      <c r="C7" s="6">
        <v>94</v>
      </c>
      <c r="D7" s="6"/>
      <c r="E7" s="6" t="s">
        <v>104</v>
      </c>
      <c r="F7" s="95">
        <f t="shared" si="1"/>
        <v>-0.92720089114350912</v>
      </c>
      <c r="G7" s="95">
        <f t="shared" si="0"/>
        <v>0.2639242687894014</v>
      </c>
      <c r="H7" s="95">
        <f t="shared" si="2"/>
        <v>-0.24471081721593199</v>
      </c>
    </row>
    <row r="8" spans="1:8">
      <c r="A8" s="6" t="s">
        <v>106</v>
      </c>
      <c r="B8" s="6">
        <v>183</v>
      </c>
      <c r="C8" s="6">
        <v>90</v>
      </c>
      <c r="D8" s="6"/>
      <c r="E8" s="6" t="s">
        <v>106</v>
      </c>
      <c r="F8" s="95">
        <f t="shared" si="1"/>
        <v>3.8633370464310597E-2</v>
      </c>
      <c r="G8" s="95">
        <f t="shared" si="0"/>
        <v>-7.121765983206009E-2</v>
      </c>
      <c r="H8" s="95">
        <f t="shared" si="2"/>
        <v>-2.7513782358932295E-3</v>
      </c>
    </row>
    <row r="9" spans="1:8">
      <c r="A9" s="6" t="s">
        <v>108</v>
      </c>
      <c r="B9" s="6">
        <v>180</v>
      </c>
      <c r="C9" s="6">
        <v>100</v>
      </c>
      <c r="D9" s="6"/>
      <c r="E9" s="6" t="s">
        <v>108</v>
      </c>
      <c r="F9" s="95">
        <f t="shared" si="1"/>
        <v>-0.54086718650038124</v>
      </c>
      <c r="G9" s="95">
        <f t="shared" si="0"/>
        <v>0.76663716172159369</v>
      </c>
      <c r="H9" s="95">
        <f t="shared" si="2"/>
        <v>-0.41464888472699613</v>
      </c>
    </row>
    <row r="10" spans="1:8">
      <c r="A10" s="6" t="s">
        <v>110</v>
      </c>
      <c r="B10" s="6">
        <v>175</v>
      </c>
      <c r="C10" s="6">
        <v>85</v>
      </c>
      <c r="D10" s="6"/>
      <c r="E10" s="6" t="s">
        <v>110</v>
      </c>
      <c r="F10" s="95">
        <f t="shared" si="1"/>
        <v>-1.5067014481082011</v>
      </c>
      <c r="G10" s="95">
        <f t="shared" si="0"/>
        <v>-0.49014507060888696</v>
      </c>
      <c r="H10" s="95">
        <f t="shared" si="2"/>
        <v>0.73850228766950643</v>
      </c>
    </row>
    <row r="11" spans="1:8">
      <c r="A11" s="6" t="s">
        <v>112</v>
      </c>
      <c r="B11" s="6">
        <v>176</v>
      </c>
      <c r="C11" s="6">
        <v>84</v>
      </c>
      <c r="D11" s="6"/>
      <c r="E11" s="6" t="s">
        <v>112</v>
      </c>
      <c r="F11" s="95">
        <f t="shared" si="1"/>
        <v>-1.3135345957866371</v>
      </c>
      <c r="G11" s="95">
        <f t="shared" si="0"/>
        <v>-0.57393055276425231</v>
      </c>
      <c r="H11" s="95">
        <f t="shared" si="2"/>
        <v>0.75387763663479335</v>
      </c>
    </row>
    <row r="12" spans="1:8">
      <c r="A12" s="6" t="s">
        <v>114</v>
      </c>
      <c r="B12" s="6">
        <v>183</v>
      </c>
      <c r="C12" s="6">
        <v>80</v>
      </c>
      <c r="D12" s="6"/>
      <c r="E12" s="6" t="s">
        <v>114</v>
      </c>
      <c r="F12" s="95">
        <f t="shared" si="1"/>
        <v>3.8633370464310597E-2</v>
      </c>
      <c r="G12" s="95">
        <f t="shared" si="0"/>
        <v>-0.90907248138571384</v>
      </c>
      <c r="H12" s="95">
        <f t="shared" si="2"/>
        <v>-3.5120533952284379E-2</v>
      </c>
    </row>
    <row r="13" spans="1:8">
      <c r="A13" s="6" t="s">
        <v>116</v>
      </c>
      <c r="B13" s="6">
        <v>183</v>
      </c>
      <c r="C13" s="6">
        <v>81</v>
      </c>
      <c r="D13" s="6"/>
      <c r="E13" s="6" t="s">
        <v>116</v>
      </c>
      <c r="F13" s="95">
        <f t="shared" si="1"/>
        <v>3.8633370464310597E-2</v>
      </c>
      <c r="G13" s="95">
        <f t="shared" si="0"/>
        <v>-0.82528699923034843</v>
      </c>
      <c r="H13" s="95">
        <f t="shared" si="2"/>
        <v>-3.1883618380645268E-2</v>
      </c>
    </row>
    <row r="14" spans="1:8">
      <c r="A14" s="6" t="s">
        <v>118</v>
      </c>
      <c r="B14" s="6">
        <v>185</v>
      </c>
      <c r="C14" s="6">
        <v>78</v>
      </c>
      <c r="D14" s="6"/>
      <c r="E14" s="6" t="s">
        <v>118</v>
      </c>
      <c r="F14" s="95">
        <f t="shared" si="1"/>
        <v>0.42496707510743847</v>
      </c>
      <c r="G14" s="95">
        <f t="shared" si="0"/>
        <v>-1.0766434456964447</v>
      </c>
      <c r="H14" s="95">
        <f t="shared" si="2"/>
        <v>-0.45753801605121236</v>
      </c>
    </row>
    <row r="15" spans="1:8">
      <c r="A15" s="6" t="s">
        <v>120</v>
      </c>
      <c r="B15" s="6">
        <v>184</v>
      </c>
      <c r="C15" s="6">
        <v>91</v>
      </c>
      <c r="D15" s="6"/>
      <c r="E15" s="6" t="s">
        <v>120</v>
      </c>
      <c r="F15" s="95">
        <f t="shared" si="1"/>
        <v>0.23180022278587456</v>
      </c>
      <c r="G15" s="95">
        <f t="shared" si="0"/>
        <v>1.2567822323305283E-2</v>
      </c>
      <c r="H15" s="95">
        <f t="shared" si="2"/>
        <v>2.9132240144754524E-3</v>
      </c>
    </row>
    <row r="16" spans="1:8">
      <c r="A16" s="6" t="s">
        <v>122</v>
      </c>
      <c r="B16" s="6">
        <v>194</v>
      </c>
      <c r="C16" s="6">
        <v>130</v>
      </c>
      <c r="D16" s="6"/>
      <c r="E16" s="6" t="s">
        <v>122</v>
      </c>
      <c r="F16" s="95">
        <f t="shared" si="1"/>
        <v>2.1634687460015143</v>
      </c>
      <c r="G16" s="95">
        <f t="shared" si="0"/>
        <v>3.2802016263825546</v>
      </c>
      <c r="H16" s="95">
        <f t="shared" si="2"/>
        <v>7.0966136992619928</v>
      </c>
    </row>
    <row r="17" spans="1:8">
      <c r="A17" s="6" t="s">
        <v>124</v>
      </c>
      <c r="B17" s="6">
        <v>190</v>
      </c>
      <c r="C17" s="6">
        <v>95</v>
      </c>
      <c r="D17" s="6"/>
      <c r="E17" s="6" t="s">
        <v>124</v>
      </c>
      <c r="F17" s="95">
        <f t="shared" si="1"/>
        <v>1.3908013367152583</v>
      </c>
      <c r="G17" s="95">
        <f t="shared" si="0"/>
        <v>0.3477097509447668</v>
      </c>
      <c r="H17" s="95">
        <f t="shared" si="2"/>
        <v>0.48359518640291121</v>
      </c>
    </row>
    <row r="18" spans="1:8">
      <c r="A18" s="6" t="s">
        <v>126</v>
      </c>
      <c r="B18" s="6">
        <v>180</v>
      </c>
      <c r="C18" s="6">
        <v>84</v>
      </c>
      <c r="D18" s="6"/>
      <c r="E18" s="6" t="s">
        <v>126</v>
      </c>
      <c r="F18" s="95">
        <f t="shared" si="1"/>
        <v>-0.54086718650038124</v>
      </c>
      <c r="G18" s="95">
        <f t="shared" si="0"/>
        <v>-0.57393055276425231</v>
      </c>
      <c r="H18" s="95">
        <f t="shared" si="2"/>
        <v>0.31042020332020975</v>
      </c>
    </row>
    <row r="19" spans="1:8">
      <c r="A19" s="6" t="s">
        <v>128</v>
      </c>
      <c r="B19" s="6">
        <v>178</v>
      </c>
      <c r="C19" s="6">
        <v>94</v>
      </c>
      <c r="D19" s="6"/>
      <c r="E19" s="6" t="s">
        <v>128</v>
      </c>
      <c r="F19" s="95">
        <f t="shared" si="1"/>
        <v>-0.92720089114350912</v>
      </c>
      <c r="G19" s="95">
        <f t="shared" si="0"/>
        <v>0.2639242687894014</v>
      </c>
      <c r="H19" s="95">
        <f t="shared" si="2"/>
        <v>-0.24471081721593199</v>
      </c>
    </row>
    <row r="20" spans="1:8">
      <c r="A20" s="6" t="s">
        <v>130</v>
      </c>
      <c r="B20" s="6">
        <v>192</v>
      </c>
      <c r="C20" s="6">
        <v>105</v>
      </c>
      <c r="D20" s="6"/>
      <c r="E20" s="6" t="s">
        <v>130</v>
      </c>
      <c r="F20" s="95">
        <f t="shared" si="1"/>
        <v>1.7771350413583862</v>
      </c>
      <c r="G20" s="95">
        <f t="shared" si="0"/>
        <v>1.1855645724984205</v>
      </c>
      <c r="H20" s="95">
        <f t="shared" si="2"/>
        <v>2.1069083455800182</v>
      </c>
    </row>
    <row r="21" spans="1:8">
      <c r="A21" s="6" t="s">
        <v>132</v>
      </c>
      <c r="B21" s="6">
        <v>180</v>
      </c>
      <c r="C21" s="6">
        <v>86</v>
      </c>
      <c r="D21" s="6"/>
      <c r="E21" s="6" t="s">
        <v>132</v>
      </c>
      <c r="F21" s="95">
        <f t="shared" si="1"/>
        <v>-0.54086718650038124</v>
      </c>
      <c r="G21" s="95">
        <f t="shared" si="0"/>
        <v>-0.4063595884535216</v>
      </c>
      <c r="H21" s="95">
        <f t="shared" si="2"/>
        <v>0.21978656731430904</v>
      </c>
    </row>
    <row r="22" spans="1:8">
      <c r="A22" s="6" t="s">
        <v>133</v>
      </c>
      <c r="B22" s="95">
        <f>AVERAGE(B2:B21)</f>
        <v>182.8</v>
      </c>
      <c r="C22" s="95">
        <f>AVERAGE(C2:C21)</f>
        <v>90.85</v>
      </c>
      <c r="D22" s="6"/>
      <c r="E22" s="6"/>
      <c r="F22" s="7"/>
      <c r="G22" s="7" t="s">
        <v>134</v>
      </c>
      <c r="H22" s="95">
        <f>SUM(H2:H21)</f>
        <v>11.691739044761148</v>
      </c>
    </row>
    <row r="23" spans="1:8">
      <c r="A23" s="6" t="s">
        <v>135</v>
      </c>
      <c r="B23" s="95">
        <f>_xlfn.STDEV.S(B2:B21)</f>
        <v>5.1768716422179137</v>
      </c>
      <c r="C23" s="95">
        <f>_xlfn.STDEV.S(C2:C21)</f>
        <v>11.935241933031747</v>
      </c>
      <c r="D23" s="6"/>
      <c r="E23" s="6"/>
      <c r="F23" s="6"/>
    </row>
    <row r="24" spans="1:8">
      <c r="A24" s="6"/>
      <c r="B24" s="6"/>
      <c r="C24" s="6"/>
      <c r="D24" s="6"/>
      <c r="E24" s="6"/>
      <c r="F24" s="6"/>
      <c r="G24" s="1" t="s">
        <v>136</v>
      </c>
      <c r="H24" s="8">
        <f>H22/19</f>
        <v>0.61535468656637615</v>
      </c>
    </row>
    <row r="25" spans="1:8">
      <c r="A25" s="6"/>
      <c r="B25" s="6"/>
      <c r="C25" s="6"/>
      <c r="D25" s="6"/>
      <c r="E25" s="6"/>
      <c r="F25" s="6"/>
      <c r="G25" s="6"/>
      <c r="H25" s="6"/>
    </row>
    <row r="26" spans="1:8">
      <c r="A26" s="6"/>
      <c r="B26" s="6"/>
      <c r="C26" s="6"/>
      <c r="D26" s="6"/>
      <c r="E26" s="6"/>
      <c r="F26" s="6"/>
      <c r="G26" s="6"/>
      <c r="H26" s="6"/>
    </row>
    <row r="27" spans="1:8">
      <c r="A27" s="6"/>
      <c r="B27" s="6"/>
      <c r="C27" s="6"/>
      <c r="D27" s="6"/>
      <c r="E27" s="6"/>
      <c r="F27" s="6"/>
      <c r="G27" s="6"/>
      <c r="H27" s="7"/>
    </row>
    <row r="28" spans="1:8">
      <c r="A28" s="6"/>
      <c r="B28" s="6"/>
      <c r="C28" s="6"/>
      <c r="D28" s="6"/>
      <c r="E28" s="6"/>
      <c r="F28" s="6"/>
      <c r="G28" s="6"/>
      <c r="H28" s="6"/>
    </row>
    <row r="29" spans="1:8">
      <c r="A29" s="6"/>
      <c r="B29" s="6"/>
      <c r="C29" s="6"/>
      <c r="D29" s="6"/>
      <c r="E29" s="6"/>
      <c r="F29" s="6"/>
      <c r="G29" s="6"/>
      <c r="H29" s="7"/>
    </row>
    <row r="30" spans="1:8">
      <c r="A30" s="6"/>
      <c r="B30" s="6"/>
      <c r="C30" s="6"/>
      <c r="D30" s="6"/>
      <c r="E30" s="6"/>
      <c r="F30" s="6"/>
      <c r="G30" s="6"/>
      <c r="H30" s="7"/>
    </row>
    <row r="31" spans="1:8">
      <c r="A31" s="6"/>
      <c r="B31" s="6"/>
      <c r="C31" s="6"/>
      <c r="D31" s="6"/>
      <c r="E31" s="6"/>
      <c r="F31" s="6"/>
      <c r="G31" s="6"/>
      <c r="H31" s="6"/>
    </row>
    <row r="32" spans="1:8">
      <c r="A32" s="6"/>
      <c r="B32" s="6"/>
      <c r="C32" s="6"/>
      <c r="D32" s="6"/>
      <c r="E32" s="6"/>
      <c r="F32" s="6"/>
      <c r="G32" s="6"/>
      <c r="H32" s="6"/>
    </row>
    <row r="33" spans="1:8">
      <c r="A33" s="6"/>
      <c r="B33" s="6"/>
      <c r="C33" s="6"/>
      <c r="D33" s="6"/>
      <c r="E33" s="6"/>
      <c r="F33" s="6"/>
      <c r="G33" s="6"/>
      <c r="H33" s="6"/>
    </row>
    <row r="34" spans="1:8">
      <c r="A34" s="6"/>
      <c r="B34" s="6"/>
      <c r="C34" s="6"/>
      <c r="D34" s="6"/>
      <c r="E34" s="6"/>
      <c r="F34" s="6"/>
      <c r="G34" s="6"/>
      <c r="H34" s="6"/>
    </row>
    <row r="35" spans="1:8">
      <c r="A35" s="6" t="s">
        <v>138</v>
      </c>
      <c r="B35" s="6" t="s">
        <v>139</v>
      </c>
      <c r="C35" s="6" t="s">
        <v>140</v>
      </c>
      <c r="D35" s="6"/>
      <c r="E35" s="6" t="s">
        <v>138</v>
      </c>
      <c r="F35" s="6" t="s">
        <v>141</v>
      </c>
      <c r="G35" s="6" t="s">
        <v>142</v>
      </c>
      <c r="H35" s="6"/>
    </row>
    <row r="36" spans="1:8">
      <c r="A36" s="6" t="s">
        <v>143</v>
      </c>
      <c r="B36" s="6">
        <v>178</v>
      </c>
      <c r="C36" s="6">
        <v>80</v>
      </c>
      <c r="D36" s="6"/>
      <c r="E36" s="6" t="s">
        <v>143</v>
      </c>
      <c r="F36" s="6">
        <f t="shared" ref="F36:F55" si="3">B2/100</f>
        <v>1.78</v>
      </c>
      <c r="G36" s="6">
        <f t="shared" ref="G36:G55" si="4">C2*1000</f>
        <v>80000</v>
      </c>
      <c r="H36" s="6"/>
    </row>
    <row r="37" spans="1:8">
      <c r="A37" s="6" t="s">
        <v>100</v>
      </c>
      <c r="B37" s="6">
        <v>184</v>
      </c>
      <c r="C37" s="6">
        <v>80</v>
      </c>
      <c r="D37" s="6"/>
      <c r="E37" s="6" t="s">
        <v>100</v>
      </c>
      <c r="F37" s="6">
        <f t="shared" si="3"/>
        <v>1.84</v>
      </c>
      <c r="G37" s="6">
        <f t="shared" si="4"/>
        <v>80000</v>
      </c>
      <c r="H37" s="6"/>
    </row>
    <row r="38" spans="1:8">
      <c r="A38" s="6" t="s">
        <v>101</v>
      </c>
      <c r="B38" s="6">
        <v>188</v>
      </c>
      <c r="C38" s="6">
        <v>100</v>
      </c>
      <c r="D38" s="6"/>
      <c r="E38" s="6" t="s">
        <v>101</v>
      </c>
      <c r="F38" s="6">
        <f t="shared" si="3"/>
        <v>1.88</v>
      </c>
      <c r="G38" s="6">
        <f t="shared" si="4"/>
        <v>100000</v>
      </c>
      <c r="H38" s="6"/>
    </row>
    <row r="39" spans="1:8">
      <c r="A39" s="6" t="s">
        <v>102</v>
      </c>
      <c r="B39" s="6">
        <v>180</v>
      </c>
      <c r="C39" s="6">
        <v>90</v>
      </c>
      <c r="D39" s="6"/>
      <c r="E39" s="6" t="s">
        <v>102</v>
      </c>
      <c r="F39" s="6">
        <f t="shared" si="3"/>
        <v>1.8</v>
      </c>
      <c r="G39" s="6">
        <f t="shared" si="4"/>
        <v>90000</v>
      </c>
      <c r="H39" s="6"/>
    </row>
    <row r="40" spans="1:8">
      <c r="A40" s="6" t="s">
        <v>144</v>
      </c>
      <c r="B40" s="6">
        <v>185</v>
      </c>
      <c r="C40" s="6">
        <v>90</v>
      </c>
      <c r="D40" s="6"/>
      <c r="E40" s="6" t="s">
        <v>144</v>
      </c>
      <c r="F40" s="6">
        <f t="shared" si="3"/>
        <v>1.85</v>
      </c>
      <c r="G40" s="6">
        <f t="shared" si="4"/>
        <v>90000</v>
      </c>
      <c r="H40" s="6"/>
    </row>
    <row r="41" spans="1:8">
      <c r="A41" s="6" t="s">
        <v>145</v>
      </c>
      <c r="B41" s="6">
        <v>178</v>
      </c>
      <c r="C41" s="6">
        <v>94</v>
      </c>
      <c r="D41" s="6"/>
      <c r="E41" s="6" t="s">
        <v>145</v>
      </c>
      <c r="F41" s="6">
        <f t="shared" si="3"/>
        <v>1.78</v>
      </c>
      <c r="G41" s="6">
        <f t="shared" si="4"/>
        <v>94000</v>
      </c>
      <c r="H41" s="6"/>
    </row>
    <row r="42" spans="1:8">
      <c r="A42" s="6" t="s">
        <v>106</v>
      </c>
      <c r="B42" s="6">
        <v>183</v>
      </c>
      <c r="C42" s="6">
        <v>90</v>
      </c>
      <c r="D42" s="6"/>
      <c r="E42" s="6" t="s">
        <v>106</v>
      </c>
      <c r="F42" s="6">
        <f t="shared" si="3"/>
        <v>1.83</v>
      </c>
      <c r="G42" s="6">
        <f t="shared" si="4"/>
        <v>90000</v>
      </c>
      <c r="H42" s="6"/>
    </row>
    <row r="43" spans="1:8">
      <c r="A43" s="6" t="s">
        <v>108</v>
      </c>
      <c r="B43" s="6">
        <v>180</v>
      </c>
      <c r="C43" s="6">
        <v>100</v>
      </c>
      <c r="D43" s="6"/>
      <c r="E43" s="6" t="s">
        <v>108</v>
      </c>
      <c r="F43" s="6">
        <f t="shared" si="3"/>
        <v>1.8</v>
      </c>
      <c r="G43" s="6">
        <f t="shared" si="4"/>
        <v>100000</v>
      </c>
      <c r="H43" s="6"/>
    </row>
    <row r="44" spans="1:8">
      <c r="A44" s="6" t="s">
        <v>146</v>
      </c>
      <c r="B44" s="6">
        <v>175</v>
      </c>
      <c r="C44" s="6">
        <v>85</v>
      </c>
      <c r="D44" s="6"/>
      <c r="E44" s="6" t="s">
        <v>146</v>
      </c>
      <c r="F44" s="6">
        <f t="shared" si="3"/>
        <v>1.75</v>
      </c>
      <c r="G44" s="6">
        <f t="shared" si="4"/>
        <v>85000</v>
      </c>
      <c r="H44" s="6"/>
    </row>
    <row r="45" spans="1:8">
      <c r="A45" s="6" t="s">
        <v>147</v>
      </c>
      <c r="B45" s="6">
        <v>176</v>
      </c>
      <c r="C45" s="6">
        <v>84</v>
      </c>
      <c r="D45" s="6"/>
      <c r="E45" s="6" t="s">
        <v>147</v>
      </c>
      <c r="F45" s="6">
        <f t="shared" si="3"/>
        <v>1.76</v>
      </c>
      <c r="G45" s="6">
        <f t="shared" si="4"/>
        <v>84000</v>
      </c>
      <c r="H45" s="6"/>
    </row>
    <row r="46" spans="1:8">
      <c r="A46" s="6" t="s">
        <v>113</v>
      </c>
      <c r="B46" s="6">
        <v>183</v>
      </c>
      <c r="C46" s="6">
        <v>80</v>
      </c>
      <c r="D46" s="6"/>
      <c r="E46" s="6" t="s">
        <v>113</v>
      </c>
      <c r="F46" s="6">
        <f t="shared" si="3"/>
        <v>1.83</v>
      </c>
      <c r="G46" s="6">
        <f t="shared" si="4"/>
        <v>80000</v>
      </c>
      <c r="H46" s="6"/>
    </row>
    <row r="47" spans="1:8">
      <c r="A47" s="6" t="s">
        <v>115</v>
      </c>
      <c r="B47" s="6">
        <v>183</v>
      </c>
      <c r="C47" s="6">
        <v>81</v>
      </c>
      <c r="D47" s="6"/>
      <c r="E47" s="6" t="s">
        <v>115</v>
      </c>
      <c r="F47" s="6">
        <f t="shared" si="3"/>
        <v>1.83</v>
      </c>
      <c r="G47" s="6">
        <f t="shared" si="4"/>
        <v>81000</v>
      </c>
      <c r="H47" s="6"/>
    </row>
    <row r="48" spans="1:8">
      <c r="A48" s="6" t="s">
        <v>148</v>
      </c>
      <c r="B48" s="6">
        <v>185</v>
      </c>
      <c r="C48" s="6">
        <v>78</v>
      </c>
      <c r="D48" s="6"/>
      <c r="E48" s="6" t="s">
        <v>148</v>
      </c>
      <c r="F48" s="6">
        <f t="shared" si="3"/>
        <v>1.85</v>
      </c>
      <c r="G48" s="6">
        <f t="shared" si="4"/>
        <v>78000</v>
      </c>
      <c r="H48" s="6"/>
    </row>
    <row r="49" spans="1:8">
      <c r="A49" s="6" t="s">
        <v>119</v>
      </c>
      <c r="B49" s="6">
        <v>184</v>
      </c>
      <c r="C49" s="6">
        <v>91</v>
      </c>
      <c r="D49" s="6"/>
      <c r="E49" s="6" t="s">
        <v>119</v>
      </c>
      <c r="F49" s="6">
        <f t="shared" si="3"/>
        <v>1.84</v>
      </c>
      <c r="G49" s="6">
        <f t="shared" si="4"/>
        <v>91000</v>
      </c>
      <c r="H49" s="6"/>
    </row>
    <row r="50" spans="1:8">
      <c r="A50" s="6" t="s">
        <v>121</v>
      </c>
      <c r="B50" s="6">
        <v>194</v>
      </c>
      <c r="C50" s="6">
        <v>130</v>
      </c>
      <c r="D50" s="6"/>
      <c r="E50" s="6" t="s">
        <v>121</v>
      </c>
      <c r="F50" s="6">
        <f t="shared" si="3"/>
        <v>1.94</v>
      </c>
      <c r="G50" s="6">
        <f t="shared" si="4"/>
        <v>130000</v>
      </c>
      <c r="H50" s="6"/>
    </row>
    <row r="51" spans="1:8">
      <c r="A51" s="6" t="s">
        <v>123</v>
      </c>
      <c r="B51" s="6">
        <v>190</v>
      </c>
      <c r="C51" s="6">
        <v>95</v>
      </c>
      <c r="D51" s="6"/>
      <c r="E51" s="6" t="s">
        <v>123</v>
      </c>
      <c r="F51" s="6">
        <f t="shared" si="3"/>
        <v>1.9</v>
      </c>
      <c r="G51" s="6">
        <f t="shared" si="4"/>
        <v>95000</v>
      </c>
      <c r="H51" s="6"/>
    </row>
    <row r="52" spans="1:8">
      <c r="A52" s="6" t="s">
        <v>125</v>
      </c>
      <c r="B52" s="6">
        <v>180</v>
      </c>
      <c r="C52" s="6">
        <v>84</v>
      </c>
      <c r="D52" s="6"/>
      <c r="E52" s="6" t="s">
        <v>125</v>
      </c>
      <c r="F52" s="6">
        <f t="shared" si="3"/>
        <v>1.8</v>
      </c>
      <c r="G52" s="6">
        <f t="shared" si="4"/>
        <v>84000</v>
      </c>
      <c r="H52" s="6"/>
    </row>
    <row r="53" spans="1:8">
      <c r="A53" s="6" t="s">
        <v>127</v>
      </c>
      <c r="B53" s="6">
        <v>178</v>
      </c>
      <c r="C53" s="6">
        <v>94</v>
      </c>
      <c r="D53" s="6"/>
      <c r="E53" s="6" t="s">
        <v>127</v>
      </c>
      <c r="F53" s="6">
        <f t="shared" si="3"/>
        <v>1.78</v>
      </c>
      <c r="G53" s="6">
        <f t="shared" si="4"/>
        <v>94000</v>
      </c>
      <c r="H53" s="6"/>
    </row>
    <row r="54" spans="1:8">
      <c r="A54" s="6" t="s">
        <v>149</v>
      </c>
      <c r="B54" s="6">
        <v>192</v>
      </c>
      <c r="C54" s="6">
        <v>105</v>
      </c>
      <c r="D54" s="6"/>
      <c r="E54" s="6" t="s">
        <v>149</v>
      </c>
      <c r="F54" s="6">
        <f t="shared" si="3"/>
        <v>1.92</v>
      </c>
      <c r="G54" s="6">
        <f t="shared" si="4"/>
        <v>105000</v>
      </c>
      <c r="H54" s="6"/>
    </row>
    <row r="55" spans="1:8">
      <c r="A55" s="6" t="s">
        <v>150</v>
      </c>
      <c r="B55" s="6">
        <v>180</v>
      </c>
      <c r="C55" s="6">
        <v>86</v>
      </c>
      <c r="D55" s="6"/>
      <c r="E55" s="6" t="s">
        <v>150</v>
      </c>
      <c r="F55" s="6">
        <f t="shared" si="3"/>
        <v>1.8</v>
      </c>
      <c r="G55" s="6">
        <f t="shared" si="4"/>
        <v>86000</v>
      </c>
      <c r="H55" s="6"/>
    </row>
    <row r="56" spans="1:8">
      <c r="A56" s="6"/>
      <c r="B56" s="7"/>
      <c r="C56" s="7"/>
      <c r="D56" s="6"/>
      <c r="E56" s="6"/>
      <c r="F56" s="7"/>
      <c r="G56" s="7"/>
      <c r="H56" s="6"/>
    </row>
    <row r="57" spans="1:8">
      <c r="A57" s="6"/>
      <c r="B57" s="1" t="s">
        <v>137</v>
      </c>
      <c r="C57" s="8">
        <f>CORREL(B36:B55,C36:C55)</f>
        <v>0.61535468656637471</v>
      </c>
      <c r="D57" s="6"/>
      <c r="E57" s="6"/>
      <c r="F57" s="1" t="s">
        <v>137</v>
      </c>
      <c r="G57" s="8">
        <f>CORREL(F36:F55,G36:G55)</f>
        <v>0.6153546865663746</v>
      </c>
      <c r="H57" s="6"/>
    </row>
    <row r="60" spans="1:8">
      <c r="H60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J87"/>
  <sheetViews>
    <sheetView zoomScale="70" zoomScaleNormal="70" workbookViewId="0">
      <selection activeCell="CE53" sqref="CE53"/>
    </sheetView>
  </sheetViews>
  <sheetFormatPr defaultColWidth="5.796875" defaultRowHeight="17.399999999999999"/>
  <cols>
    <col min="1" max="7" width="5.796875" style="59"/>
    <col min="8" max="9" width="9" style="59" bestFit="1" customWidth="1"/>
    <col min="10" max="15" width="5.796875" style="59"/>
    <col min="16" max="34" width="7.296875" style="59" customWidth="1"/>
    <col min="35" max="35" width="7.8984375" style="59" bestFit="1" customWidth="1"/>
    <col min="36" max="38" width="9.59765625" style="59" customWidth="1"/>
    <col min="39" max="39" width="5.796875" style="59"/>
    <col min="40" max="42" width="7.09765625" style="59" customWidth="1"/>
    <col min="43" max="43" width="5.796875" style="59"/>
    <col min="44" max="46" width="9.69921875" style="59" customWidth="1"/>
    <col min="47" max="51" width="5.796875" style="59"/>
    <col min="52" max="53" width="12.59765625" style="59" customWidth="1"/>
    <col min="54" max="16384" width="5.796875" style="59"/>
  </cols>
  <sheetData>
    <row r="1" spans="1:57">
      <c r="A1" s="112" t="s">
        <v>421</v>
      </c>
      <c r="B1" s="112"/>
      <c r="C1" s="112"/>
      <c r="D1" s="112"/>
      <c r="E1" s="112"/>
      <c r="F1" s="112"/>
      <c r="G1" s="112"/>
      <c r="H1" s="112"/>
      <c r="P1" s="112" t="s">
        <v>420</v>
      </c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  <c r="AD1" s="112"/>
      <c r="AF1" s="112" t="s">
        <v>428</v>
      </c>
      <c r="AG1" s="112"/>
      <c r="AH1" s="112"/>
      <c r="AI1" s="112"/>
      <c r="AJ1" s="112"/>
      <c r="AK1" s="112"/>
      <c r="AL1" s="112"/>
      <c r="AM1" s="112"/>
      <c r="AN1" s="112"/>
      <c r="AO1" s="112"/>
      <c r="AP1" s="112"/>
      <c r="AW1" s="112" t="s">
        <v>436</v>
      </c>
      <c r="AX1" s="112"/>
      <c r="AY1" s="112"/>
      <c r="AZ1" s="112"/>
      <c r="BA1" s="112"/>
      <c r="BB1" s="112"/>
      <c r="BC1" s="112"/>
      <c r="BD1" s="112"/>
      <c r="BE1" s="112"/>
    </row>
    <row r="2" spans="1:57">
      <c r="A2" s="116" t="s">
        <v>396</v>
      </c>
      <c r="B2" s="116"/>
      <c r="C2" s="116"/>
      <c r="E2" s="116" t="s">
        <v>422</v>
      </c>
      <c r="F2" s="116"/>
      <c r="G2" s="116"/>
      <c r="H2" s="116"/>
      <c r="P2" s="116" t="s">
        <v>396</v>
      </c>
      <c r="Q2" s="116"/>
      <c r="R2" s="116"/>
      <c r="T2" s="117" t="s">
        <v>397</v>
      </c>
      <c r="U2" s="117"/>
      <c r="V2" s="117"/>
      <c r="X2" s="111" t="s">
        <v>409</v>
      </c>
      <c r="Y2" s="111"/>
      <c r="Z2" s="111"/>
      <c r="AB2" s="111" t="s">
        <v>403</v>
      </c>
      <c r="AC2" s="111"/>
      <c r="AD2" s="111"/>
      <c r="AF2" s="116" t="s">
        <v>396</v>
      </c>
      <c r="AG2" s="116"/>
      <c r="AH2" s="116"/>
      <c r="AJ2" s="116" t="s">
        <v>429</v>
      </c>
      <c r="AK2" s="116"/>
      <c r="AL2" s="116"/>
      <c r="AN2" s="116" t="s">
        <v>409</v>
      </c>
      <c r="AO2" s="116"/>
      <c r="AP2" s="116"/>
      <c r="AW2" s="116" t="s">
        <v>396</v>
      </c>
      <c r="AX2" s="116"/>
      <c r="AZ2" s="62" t="s">
        <v>437</v>
      </c>
      <c r="BB2" s="115" t="s">
        <v>438</v>
      </c>
      <c r="BC2" s="115"/>
      <c r="BE2" s="63" t="s">
        <v>439</v>
      </c>
    </row>
    <row r="3" spans="1:57">
      <c r="A3" s="59">
        <v>1</v>
      </c>
      <c r="B3" s="59">
        <v>2</v>
      </c>
      <c r="C3" s="59">
        <v>3</v>
      </c>
      <c r="E3" s="59">
        <f t="array" ref="E3:H5">TRANSPOSE(A3:C6)</f>
        <v>1</v>
      </c>
      <c r="F3" s="59">
        <v>4</v>
      </c>
      <c r="G3" s="59">
        <v>7</v>
      </c>
      <c r="H3" s="59">
        <v>10</v>
      </c>
      <c r="P3" s="59">
        <v>1</v>
      </c>
      <c r="Q3" s="59">
        <v>2</v>
      </c>
      <c r="R3" s="59">
        <v>3</v>
      </c>
      <c r="T3" s="59">
        <v>9</v>
      </c>
      <c r="U3" s="59">
        <v>8</v>
      </c>
      <c r="V3" s="59">
        <v>7</v>
      </c>
      <c r="X3" s="81">
        <f t="array" ref="X3:Z5">MMULT(P3:R5,T3:V5)</f>
        <v>30</v>
      </c>
      <c r="Y3" s="81">
        <v>24</v>
      </c>
      <c r="Z3" s="81">
        <v>18</v>
      </c>
      <c r="AB3" s="81">
        <f t="array" ref="AB3:AD5">MMULT(T3:V5,P3:R5)</f>
        <v>90</v>
      </c>
      <c r="AC3" s="81">
        <v>114</v>
      </c>
      <c r="AD3" s="81">
        <v>138</v>
      </c>
      <c r="AF3" s="59">
        <v>1</v>
      </c>
      <c r="AG3" s="59">
        <v>-2</v>
      </c>
      <c r="AH3" s="59">
        <v>3</v>
      </c>
      <c r="AJ3" s="25">
        <f t="array" ref="AJ3:AL5">MINVERSE(AF3:AH5)</f>
        <v>0.5</v>
      </c>
      <c r="AK3" s="25">
        <v>0</v>
      </c>
      <c r="AL3" s="25">
        <v>0.5</v>
      </c>
      <c r="AM3" s="92"/>
      <c r="AN3" s="92">
        <f t="array" ref="AN3:AP5">MMULT(AF3:AH5,AJ3:AL5)</f>
        <v>1</v>
      </c>
      <c r="AO3" s="92">
        <v>0</v>
      </c>
      <c r="AP3" s="92">
        <v>0</v>
      </c>
      <c r="AW3" s="59">
        <v>1</v>
      </c>
      <c r="AX3" s="59">
        <v>1</v>
      </c>
      <c r="AZ3" s="59">
        <v>2</v>
      </c>
      <c r="BB3" s="81">
        <f t="array" ref="BB3:BC4">MINVERSE(AW3:AX4)</f>
        <v>0.5</v>
      </c>
      <c r="BC3" s="81">
        <v>0.25</v>
      </c>
      <c r="BE3" s="81">
        <f t="array" ref="BE3:BE4">MMULT(BB3:BC4,AZ3:AZ4)</f>
        <v>2</v>
      </c>
    </row>
    <row r="4" spans="1:57">
      <c r="A4" s="59">
        <v>4</v>
      </c>
      <c r="B4" s="59">
        <v>5</v>
      </c>
      <c r="C4" s="59">
        <v>6</v>
      </c>
      <c r="E4" s="59">
        <v>2</v>
      </c>
      <c r="F4" s="59">
        <v>5</v>
      </c>
      <c r="G4" s="59">
        <v>8</v>
      </c>
      <c r="H4" s="59">
        <v>11</v>
      </c>
      <c r="P4" s="59">
        <v>4</v>
      </c>
      <c r="Q4" s="59">
        <v>5</v>
      </c>
      <c r="R4" s="59">
        <v>6</v>
      </c>
      <c r="T4" s="59">
        <v>6</v>
      </c>
      <c r="U4" s="59">
        <v>5</v>
      </c>
      <c r="V4" s="59">
        <v>4</v>
      </c>
      <c r="X4" s="81">
        <v>84</v>
      </c>
      <c r="Y4" s="81">
        <v>69</v>
      </c>
      <c r="Z4" s="81">
        <v>54</v>
      </c>
      <c r="AB4" s="81">
        <v>54</v>
      </c>
      <c r="AC4" s="81">
        <v>69</v>
      </c>
      <c r="AD4" s="81">
        <v>84</v>
      </c>
      <c r="AF4" s="59">
        <v>-1</v>
      </c>
      <c r="AG4" s="59">
        <v>2</v>
      </c>
      <c r="AH4" s="59">
        <v>3</v>
      </c>
      <c r="AJ4" s="25">
        <v>0</v>
      </c>
      <c r="AK4" s="25">
        <v>0.25</v>
      </c>
      <c r="AL4" s="25">
        <v>0.25</v>
      </c>
      <c r="AM4" s="92"/>
      <c r="AN4" s="92">
        <v>0</v>
      </c>
      <c r="AO4" s="92">
        <v>1</v>
      </c>
      <c r="AP4" s="92">
        <v>0</v>
      </c>
      <c r="AW4" s="59">
        <v>2</v>
      </c>
      <c r="AX4" s="59">
        <v>-2</v>
      </c>
      <c r="AZ4" s="59">
        <v>4</v>
      </c>
      <c r="BB4" s="81">
        <v>0.5</v>
      </c>
      <c r="BC4" s="81">
        <v>-0.25</v>
      </c>
      <c r="BE4" s="81">
        <v>0</v>
      </c>
    </row>
    <row r="5" spans="1:57">
      <c r="A5" s="59">
        <v>7</v>
      </c>
      <c r="B5" s="59">
        <v>8</v>
      </c>
      <c r="C5" s="59">
        <v>9</v>
      </c>
      <c r="E5" s="59">
        <v>3</v>
      </c>
      <c r="F5" s="59">
        <v>6</v>
      </c>
      <c r="G5" s="59">
        <v>9</v>
      </c>
      <c r="H5" s="59">
        <v>12</v>
      </c>
      <c r="P5" s="59">
        <v>7</v>
      </c>
      <c r="Q5" s="59">
        <v>8</v>
      </c>
      <c r="R5" s="59">
        <v>9</v>
      </c>
      <c r="T5" s="59">
        <v>3</v>
      </c>
      <c r="U5" s="59">
        <v>2</v>
      </c>
      <c r="V5" s="59">
        <v>1</v>
      </c>
      <c r="X5" s="81">
        <v>138</v>
      </c>
      <c r="Y5" s="81">
        <v>114</v>
      </c>
      <c r="Z5" s="81">
        <v>90</v>
      </c>
      <c r="AB5" s="81">
        <v>18</v>
      </c>
      <c r="AC5" s="81">
        <v>24</v>
      </c>
      <c r="AD5" s="81">
        <v>30</v>
      </c>
      <c r="AF5" s="59">
        <v>1</v>
      </c>
      <c r="AG5" s="59">
        <v>2</v>
      </c>
      <c r="AH5" s="59">
        <v>-3</v>
      </c>
      <c r="AJ5" s="25">
        <v>0.16666666666666666</v>
      </c>
      <c r="AK5" s="25">
        <v>0.16666666666666666</v>
      </c>
      <c r="AL5" s="25">
        <v>0</v>
      </c>
      <c r="AM5" s="92"/>
      <c r="AN5" s="92">
        <v>0</v>
      </c>
      <c r="AO5" s="92">
        <v>0</v>
      </c>
      <c r="AP5" s="92">
        <v>1</v>
      </c>
    </row>
    <row r="6" spans="1:57">
      <c r="A6" s="59">
        <v>10</v>
      </c>
      <c r="B6" s="59">
        <v>11</v>
      </c>
      <c r="C6" s="59">
        <v>12</v>
      </c>
    </row>
    <row r="7" spans="1:57">
      <c r="P7" s="112" t="s">
        <v>419</v>
      </c>
      <c r="Q7" s="112"/>
      <c r="R7" s="112"/>
      <c r="S7" s="112"/>
      <c r="T7" s="112"/>
      <c r="U7" s="112"/>
      <c r="V7" s="112"/>
      <c r="W7" s="112"/>
      <c r="X7" s="112"/>
      <c r="Y7" s="112"/>
      <c r="Z7" s="112"/>
      <c r="AF7" s="112" t="s">
        <v>432</v>
      </c>
      <c r="AG7" s="112"/>
      <c r="AH7" s="112"/>
      <c r="AI7" s="112"/>
      <c r="AJ7" s="112"/>
      <c r="AK7" s="112"/>
      <c r="AL7" s="112"/>
      <c r="AM7" s="112"/>
      <c r="AN7" s="112"/>
      <c r="AO7" s="112"/>
      <c r="AP7" s="112"/>
      <c r="AW7" s="64" t="s">
        <v>440</v>
      </c>
      <c r="AX7" s="64" t="s">
        <v>441</v>
      </c>
      <c r="AZ7" s="111" t="s">
        <v>442</v>
      </c>
      <c r="BA7" s="111"/>
      <c r="BC7" s="115" t="s">
        <v>443</v>
      </c>
      <c r="BD7" s="115"/>
    </row>
    <row r="8" spans="1:57">
      <c r="A8" s="112" t="s">
        <v>423</v>
      </c>
      <c r="B8" s="112"/>
      <c r="C8" s="112"/>
      <c r="D8" s="112"/>
      <c r="E8" s="112"/>
      <c r="F8" s="112"/>
      <c r="G8" s="112"/>
      <c r="H8" s="112"/>
      <c r="I8" s="112"/>
      <c r="P8" s="116" t="s">
        <v>396</v>
      </c>
      <c r="Q8" s="116"/>
      <c r="R8" s="116"/>
      <c r="T8" s="117" t="s">
        <v>397</v>
      </c>
      <c r="U8" s="117"/>
      <c r="V8" s="117"/>
      <c r="X8" s="119" t="s">
        <v>404</v>
      </c>
      <c r="Y8" s="119"/>
      <c r="Z8" s="119"/>
      <c r="AF8" s="116" t="s">
        <v>396</v>
      </c>
      <c r="AG8" s="116"/>
      <c r="AH8" s="116"/>
      <c r="AJ8" s="116" t="s">
        <v>431</v>
      </c>
      <c r="AK8" s="116"/>
      <c r="AL8" s="116"/>
      <c r="AN8" s="116" t="s">
        <v>432</v>
      </c>
      <c r="AO8" s="116"/>
      <c r="AP8" s="116"/>
      <c r="AW8" s="59">
        <v>0</v>
      </c>
      <c r="AX8" s="59">
        <v>0</v>
      </c>
      <c r="AZ8" s="59">
        <v>2</v>
      </c>
      <c r="BA8" s="59">
        <v>0</v>
      </c>
      <c r="BC8" s="81">
        <f t="array" ref="BC8:BD11">MMULT(AW8:AX11,AZ8:BA9)</f>
        <v>0</v>
      </c>
      <c r="BD8" s="81">
        <v>0</v>
      </c>
    </row>
    <row r="9" spans="1:57">
      <c r="A9" s="118" t="s">
        <v>398</v>
      </c>
      <c r="B9" s="116" t="s">
        <v>396</v>
      </c>
      <c r="C9" s="116"/>
      <c r="D9" s="59" t="s">
        <v>400</v>
      </c>
      <c r="E9" s="111" t="s">
        <v>397</v>
      </c>
      <c r="F9" s="111"/>
      <c r="G9" s="59" t="s">
        <v>401</v>
      </c>
      <c r="H9" s="115" t="s">
        <v>402</v>
      </c>
      <c r="I9" s="115"/>
      <c r="P9" s="59">
        <v>1</v>
      </c>
      <c r="Q9" s="59">
        <v>2</v>
      </c>
      <c r="R9" s="59">
        <v>3</v>
      </c>
      <c r="T9" s="59">
        <v>9</v>
      </c>
      <c r="U9" s="59">
        <v>8</v>
      </c>
      <c r="V9" s="59">
        <v>7</v>
      </c>
      <c r="X9" s="59">
        <v>1</v>
      </c>
      <c r="Y9" s="59">
        <v>2</v>
      </c>
      <c r="Z9" s="59">
        <v>3</v>
      </c>
      <c r="AF9" s="59">
        <v>1</v>
      </c>
      <c r="AG9" s="59">
        <v>-2</v>
      </c>
      <c r="AH9" s="59">
        <v>3</v>
      </c>
      <c r="AJ9" s="81">
        <f t="array" ref="AJ9:AL11">MINVERSE(AF9:AH11)</f>
        <v>0.5</v>
      </c>
      <c r="AK9" s="81">
        <v>0</v>
      </c>
      <c r="AL9" s="81">
        <v>0.5</v>
      </c>
      <c r="AN9" s="81">
        <f t="array" ref="AN9:AP11">MINVERSE(AJ9:AL11)</f>
        <v>1</v>
      </c>
      <c r="AO9" s="81">
        <v>-2</v>
      </c>
      <c r="AP9" s="81">
        <v>3</v>
      </c>
      <c r="AW9" s="59">
        <v>1</v>
      </c>
      <c r="AX9" s="59">
        <v>0</v>
      </c>
      <c r="AZ9" s="59">
        <v>0</v>
      </c>
      <c r="BA9" s="59">
        <v>2</v>
      </c>
      <c r="BC9" s="81">
        <v>2</v>
      </c>
      <c r="BD9" s="81">
        <v>0</v>
      </c>
    </row>
    <row r="10" spans="1:57">
      <c r="A10" s="118"/>
      <c r="B10" s="59">
        <v>1</v>
      </c>
      <c r="C10" s="59">
        <v>2</v>
      </c>
      <c r="E10" s="59">
        <v>5</v>
      </c>
      <c r="F10" s="59">
        <v>6</v>
      </c>
      <c r="H10" s="59">
        <f t="array" ref="H10:I11">B10:C11+E10:F11</f>
        <v>6</v>
      </c>
      <c r="I10" s="59">
        <v>8</v>
      </c>
      <c r="P10" s="59">
        <v>4</v>
      </c>
      <c r="Q10" s="59">
        <v>5</v>
      </c>
      <c r="R10" s="59">
        <v>6</v>
      </c>
      <c r="T10" s="59">
        <v>6</v>
      </c>
      <c r="U10" s="59">
        <v>5</v>
      </c>
      <c r="V10" s="59">
        <v>4</v>
      </c>
      <c r="X10" s="59">
        <v>6</v>
      </c>
      <c r="Y10" s="59">
        <v>5</v>
      </c>
      <c r="Z10" s="59">
        <v>4</v>
      </c>
      <c r="AF10" s="59">
        <v>-1</v>
      </c>
      <c r="AG10" s="59">
        <v>2</v>
      </c>
      <c r="AH10" s="59">
        <v>3</v>
      </c>
      <c r="AJ10" s="81">
        <v>0</v>
      </c>
      <c r="AK10" s="81">
        <v>0.25</v>
      </c>
      <c r="AL10" s="81">
        <v>0.25</v>
      </c>
      <c r="AN10" s="81">
        <v>-1</v>
      </c>
      <c r="AO10" s="81">
        <v>2</v>
      </c>
      <c r="AP10" s="81">
        <v>3</v>
      </c>
      <c r="AQ10" s="59" t="s">
        <v>430</v>
      </c>
      <c r="AW10" s="59">
        <v>0</v>
      </c>
      <c r="AX10" s="59">
        <v>1</v>
      </c>
      <c r="BC10" s="81">
        <v>0</v>
      </c>
      <c r="BD10" s="81">
        <v>2</v>
      </c>
    </row>
    <row r="11" spans="1:57">
      <c r="A11" s="118"/>
      <c r="B11" s="59">
        <v>3</v>
      </c>
      <c r="C11" s="59">
        <v>4</v>
      </c>
      <c r="E11" s="59">
        <v>7</v>
      </c>
      <c r="F11" s="59">
        <v>8</v>
      </c>
      <c r="H11" s="59">
        <v>10</v>
      </c>
      <c r="I11" s="59">
        <v>12</v>
      </c>
      <c r="P11" s="59">
        <v>7</v>
      </c>
      <c r="Q11" s="59">
        <v>8</v>
      </c>
      <c r="R11" s="59">
        <v>9</v>
      </c>
      <c r="T11" s="59">
        <v>3</v>
      </c>
      <c r="U11" s="59">
        <v>2</v>
      </c>
      <c r="V11" s="59">
        <v>1</v>
      </c>
      <c r="X11" s="59">
        <v>1</v>
      </c>
      <c r="Y11" s="59">
        <v>2</v>
      </c>
      <c r="Z11" s="59">
        <v>3</v>
      </c>
      <c r="AF11" s="59">
        <v>1</v>
      </c>
      <c r="AG11" s="59">
        <v>2</v>
      </c>
      <c r="AH11" s="59">
        <v>-3</v>
      </c>
      <c r="AJ11" s="81">
        <v>0.16666666666666666</v>
      </c>
      <c r="AK11" s="81">
        <v>0.16666666666666666</v>
      </c>
      <c r="AL11" s="81">
        <v>0</v>
      </c>
      <c r="AN11" s="81">
        <v>1</v>
      </c>
      <c r="AO11" s="81">
        <v>2</v>
      </c>
      <c r="AP11" s="81">
        <v>-3</v>
      </c>
      <c r="AW11" s="59">
        <v>1</v>
      </c>
      <c r="AX11" s="59">
        <v>1</v>
      </c>
      <c r="BC11" s="81">
        <v>2</v>
      </c>
      <c r="BD11" s="81">
        <v>2</v>
      </c>
    </row>
    <row r="13" spans="1:57">
      <c r="A13" s="118" t="s">
        <v>399</v>
      </c>
      <c r="B13" s="116" t="s">
        <v>396</v>
      </c>
      <c r="C13" s="116"/>
      <c r="D13" s="59" t="s">
        <v>545</v>
      </c>
      <c r="E13" s="111" t="s">
        <v>397</v>
      </c>
      <c r="F13" s="111"/>
      <c r="G13" s="59" t="s">
        <v>401</v>
      </c>
      <c r="H13" s="115" t="s">
        <v>546</v>
      </c>
      <c r="I13" s="115"/>
      <c r="P13" s="111" t="s">
        <v>407</v>
      </c>
      <c r="Q13" s="111"/>
      <c r="R13" s="111"/>
      <c r="T13" s="111" t="s">
        <v>405</v>
      </c>
      <c r="U13" s="111"/>
      <c r="V13" s="111"/>
      <c r="AF13" s="112" t="s">
        <v>432</v>
      </c>
      <c r="AG13" s="112"/>
      <c r="AH13" s="112"/>
      <c r="AI13" s="112"/>
      <c r="AJ13" s="112"/>
      <c r="AK13" s="112"/>
      <c r="AL13" s="112"/>
      <c r="AM13" s="112"/>
      <c r="AN13" s="112"/>
      <c r="AO13" s="112"/>
      <c r="AP13" s="112"/>
      <c r="AQ13" s="112"/>
      <c r="AR13" s="112"/>
      <c r="AS13" s="112"/>
      <c r="AT13" s="112"/>
      <c r="AW13" s="64" t="s">
        <v>440</v>
      </c>
      <c r="AX13" s="64" t="s">
        <v>441</v>
      </c>
      <c r="AZ13" s="111" t="s">
        <v>444</v>
      </c>
      <c r="BA13" s="111"/>
      <c r="BC13" s="115" t="s">
        <v>445</v>
      </c>
      <c r="BD13" s="115"/>
    </row>
    <row r="14" spans="1:57">
      <c r="A14" s="118"/>
      <c r="B14" s="59">
        <v>1</v>
      </c>
      <c r="C14" s="59">
        <v>2</v>
      </c>
      <c r="E14" s="59">
        <v>9</v>
      </c>
      <c r="F14" s="59">
        <v>8</v>
      </c>
      <c r="H14" s="59">
        <f t="array" ref="H14:I15">B14:C15-E14:F15</f>
        <v>-8</v>
      </c>
      <c r="I14" s="59">
        <v>-6</v>
      </c>
      <c r="P14" s="81">
        <f t="array" ref="P14:R16">MMULT(P9:R11,T9:V11)</f>
        <v>30</v>
      </c>
      <c r="Q14" s="81">
        <v>24</v>
      </c>
      <c r="R14" s="81">
        <v>18</v>
      </c>
      <c r="T14" s="81">
        <f t="array" ref="T14:V16">MMULT(P14:R16,X9:Z11)</f>
        <v>192</v>
      </c>
      <c r="U14" s="81">
        <v>216</v>
      </c>
      <c r="V14" s="81">
        <v>240</v>
      </c>
      <c r="AF14" s="116" t="s">
        <v>396</v>
      </c>
      <c r="AG14" s="116"/>
      <c r="AH14" s="116"/>
      <c r="AJ14" s="117" t="s">
        <v>397</v>
      </c>
      <c r="AK14" s="117"/>
      <c r="AL14" s="117"/>
      <c r="AN14" s="111" t="s">
        <v>409</v>
      </c>
      <c r="AO14" s="111"/>
      <c r="AP14" s="111"/>
      <c r="AR14" s="111" t="s">
        <v>433</v>
      </c>
      <c r="AS14" s="111"/>
      <c r="AT14" s="111"/>
      <c r="AW14" s="59">
        <v>0</v>
      </c>
      <c r="AX14" s="59">
        <v>0</v>
      </c>
      <c r="AZ14" s="59">
        <v>0.5</v>
      </c>
      <c r="BA14" s="59">
        <v>0</v>
      </c>
      <c r="BC14" s="81">
        <f t="array" ref="BC14:BD17">MMULT(AW14:AX17,AZ14:BA15)</f>
        <v>0</v>
      </c>
      <c r="BD14" s="81">
        <v>0</v>
      </c>
    </row>
    <row r="15" spans="1:57">
      <c r="A15" s="118"/>
      <c r="B15" s="59">
        <v>3</v>
      </c>
      <c r="C15" s="59">
        <v>4</v>
      </c>
      <c r="E15" s="59">
        <v>7</v>
      </c>
      <c r="F15" s="59">
        <v>6</v>
      </c>
      <c r="H15" s="59">
        <v>-4</v>
      </c>
      <c r="I15" s="59">
        <v>-2</v>
      </c>
      <c r="P15" s="81">
        <v>84</v>
      </c>
      <c r="Q15" s="81">
        <v>69</v>
      </c>
      <c r="R15" s="81">
        <v>54</v>
      </c>
      <c r="T15" s="81">
        <v>552</v>
      </c>
      <c r="U15" s="81">
        <v>621</v>
      </c>
      <c r="V15" s="81">
        <v>690</v>
      </c>
      <c r="AF15" s="59">
        <v>1</v>
      </c>
      <c r="AG15" s="59">
        <v>-2</v>
      </c>
      <c r="AH15" s="59">
        <v>3</v>
      </c>
      <c r="AJ15" s="59">
        <v>1</v>
      </c>
      <c r="AK15" s="59">
        <v>2</v>
      </c>
      <c r="AL15" s="59">
        <v>-1</v>
      </c>
      <c r="AN15" s="81">
        <f t="array" ref="AN15:AP17">MMULT(AF15:AH17,AJ15:AL17)</f>
        <v>6</v>
      </c>
      <c r="AO15" s="81">
        <v>2</v>
      </c>
      <c r="AP15" s="81">
        <v>10</v>
      </c>
      <c r="AR15" s="82">
        <f t="array" ref="AR15:AT17">MINVERSE(AN15:AP17)</f>
        <v>-0.38888888888888884</v>
      </c>
      <c r="AS15" s="82">
        <v>0.15277777777777782</v>
      </c>
      <c r="AT15" s="82">
        <v>-0.37500000000000006</v>
      </c>
      <c r="AW15" s="59">
        <v>1</v>
      </c>
      <c r="AX15" s="59">
        <v>0</v>
      </c>
      <c r="AZ15" s="59">
        <v>0</v>
      </c>
      <c r="BA15" s="59">
        <v>0.5</v>
      </c>
      <c r="BC15" s="81">
        <v>0.5</v>
      </c>
      <c r="BD15" s="81">
        <v>0</v>
      </c>
    </row>
    <row r="16" spans="1:57">
      <c r="P16" s="81">
        <v>138</v>
      </c>
      <c r="Q16" s="81">
        <v>114</v>
      </c>
      <c r="R16" s="81">
        <v>90</v>
      </c>
      <c r="T16" s="81">
        <v>912</v>
      </c>
      <c r="U16" s="81">
        <v>1026</v>
      </c>
      <c r="V16" s="81">
        <v>1140</v>
      </c>
      <c r="AF16" s="59">
        <v>-1</v>
      </c>
      <c r="AG16" s="59">
        <v>2</v>
      </c>
      <c r="AH16" s="59">
        <v>3</v>
      </c>
      <c r="AJ16" s="59">
        <v>2</v>
      </c>
      <c r="AK16" s="59">
        <v>3</v>
      </c>
      <c r="AL16" s="59">
        <v>-4</v>
      </c>
      <c r="AN16" s="81">
        <v>12</v>
      </c>
      <c r="AO16" s="81">
        <v>10</v>
      </c>
      <c r="AP16" s="81">
        <v>-4</v>
      </c>
      <c r="AR16" s="82">
        <v>0.55555555555555558</v>
      </c>
      <c r="AS16" s="82">
        <v>-0.11111111111111115</v>
      </c>
      <c r="AT16" s="82">
        <v>0.50000000000000011</v>
      </c>
      <c r="AW16" s="59">
        <v>0</v>
      </c>
      <c r="AX16" s="59">
        <v>1</v>
      </c>
      <c r="BC16" s="81">
        <v>0</v>
      </c>
      <c r="BD16" s="81">
        <v>0.5</v>
      </c>
    </row>
    <row r="17" spans="1:62">
      <c r="A17" s="112" t="s">
        <v>424</v>
      </c>
      <c r="B17" s="112"/>
      <c r="C17" s="112"/>
      <c r="D17" s="112"/>
      <c r="E17" s="112"/>
      <c r="F17" s="112"/>
      <c r="G17" s="112"/>
      <c r="H17" s="112"/>
      <c r="I17" s="112"/>
      <c r="AF17" s="59">
        <v>1</v>
      </c>
      <c r="AG17" s="59">
        <v>2</v>
      </c>
      <c r="AH17" s="59">
        <v>-3</v>
      </c>
      <c r="AJ17" s="59">
        <v>3</v>
      </c>
      <c r="AK17" s="59">
        <v>2</v>
      </c>
      <c r="AL17" s="59">
        <v>1</v>
      </c>
      <c r="AN17" s="81">
        <v>-4</v>
      </c>
      <c r="AO17" s="81">
        <v>2</v>
      </c>
      <c r="AP17" s="81">
        <v>-12</v>
      </c>
      <c r="AR17" s="82">
        <v>0.22222222222222221</v>
      </c>
      <c r="AS17" s="82">
        <v>-6.9444444444444448E-2</v>
      </c>
      <c r="AT17" s="82">
        <v>0.125</v>
      </c>
      <c r="AW17" s="59">
        <v>1</v>
      </c>
      <c r="AX17" s="59">
        <v>1</v>
      </c>
      <c r="BC17" s="81">
        <v>0.5</v>
      </c>
      <c r="BD17" s="81">
        <v>0.5</v>
      </c>
    </row>
    <row r="18" spans="1:62">
      <c r="A18" s="116" t="s">
        <v>396</v>
      </c>
      <c r="B18" s="116"/>
      <c r="C18" s="116"/>
      <c r="E18" s="111" t="s">
        <v>397</v>
      </c>
      <c r="F18" s="111"/>
      <c r="H18" s="115" t="s">
        <v>409</v>
      </c>
      <c r="I18" s="115"/>
      <c r="P18" s="111" t="s">
        <v>408</v>
      </c>
      <c r="Q18" s="111"/>
      <c r="R18" s="111"/>
      <c r="T18" s="111" t="s">
        <v>406</v>
      </c>
      <c r="U18" s="111"/>
      <c r="V18" s="111"/>
    </row>
    <row r="19" spans="1:62">
      <c r="A19" s="59">
        <v>1</v>
      </c>
      <c r="B19" s="59">
        <v>2</v>
      </c>
      <c r="C19" s="59">
        <v>3</v>
      </c>
      <c r="E19" s="59">
        <v>7</v>
      </c>
      <c r="F19" s="59">
        <v>8</v>
      </c>
      <c r="H19" s="59">
        <f t="array" ref="H19:I20">MMULT(A19:C20,E19:F21)</f>
        <v>58</v>
      </c>
      <c r="I19" s="59">
        <v>64</v>
      </c>
      <c r="P19" s="81">
        <f t="array" ref="P19:R21">MMULT(T9:V11,X9:Z11)</f>
        <v>64</v>
      </c>
      <c r="Q19" s="81">
        <v>72</v>
      </c>
      <c r="R19" s="81">
        <v>80</v>
      </c>
      <c r="T19" s="81">
        <f t="array" ref="T19:V21">MMULT(P9:R11,P19:R21)</f>
        <v>192</v>
      </c>
      <c r="U19" s="81">
        <v>216</v>
      </c>
      <c r="V19" s="81">
        <v>240</v>
      </c>
      <c r="AF19" s="116" t="s">
        <v>431</v>
      </c>
      <c r="AG19" s="116"/>
      <c r="AH19" s="116"/>
      <c r="AJ19" s="117" t="s">
        <v>434</v>
      </c>
      <c r="AK19" s="117"/>
      <c r="AL19" s="117"/>
      <c r="AR19" s="111" t="s">
        <v>547</v>
      </c>
      <c r="AS19" s="111"/>
      <c r="AT19" s="111"/>
      <c r="AW19" s="64" t="s">
        <v>440</v>
      </c>
      <c r="AX19" s="64" t="s">
        <v>441</v>
      </c>
      <c r="AZ19" s="111" t="s">
        <v>446</v>
      </c>
      <c r="BA19" s="111"/>
      <c r="BC19" s="116" t="s">
        <v>447</v>
      </c>
      <c r="BD19" s="116"/>
      <c r="BF19" s="117" t="s">
        <v>451</v>
      </c>
      <c r="BG19" s="117"/>
      <c r="BI19" s="115" t="s">
        <v>452</v>
      </c>
      <c r="BJ19" s="115"/>
    </row>
    <row r="20" spans="1:62">
      <c r="A20" s="59">
        <v>4</v>
      </c>
      <c r="B20" s="59">
        <v>5</v>
      </c>
      <c r="C20" s="59">
        <v>6</v>
      </c>
      <c r="E20" s="59">
        <v>9</v>
      </c>
      <c r="F20" s="59">
        <v>10</v>
      </c>
      <c r="H20" s="59">
        <v>139</v>
      </c>
      <c r="I20" s="59">
        <v>154</v>
      </c>
      <c r="P20" s="81">
        <v>40</v>
      </c>
      <c r="Q20" s="81">
        <v>45</v>
      </c>
      <c r="R20" s="81">
        <v>50</v>
      </c>
      <c r="T20" s="81">
        <v>552</v>
      </c>
      <c r="U20" s="81">
        <v>621</v>
      </c>
      <c r="V20" s="81">
        <v>690</v>
      </c>
      <c r="AF20" s="82">
        <f t="array" ref="AF20:AH22">MINVERSE(AF15:AH17)</f>
        <v>0.5</v>
      </c>
      <c r="AG20" s="82">
        <v>0</v>
      </c>
      <c r="AH20" s="82">
        <v>0.5</v>
      </c>
      <c r="AI20" s="60"/>
      <c r="AJ20" s="82">
        <f t="array" ref="AJ20:AL22">MINVERSE(AJ15:AL17)</f>
        <v>-0.91666666666666652</v>
      </c>
      <c r="AK20" s="82">
        <v>0.33333333333333331</v>
      </c>
      <c r="AL20" s="82">
        <v>0.41666666666666669</v>
      </c>
      <c r="AM20" s="60"/>
      <c r="AN20" s="60"/>
      <c r="AO20" s="60"/>
      <c r="AP20" s="60"/>
      <c r="AQ20" s="60"/>
      <c r="AR20" s="82">
        <f t="array" ref="AR20:AT22">MMULT(AJ20:AL22,AF20:AH22)</f>
        <v>-0.38888888888888884</v>
      </c>
      <c r="AS20" s="82">
        <v>0.15277777777777779</v>
      </c>
      <c r="AT20" s="82">
        <v>-0.37499999999999994</v>
      </c>
      <c r="AU20" s="61"/>
      <c r="AW20" s="59">
        <v>0</v>
      </c>
      <c r="AX20" s="59">
        <v>0</v>
      </c>
      <c r="AZ20" s="60">
        <f>SQRT(2)/2</f>
        <v>0.70710678118654757</v>
      </c>
      <c r="BA20" s="60">
        <f>-SQRT(2)/2</f>
        <v>-0.70710678118654757</v>
      </c>
      <c r="BC20" s="81">
        <f t="array" ref="BC20:BD23">MMULT(AW20:AX23,AZ20:BA21)</f>
        <v>0</v>
      </c>
      <c r="BD20" s="81">
        <v>0</v>
      </c>
      <c r="BF20" s="92">
        <v>2</v>
      </c>
      <c r="BG20" s="92">
        <v>3</v>
      </c>
      <c r="BI20" s="81">
        <f>BC20+$BF$20</f>
        <v>2</v>
      </c>
      <c r="BJ20" s="81">
        <f>BD20+$BG$20</f>
        <v>3</v>
      </c>
    </row>
    <row r="21" spans="1:62">
      <c r="E21" s="59">
        <v>11</v>
      </c>
      <c r="F21" s="59">
        <v>12</v>
      </c>
      <c r="P21" s="81">
        <v>16</v>
      </c>
      <c r="Q21" s="81">
        <v>18</v>
      </c>
      <c r="R21" s="81">
        <v>20</v>
      </c>
      <c r="T21" s="81">
        <v>912</v>
      </c>
      <c r="U21" s="81">
        <v>1026</v>
      </c>
      <c r="V21" s="81">
        <v>1140</v>
      </c>
      <c r="AF21" s="82">
        <v>0</v>
      </c>
      <c r="AG21" s="82">
        <v>0.25</v>
      </c>
      <c r="AH21" s="82">
        <v>0.25</v>
      </c>
      <c r="AI21" s="60"/>
      <c r="AJ21" s="82">
        <v>1.1666666666666665</v>
      </c>
      <c r="AK21" s="82">
        <v>-0.33333333333333331</v>
      </c>
      <c r="AL21" s="82">
        <v>-0.16666666666666663</v>
      </c>
      <c r="AM21" s="60"/>
      <c r="AN21" s="60"/>
      <c r="AO21" s="60"/>
      <c r="AP21" s="60"/>
      <c r="AQ21" s="60"/>
      <c r="AR21" s="82">
        <v>0.55555555555555547</v>
      </c>
      <c r="AS21" s="82">
        <v>-0.1111111111111111</v>
      </c>
      <c r="AT21" s="82">
        <v>0.49999999999999994</v>
      </c>
      <c r="AU21" s="61"/>
      <c r="AW21" s="59">
        <v>1</v>
      </c>
      <c r="AX21" s="59">
        <v>0</v>
      </c>
      <c r="AZ21" s="60">
        <f>SQRT(2)/2</f>
        <v>0.70710678118654757</v>
      </c>
      <c r="BA21" s="60">
        <f>SQRT(2)/2</f>
        <v>0.70710678118654757</v>
      </c>
      <c r="BC21" s="81">
        <v>0.70710678118654757</v>
      </c>
      <c r="BD21" s="81">
        <v>-0.70710678118654757</v>
      </c>
      <c r="BI21" s="81">
        <f>BC21+$BF$20</f>
        <v>2.7071067811865475</v>
      </c>
      <c r="BJ21" s="81">
        <f>BD21+$BG$20</f>
        <v>2.2928932188134525</v>
      </c>
    </row>
    <row r="22" spans="1:62">
      <c r="AF22" s="82">
        <v>0.16666666666666666</v>
      </c>
      <c r="AG22" s="82">
        <v>0.16666666666666666</v>
      </c>
      <c r="AH22" s="82">
        <v>0</v>
      </c>
      <c r="AI22" s="60"/>
      <c r="AJ22" s="82">
        <v>0.41666666666666663</v>
      </c>
      <c r="AK22" s="82">
        <v>-0.33333333333333331</v>
      </c>
      <c r="AL22" s="82">
        <v>8.3333333333333329E-2</v>
      </c>
      <c r="AM22" s="60"/>
      <c r="AN22" s="60"/>
      <c r="AO22" s="60"/>
      <c r="AP22" s="60"/>
      <c r="AQ22" s="60"/>
      <c r="AR22" s="82">
        <v>0.22222222222222221</v>
      </c>
      <c r="AS22" s="82">
        <v>-6.9444444444444448E-2</v>
      </c>
      <c r="AT22" s="82">
        <v>0.12499999999999999</v>
      </c>
      <c r="AU22" s="61"/>
      <c r="AW22" s="59">
        <v>0</v>
      </c>
      <c r="AX22" s="59">
        <v>1</v>
      </c>
      <c r="AZ22" s="60"/>
      <c r="BA22" s="60"/>
      <c r="BC22" s="81">
        <v>0.70710678118654757</v>
      </c>
      <c r="BD22" s="81">
        <v>0.70710678118654757</v>
      </c>
      <c r="BI22" s="81">
        <f>BC22+$BF$20</f>
        <v>2.7071067811865475</v>
      </c>
      <c r="BJ22" s="81">
        <f>BD22+$BG$20</f>
        <v>3.7071067811865475</v>
      </c>
    </row>
    <row r="23" spans="1:62">
      <c r="P23" s="112" t="s">
        <v>418</v>
      </c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W23" s="59">
        <v>1</v>
      </c>
      <c r="AX23" s="59">
        <v>1</v>
      </c>
      <c r="AZ23" s="60"/>
      <c r="BA23" s="60"/>
      <c r="BC23" s="81">
        <v>1.4142135623730951</v>
      </c>
      <c r="BD23" s="81">
        <v>0</v>
      </c>
      <c r="BI23" s="81">
        <f>BC23+$BF$20</f>
        <v>3.4142135623730949</v>
      </c>
      <c r="BJ23" s="81">
        <f>BD23+$BG$20</f>
        <v>3</v>
      </c>
    </row>
    <row r="24" spans="1:62">
      <c r="A24" s="112" t="s">
        <v>425</v>
      </c>
      <c r="B24" s="112"/>
      <c r="C24" s="112"/>
      <c r="D24" s="112"/>
      <c r="E24" s="112"/>
      <c r="F24" s="112"/>
      <c r="G24" s="112"/>
      <c r="H24" s="112"/>
      <c r="I24" s="112"/>
      <c r="P24" s="116" t="s">
        <v>396</v>
      </c>
      <c r="Q24" s="116"/>
      <c r="R24" s="116"/>
      <c r="T24" s="117" t="s">
        <v>397</v>
      </c>
      <c r="U24" s="117"/>
      <c r="V24" s="117"/>
      <c r="X24" s="119" t="s">
        <v>404</v>
      </c>
      <c r="Y24" s="119"/>
      <c r="Z24" s="119"/>
      <c r="AF24" s="112" t="s">
        <v>435</v>
      </c>
      <c r="AG24" s="112"/>
      <c r="AH24" s="112"/>
      <c r="AI24" s="112"/>
      <c r="AJ24" s="112"/>
      <c r="AZ24" s="60"/>
      <c r="BA24" s="60"/>
    </row>
    <row r="25" spans="1:62">
      <c r="A25" s="116" t="s">
        <v>396</v>
      </c>
      <c r="B25" s="116"/>
      <c r="C25" s="116"/>
      <c r="E25" s="111" t="s">
        <v>397</v>
      </c>
      <c r="F25" s="111"/>
      <c r="H25" s="115" t="s">
        <v>409</v>
      </c>
      <c r="I25" s="115"/>
      <c r="P25" s="59">
        <v>1</v>
      </c>
      <c r="Q25" s="59">
        <v>2</v>
      </c>
      <c r="R25" s="59">
        <v>3</v>
      </c>
      <c r="T25" s="59">
        <v>9</v>
      </c>
      <c r="U25" s="59">
        <v>8</v>
      </c>
      <c r="V25" s="59">
        <v>7</v>
      </c>
      <c r="X25" s="59">
        <v>1</v>
      </c>
      <c r="Y25" s="59">
        <v>2</v>
      </c>
      <c r="Z25" s="59">
        <v>3</v>
      </c>
      <c r="AF25" s="116" t="s">
        <v>396</v>
      </c>
      <c r="AG25" s="116"/>
      <c r="AI25" s="116" t="s">
        <v>429</v>
      </c>
      <c r="AJ25" s="116"/>
      <c r="AW25" s="64" t="s">
        <v>440</v>
      </c>
      <c r="AX25" s="64" t="s">
        <v>441</v>
      </c>
      <c r="AZ25" s="114" t="s">
        <v>448</v>
      </c>
      <c r="BA25" s="114"/>
      <c r="BC25" s="115" t="s">
        <v>447</v>
      </c>
      <c r="BD25" s="115"/>
    </row>
    <row r="26" spans="1:62">
      <c r="A26" s="59">
        <v>1</v>
      </c>
      <c r="B26" s="59">
        <v>2</v>
      </c>
      <c r="C26" s="59">
        <v>3</v>
      </c>
      <c r="E26" s="59">
        <v>7</v>
      </c>
      <c r="F26" s="59">
        <v>8</v>
      </c>
      <c r="H26" s="59" t="e">
        <f t="array" ref="H26:I27">MMULT(A26:C27,E26:F29)</f>
        <v>#VALUE!</v>
      </c>
      <c r="I26" s="59" t="e">
        <v>#VALUE!</v>
      </c>
      <c r="P26" s="59">
        <v>4</v>
      </c>
      <c r="Q26" s="59">
        <v>5</v>
      </c>
      <c r="R26" s="59">
        <v>6</v>
      </c>
      <c r="T26" s="59">
        <v>6</v>
      </c>
      <c r="U26" s="59">
        <v>5</v>
      </c>
      <c r="V26" s="59">
        <v>4</v>
      </c>
      <c r="X26" s="59">
        <v>6</v>
      </c>
      <c r="Y26" s="59">
        <v>5</v>
      </c>
      <c r="Z26" s="59">
        <v>4</v>
      </c>
      <c r="AF26" s="59">
        <v>1</v>
      </c>
      <c r="AG26" s="59">
        <v>2</v>
      </c>
      <c r="AI26" s="81" t="e">
        <f t="array" ref="AI26:AJ27">MINVERSE(AF26:AG27)</f>
        <v>#NUM!</v>
      </c>
      <c r="AJ26" s="82" t="e">
        <v>#NUM!</v>
      </c>
      <c r="AW26" s="59">
        <v>0</v>
      </c>
      <c r="AX26" s="59">
        <v>0</v>
      </c>
      <c r="AZ26" s="60">
        <f>SQRT(3)/2</f>
        <v>0.8660254037844386</v>
      </c>
      <c r="BA26" s="60">
        <v>0.5</v>
      </c>
      <c r="BC26" s="81">
        <f t="array" ref="BC26:BD29">MMULT(AW26:AX29,AZ26:BA27)</f>
        <v>0</v>
      </c>
      <c r="BD26" s="81">
        <v>0</v>
      </c>
    </row>
    <row r="27" spans="1:62">
      <c r="A27" s="59">
        <v>4</v>
      </c>
      <c r="B27" s="59">
        <v>5</v>
      </c>
      <c r="C27" s="59">
        <v>6</v>
      </c>
      <c r="E27" s="59">
        <v>9</v>
      </c>
      <c r="F27" s="59">
        <v>10</v>
      </c>
      <c r="H27" s="59" t="e">
        <v>#VALUE!</v>
      </c>
      <c r="I27" s="59" t="e">
        <v>#VALUE!</v>
      </c>
      <c r="P27" s="59">
        <v>7</v>
      </c>
      <c r="Q27" s="59">
        <v>8</v>
      </c>
      <c r="R27" s="59">
        <v>9</v>
      </c>
      <c r="T27" s="59">
        <v>3</v>
      </c>
      <c r="U27" s="59">
        <v>2</v>
      </c>
      <c r="V27" s="59">
        <v>1</v>
      </c>
      <c r="X27" s="59">
        <v>1</v>
      </c>
      <c r="Y27" s="59">
        <v>2</v>
      </c>
      <c r="Z27" s="59">
        <v>3</v>
      </c>
      <c r="AF27" s="59">
        <v>1</v>
      </c>
      <c r="AG27" s="59">
        <v>2</v>
      </c>
      <c r="AI27" s="81" t="e">
        <v>#NUM!</v>
      </c>
      <c r="AJ27" s="82" t="e">
        <v>#NUM!</v>
      </c>
      <c r="AW27" s="59">
        <v>1</v>
      </c>
      <c r="AX27" s="59">
        <v>0</v>
      </c>
      <c r="AZ27" s="60">
        <v>-0.5</v>
      </c>
      <c r="BA27" s="60">
        <f>SQRT(3)/2</f>
        <v>0.8660254037844386</v>
      </c>
      <c r="BC27" s="81">
        <v>0.8660254037844386</v>
      </c>
      <c r="BD27" s="81">
        <v>0.5</v>
      </c>
    </row>
    <row r="28" spans="1:62">
      <c r="E28" s="59">
        <v>11</v>
      </c>
      <c r="F28" s="59">
        <v>12</v>
      </c>
      <c r="AJ28" s="60"/>
      <c r="AK28" s="60"/>
      <c r="AL28" s="60"/>
      <c r="AW28" s="59">
        <v>0</v>
      </c>
      <c r="AX28" s="59">
        <v>1</v>
      </c>
      <c r="BC28" s="81">
        <v>-0.5</v>
      </c>
      <c r="BD28" s="81">
        <v>0.8660254037844386</v>
      </c>
    </row>
    <row r="29" spans="1:62">
      <c r="E29" s="59">
        <v>13</v>
      </c>
      <c r="F29" s="59">
        <v>14</v>
      </c>
      <c r="P29" s="111" t="s">
        <v>410</v>
      </c>
      <c r="Q29" s="111"/>
      <c r="R29" s="111"/>
      <c r="X29" s="111" t="s">
        <v>411</v>
      </c>
      <c r="Y29" s="111"/>
      <c r="Z29" s="111"/>
      <c r="AW29" s="59">
        <v>1</v>
      </c>
      <c r="AX29" s="59">
        <v>1</v>
      </c>
      <c r="BC29" s="81">
        <v>0.3660254037844386</v>
      </c>
      <c r="BD29" s="81">
        <v>1.3660254037844386</v>
      </c>
    </row>
    <row r="30" spans="1:62">
      <c r="P30" s="81">
        <f t="array" ref="P30:R32">T25:V27+X25:Z27</f>
        <v>10</v>
      </c>
      <c r="Q30" s="81">
        <v>10</v>
      </c>
      <c r="R30" s="81">
        <v>10</v>
      </c>
      <c r="X30" s="81">
        <f t="array" ref="X30:Z32">MMULT(P25:R27,P30:R32)</f>
        <v>46</v>
      </c>
      <c r="Y30" s="81">
        <v>42</v>
      </c>
      <c r="Z30" s="81">
        <v>38</v>
      </c>
    </row>
    <row r="31" spans="1:62">
      <c r="A31" s="112" t="s">
        <v>426</v>
      </c>
      <c r="B31" s="112"/>
      <c r="C31" s="112"/>
      <c r="D31" s="112"/>
      <c r="E31" s="112"/>
      <c r="F31" s="112"/>
      <c r="G31" s="112"/>
      <c r="H31" s="112"/>
      <c r="I31" s="112"/>
      <c r="P31" s="81">
        <v>12</v>
      </c>
      <c r="Q31" s="81">
        <v>10</v>
      </c>
      <c r="R31" s="81">
        <v>8</v>
      </c>
      <c r="X31" s="81">
        <v>124</v>
      </c>
      <c r="Y31" s="81">
        <v>114</v>
      </c>
      <c r="Z31" s="81">
        <v>104</v>
      </c>
      <c r="AW31" s="64" t="s">
        <v>440</v>
      </c>
      <c r="AX31" s="64" t="s">
        <v>441</v>
      </c>
      <c r="AZ31" s="114" t="s">
        <v>449</v>
      </c>
      <c r="BA31" s="114"/>
      <c r="BC31" s="115" t="s">
        <v>447</v>
      </c>
      <c r="BD31" s="115"/>
    </row>
    <row r="32" spans="1:62">
      <c r="A32" s="116" t="s">
        <v>396</v>
      </c>
      <c r="B32" s="116"/>
      <c r="C32" s="116"/>
      <c r="E32" s="111" t="s">
        <v>397</v>
      </c>
      <c r="F32" s="111"/>
      <c r="H32" s="115" t="s">
        <v>409</v>
      </c>
      <c r="I32" s="115"/>
      <c r="P32" s="81">
        <v>4</v>
      </c>
      <c r="Q32" s="81">
        <v>4</v>
      </c>
      <c r="R32" s="81">
        <v>4</v>
      </c>
      <c r="X32" s="81">
        <v>202</v>
      </c>
      <c r="Y32" s="81">
        <v>186</v>
      </c>
      <c r="Z32" s="81">
        <v>170</v>
      </c>
      <c r="AW32" s="59">
        <v>0</v>
      </c>
      <c r="AX32" s="59">
        <v>0</v>
      </c>
      <c r="AZ32" s="82">
        <f t="array" ref="AZ32:BA33">MINVERSE(AZ26:BA27)</f>
        <v>0.86602540378443871</v>
      </c>
      <c r="BA32" s="82">
        <v>-0.50000000000000011</v>
      </c>
      <c r="BC32" s="81">
        <f t="array" ref="BC32:BD35">MMULT(AW32:AX35,AZ32:BA33)</f>
        <v>0</v>
      </c>
      <c r="BD32" s="81">
        <v>0</v>
      </c>
    </row>
    <row r="33" spans="1:56">
      <c r="A33" s="59">
        <v>1</v>
      </c>
      <c r="B33" s="59">
        <v>2</v>
      </c>
      <c r="C33" s="59">
        <v>3</v>
      </c>
      <c r="E33" s="59">
        <v>7</v>
      </c>
      <c r="F33" s="59">
        <v>8</v>
      </c>
      <c r="H33" s="59">
        <f t="array" ref="H33:J35">MMULT(A33:C34,E33:F35)</f>
        <v>58</v>
      </c>
      <c r="I33" s="59">
        <v>64</v>
      </c>
      <c r="J33" s="59" t="e">
        <v>#N/A</v>
      </c>
      <c r="AW33" s="59">
        <v>0.8660254037844386</v>
      </c>
      <c r="AX33" s="59">
        <v>0.5</v>
      </c>
      <c r="AZ33" s="82">
        <v>0.50000000000000011</v>
      </c>
      <c r="BA33" s="82">
        <v>0.86602540378443871</v>
      </c>
      <c r="BC33" s="81">
        <v>1</v>
      </c>
      <c r="BD33" s="81">
        <v>-5.5511151231257827E-17</v>
      </c>
    </row>
    <row r="34" spans="1:56">
      <c r="A34" s="59">
        <v>4</v>
      </c>
      <c r="B34" s="59">
        <v>5</v>
      </c>
      <c r="C34" s="59">
        <v>6</v>
      </c>
      <c r="E34" s="59">
        <v>9</v>
      </c>
      <c r="F34" s="59">
        <v>10</v>
      </c>
      <c r="H34" s="59">
        <v>139</v>
      </c>
      <c r="I34" s="59">
        <v>154</v>
      </c>
      <c r="J34" s="59" t="e">
        <v>#N/A</v>
      </c>
      <c r="P34" s="111" t="s">
        <v>409</v>
      </c>
      <c r="Q34" s="111"/>
      <c r="R34" s="111"/>
      <c r="T34" s="111" t="s">
        <v>412</v>
      </c>
      <c r="U34" s="111"/>
      <c r="V34" s="111"/>
      <c r="X34" s="111" t="s">
        <v>413</v>
      </c>
      <c r="Y34" s="111"/>
      <c r="Z34" s="111"/>
      <c r="AW34" s="59">
        <v>-0.5</v>
      </c>
      <c r="AX34" s="59">
        <v>0.8660254037844386</v>
      </c>
      <c r="BC34" s="81">
        <v>5.5511151231257827E-17</v>
      </c>
      <c r="BD34" s="81">
        <v>1</v>
      </c>
    </row>
    <row r="35" spans="1:56">
      <c r="E35" s="59">
        <v>11</v>
      </c>
      <c r="F35" s="59">
        <v>12</v>
      </c>
      <c r="H35" s="59" t="e">
        <v>#N/A</v>
      </c>
      <c r="I35" s="59" t="e">
        <v>#N/A</v>
      </c>
      <c r="J35" s="59" t="e">
        <v>#N/A</v>
      </c>
      <c r="P35" s="81">
        <f t="array" ref="P35:R37">MMULT(P25:R27,T25:V27)</f>
        <v>30</v>
      </c>
      <c r="Q35" s="81">
        <v>24</v>
      </c>
      <c r="R35" s="81">
        <v>18</v>
      </c>
      <c r="T35" s="81">
        <f t="array" ref="T35:V37">MMULT(P25:R27,X25:Z27)</f>
        <v>16</v>
      </c>
      <c r="U35" s="81">
        <v>18</v>
      </c>
      <c r="V35" s="81">
        <v>20</v>
      </c>
      <c r="X35" s="81">
        <f t="array" ref="X35:Z37">P35:R37+T35:V37</f>
        <v>46</v>
      </c>
      <c r="Y35" s="81">
        <v>42</v>
      </c>
      <c r="Z35" s="81">
        <v>38</v>
      </c>
      <c r="AW35" s="59">
        <v>0.3660254037844386</v>
      </c>
      <c r="AX35" s="59">
        <v>1.3660254037844386</v>
      </c>
      <c r="BC35" s="81">
        <v>1</v>
      </c>
      <c r="BD35" s="81">
        <v>1</v>
      </c>
    </row>
    <row r="36" spans="1:56">
      <c r="P36" s="81">
        <v>84</v>
      </c>
      <c r="Q36" s="81">
        <v>69</v>
      </c>
      <c r="R36" s="81">
        <v>54</v>
      </c>
      <c r="T36" s="81">
        <v>40</v>
      </c>
      <c r="U36" s="81">
        <v>45</v>
      </c>
      <c r="V36" s="81">
        <v>50</v>
      </c>
      <c r="X36" s="81">
        <v>124</v>
      </c>
      <c r="Y36" s="81">
        <v>114</v>
      </c>
      <c r="Z36" s="81">
        <v>104</v>
      </c>
    </row>
    <row r="37" spans="1:56">
      <c r="A37" s="112" t="s">
        <v>427</v>
      </c>
      <c r="B37" s="112"/>
      <c r="C37" s="112"/>
      <c r="D37" s="112"/>
      <c r="E37" s="112"/>
      <c r="F37" s="112"/>
      <c r="G37" s="112"/>
      <c r="H37" s="112"/>
      <c r="I37" s="112"/>
      <c r="P37" s="81">
        <v>138</v>
      </c>
      <c r="Q37" s="81">
        <v>114</v>
      </c>
      <c r="R37" s="81">
        <v>90</v>
      </c>
      <c r="T37" s="81">
        <v>64</v>
      </c>
      <c r="U37" s="81">
        <v>72</v>
      </c>
      <c r="V37" s="81">
        <v>80</v>
      </c>
      <c r="X37" s="81">
        <v>202</v>
      </c>
      <c r="Y37" s="81">
        <v>186</v>
      </c>
      <c r="Z37" s="81">
        <v>170</v>
      </c>
    </row>
    <row r="38" spans="1:56">
      <c r="A38" s="116" t="s">
        <v>396</v>
      </c>
      <c r="B38" s="116"/>
      <c r="C38" s="116"/>
      <c r="E38" s="111" t="s">
        <v>397</v>
      </c>
      <c r="F38" s="111"/>
      <c r="H38" s="115" t="s">
        <v>409</v>
      </c>
      <c r="I38" s="115"/>
    </row>
    <row r="39" spans="1:56">
      <c r="A39" s="59">
        <v>1</v>
      </c>
      <c r="B39" s="59">
        <v>2</v>
      </c>
      <c r="C39" s="59">
        <v>3</v>
      </c>
      <c r="E39" s="59">
        <v>7</v>
      </c>
      <c r="F39" s="59">
        <v>8</v>
      </c>
      <c r="H39" s="59">
        <f t="array" ref="H39:H40">MMULT(A39:C40,E39:F41)</f>
        <v>58</v>
      </c>
      <c r="P39" s="111" t="s">
        <v>414</v>
      </c>
      <c r="Q39" s="111"/>
      <c r="R39" s="111"/>
      <c r="X39" s="111" t="s">
        <v>415</v>
      </c>
      <c r="Y39" s="111"/>
      <c r="Z39" s="111"/>
    </row>
    <row r="40" spans="1:56">
      <c r="A40" s="59">
        <v>4</v>
      </c>
      <c r="B40" s="59">
        <v>5</v>
      </c>
      <c r="C40" s="59">
        <v>6</v>
      </c>
      <c r="E40" s="59">
        <v>9</v>
      </c>
      <c r="F40" s="59">
        <v>10</v>
      </c>
      <c r="H40" s="59">
        <v>139</v>
      </c>
      <c r="P40" s="81">
        <f t="array" ref="P40:R42">P25:R27+T25:V27</f>
        <v>10</v>
      </c>
      <c r="Q40" s="81">
        <v>10</v>
      </c>
      <c r="R40" s="81">
        <v>10</v>
      </c>
      <c r="X40" s="81">
        <f t="array" ref="X40:Z42">MMULT(P40:R42,X25:Z27)</f>
        <v>80</v>
      </c>
      <c r="Y40" s="81">
        <v>90</v>
      </c>
      <c r="Z40" s="81">
        <v>100</v>
      </c>
    </row>
    <row r="41" spans="1:56">
      <c r="E41" s="59">
        <v>11</v>
      </c>
      <c r="F41" s="59">
        <v>12</v>
      </c>
      <c r="P41" s="81">
        <v>10</v>
      </c>
      <c r="Q41" s="81">
        <v>10</v>
      </c>
      <c r="R41" s="81">
        <v>10</v>
      </c>
      <c r="X41" s="81">
        <v>80</v>
      </c>
      <c r="Y41" s="81">
        <v>90</v>
      </c>
      <c r="Z41" s="81">
        <v>100</v>
      </c>
      <c r="AG41" s="59">
        <f>(1+0.00001)</f>
        <v>1.0000100000000001</v>
      </c>
    </row>
    <row r="42" spans="1:56">
      <c r="P42" s="81">
        <v>10</v>
      </c>
      <c r="Q42" s="81">
        <v>10</v>
      </c>
      <c r="R42" s="81">
        <v>10</v>
      </c>
      <c r="X42" s="81">
        <v>80</v>
      </c>
      <c r="Y42" s="81">
        <v>90</v>
      </c>
      <c r="Z42" s="81">
        <v>100</v>
      </c>
    </row>
    <row r="44" spans="1:56">
      <c r="P44" s="111" t="s">
        <v>412</v>
      </c>
      <c r="Q44" s="111"/>
      <c r="R44" s="111"/>
      <c r="T44" s="111" t="s">
        <v>416</v>
      </c>
      <c r="U44" s="111"/>
      <c r="V44" s="111"/>
      <c r="X44" s="111" t="s">
        <v>417</v>
      </c>
      <c r="Y44" s="111"/>
      <c r="Z44" s="111"/>
    </row>
    <row r="45" spans="1:56">
      <c r="P45" s="81">
        <f t="array" ref="P45:R47">MMULT(P25:R27,X25:Z27)</f>
        <v>16</v>
      </c>
      <c r="Q45" s="81">
        <v>18</v>
      </c>
      <c r="R45" s="81">
        <v>20</v>
      </c>
      <c r="T45" s="81">
        <f t="array" ref="T45:V47">MMULT(T25:V27,X25:Z27)</f>
        <v>64</v>
      </c>
      <c r="U45" s="81">
        <v>72</v>
      </c>
      <c r="V45" s="81">
        <v>80</v>
      </c>
      <c r="X45" s="81">
        <f t="array" ref="X45:Z47">P45:R47+T45:V47</f>
        <v>80</v>
      </c>
      <c r="Y45" s="81">
        <v>90</v>
      </c>
      <c r="Z45" s="81">
        <v>100</v>
      </c>
    </row>
    <row r="46" spans="1:56">
      <c r="P46" s="81">
        <v>40</v>
      </c>
      <c r="Q46" s="81">
        <v>45</v>
      </c>
      <c r="R46" s="81">
        <v>50</v>
      </c>
      <c r="T46" s="81">
        <v>40</v>
      </c>
      <c r="U46" s="81">
        <v>45</v>
      </c>
      <c r="V46" s="81">
        <v>50</v>
      </c>
      <c r="X46" s="81">
        <v>80</v>
      </c>
      <c r="Y46" s="81">
        <v>90</v>
      </c>
      <c r="Z46" s="81">
        <v>100</v>
      </c>
    </row>
    <row r="47" spans="1:56">
      <c r="P47" s="81">
        <v>64</v>
      </c>
      <c r="Q47" s="81">
        <v>72</v>
      </c>
      <c r="R47" s="81">
        <v>80</v>
      </c>
      <c r="T47" s="81">
        <v>16</v>
      </c>
      <c r="U47" s="81">
        <v>18</v>
      </c>
      <c r="V47" s="81">
        <v>20</v>
      </c>
      <c r="X47" s="81">
        <v>80</v>
      </c>
      <c r="Y47" s="81">
        <v>90</v>
      </c>
      <c r="Z47" s="81">
        <v>100</v>
      </c>
    </row>
    <row r="50" spans="11:31">
      <c r="P50" s="112" t="s">
        <v>456</v>
      </c>
      <c r="Q50" s="112"/>
      <c r="R50" s="112"/>
      <c r="S50" s="112"/>
      <c r="T50" s="112"/>
      <c r="U50" s="112"/>
      <c r="V50" s="112"/>
      <c r="W50" s="112"/>
    </row>
    <row r="51" spans="11:31">
      <c r="P51" s="62" t="s">
        <v>454</v>
      </c>
      <c r="R51" s="111" t="s">
        <v>453</v>
      </c>
      <c r="S51" s="111"/>
      <c r="T51" s="111"/>
      <c r="U51" s="111"/>
      <c r="V51" s="111"/>
      <c r="W51" s="111"/>
    </row>
    <row r="52" spans="11:31">
      <c r="K52" s="3"/>
      <c r="P52" s="60">
        <v>-1.108105517944838</v>
      </c>
      <c r="Q52" s="60"/>
      <c r="R52" s="82">
        <f t="array" ref="R52:W52">TRANSPOSE(P52:P57)</f>
        <v>-1.108105517944838</v>
      </c>
      <c r="S52" s="82">
        <v>0.48756642789573235</v>
      </c>
      <c r="T52" s="82">
        <v>1.5513477251227792</v>
      </c>
      <c r="U52" s="82">
        <v>-0.57621486933131461</v>
      </c>
      <c r="V52" s="82">
        <v>0.75351175220249411</v>
      </c>
      <c r="W52" s="82">
        <v>-1.108105517944838</v>
      </c>
    </row>
    <row r="53" spans="11:31">
      <c r="K53" s="3"/>
      <c r="P53" s="60">
        <v>0.48756642789573235</v>
      </c>
      <c r="Q53" s="60"/>
      <c r="R53" s="60"/>
      <c r="S53" s="60"/>
      <c r="T53" s="60"/>
      <c r="U53" s="60"/>
      <c r="V53" s="60"/>
      <c r="W53" s="60"/>
    </row>
    <row r="54" spans="11:31">
      <c r="K54" s="3"/>
      <c r="P54" s="60">
        <v>1.5513477251227792</v>
      </c>
      <c r="Q54" s="60"/>
      <c r="R54" s="60"/>
      <c r="S54" s="60"/>
      <c r="T54" s="60"/>
      <c r="U54" s="60"/>
      <c r="V54" s="60"/>
      <c r="W54" s="60"/>
    </row>
    <row r="55" spans="11:31">
      <c r="K55" s="3"/>
      <c r="P55" s="60">
        <v>-0.57621486933131461</v>
      </c>
      <c r="Q55" s="60"/>
      <c r="R55" s="60"/>
      <c r="S55" s="60"/>
      <c r="T55" s="60"/>
      <c r="U55" s="60"/>
      <c r="V55" s="60"/>
      <c r="W55" s="60"/>
    </row>
    <row r="56" spans="11:31">
      <c r="K56" s="3"/>
      <c r="P56" s="60">
        <v>0.75351175220249411</v>
      </c>
      <c r="Q56" s="60"/>
      <c r="R56" s="111" t="s">
        <v>457</v>
      </c>
      <c r="S56" s="111"/>
      <c r="T56" s="81">
        <f>_xlfn.VAR.S(P52:P57)</f>
        <v>1.1999999999999997</v>
      </c>
      <c r="U56" s="60"/>
      <c r="V56" s="60"/>
      <c r="W56" s="60"/>
    </row>
    <row r="57" spans="11:31">
      <c r="K57" s="3"/>
      <c r="P57" s="60">
        <v>-1.108105517944838</v>
      </c>
      <c r="Q57" s="60"/>
      <c r="R57" s="111" t="s">
        <v>455</v>
      </c>
      <c r="S57" s="111"/>
      <c r="T57" s="81">
        <f t="array" ref="T57">MMULT(R52:W52,P52:P57)/5</f>
        <v>1.1999999999999997</v>
      </c>
      <c r="U57" s="60"/>
      <c r="V57" s="60"/>
      <c r="W57" s="60"/>
    </row>
    <row r="58" spans="11:31">
      <c r="K58" s="3"/>
    </row>
    <row r="61" spans="11:31">
      <c r="P61" s="112" t="s">
        <v>458</v>
      </c>
      <c r="Q61" s="112"/>
      <c r="R61" s="112"/>
      <c r="S61" s="112"/>
      <c r="T61" s="112"/>
      <c r="U61" s="112"/>
      <c r="V61" s="112"/>
      <c r="W61" s="112"/>
      <c r="Y61"/>
      <c r="Z61"/>
      <c r="AA61"/>
      <c r="AC61"/>
      <c r="AD61"/>
      <c r="AE61"/>
    </row>
    <row r="62" spans="11:31">
      <c r="P62" s="65" t="s">
        <v>11</v>
      </c>
      <c r="Q62" s="65" t="s">
        <v>12</v>
      </c>
      <c r="R62" s="65" t="s">
        <v>13</v>
      </c>
      <c r="AA62"/>
    </row>
    <row r="63" spans="11:31">
      <c r="P63" s="60">
        <v>0.44888291303384859</v>
      </c>
      <c r="Q63" s="60">
        <v>8.5592098502182315E-2</v>
      </c>
      <c r="R63" s="60">
        <v>-1.2909944487358056</v>
      </c>
      <c r="S63" s="60"/>
      <c r="T63" s="60"/>
      <c r="U63" s="60"/>
      <c r="V63" s="60"/>
      <c r="W63" s="60"/>
      <c r="AA63"/>
    </row>
    <row r="64" spans="11:31">
      <c r="P64" s="60">
        <v>0.51975916246024567</v>
      </c>
      <c r="Q64" s="60">
        <v>0.8559209850218259</v>
      </c>
      <c r="R64" s="60">
        <v>-0.32274861218395151</v>
      </c>
      <c r="S64" s="60"/>
      <c r="T64" s="60"/>
      <c r="U64" s="60"/>
      <c r="V64" s="60"/>
      <c r="W64" s="60"/>
      <c r="AA64"/>
    </row>
    <row r="65" spans="16:27">
      <c r="P65" s="60">
        <v>-2.0317858168900478</v>
      </c>
      <c r="Q65" s="60">
        <v>-1.0699012312772831</v>
      </c>
      <c r="R65" s="60">
        <v>1.6137430609197567</v>
      </c>
      <c r="S65" s="60"/>
      <c r="T65" s="60"/>
      <c r="U65" s="60"/>
      <c r="V65" s="60"/>
      <c r="W65" s="60"/>
      <c r="Y65"/>
      <c r="Z65"/>
      <c r="AA65"/>
    </row>
    <row r="66" spans="16:27">
      <c r="P66" s="60">
        <v>0.23625416475465746</v>
      </c>
      <c r="Q66" s="60">
        <v>1.1126972805283739</v>
      </c>
      <c r="R66" s="60">
        <v>-0.32274861218395151</v>
      </c>
      <c r="S66" s="60"/>
      <c r="T66" s="60"/>
      <c r="U66" s="60"/>
      <c r="V66" s="60"/>
      <c r="W66" s="60"/>
      <c r="Y66"/>
      <c r="Z66"/>
      <c r="AA66"/>
    </row>
    <row r="67" spans="16:27">
      <c r="P67" s="60">
        <v>0.37800666360745155</v>
      </c>
      <c r="Q67" s="60">
        <v>-1.3266775267838309</v>
      </c>
      <c r="R67" s="60">
        <v>-0.32274861218395151</v>
      </c>
      <c r="S67" s="60"/>
      <c r="T67" s="60"/>
      <c r="U67" s="60"/>
      <c r="V67" s="60"/>
      <c r="W67" s="60"/>
      <c r="Y67"/>
      <c r="Z67"/>
      <c r="AA67"/>
    </row>
    <row r="68" spans="16:27">
      <c r="P68" s="60">
        <v>0.44888291303384859</v>
      </c>
      <c r="Q68" s="60">
        <v>0.3423683940087302</v>
      </c>
      <c r="R68" s="60">
        <v>0.64549722436790258</v>
      </c>
      <c r="S68" s="60"/>
      <c r="T68" s="60"/>
      <c r="U68" s="60"/>
      <c r="V68" s="60"/>
      <c r="W68" s="60"/>
    </row>
    <row r="69" spans="16:27">
      <c r="P69" s="60"/>
      <c r="Q69" s="60"/>
      <c r="R69" s="60"/>
      <c r="S69" s="60"/>
      <c r="T69" s="60"/>
      <c r="U69" s="60"/>
      <c r="V69" s="60"/>
      <c r="W69" s="60"/>
    </row>
    <row r="70" spans="16:27">
      <c r="P70" s="60"/>
      <c r="Q70" s="60"/>
      <c r="R70" s="113" t="s">
        <v>460</v>
      </c>
      <c r="S70" s="113"/>
      <c r="T70" s="113"/>
      <c r="U70" s="113"/>
      <c r="V70" s="60"/>
      <c r="W70" s="60"/>
    </row>
    <row r="71" spans="16:27">
      <c r="P71" s="60"/>
      <c r="Q71" s="60"/>
      <c r="R71" s="60"/>
      <c r="S71" s="65" t="s">
        <v>11</v>
      </c>
      <c r="T71" s="65" t="s">
        <v>12</v>
      </c>
      <c r="U71" s="65" t="s">
        <v>13</v>
      </c>
      <c r="V71" s="60"/>
      <c r="W71" s="60"/>
    </row>
    <row r="72" spans="16:27">
      <c r="P72" s="60"/>
      <c r="Q72" s="60"/>
      <c r="R72" s="65" t="s">
        <v>11</v>
      </c>
      <c r="S72" s="83">
        <f>CORREL($P$63:$P$68,P63:P68)</f>
        <v>1.0000000000000002</v>
      </c>
      <c r="T72" s="82">
        <f>CORREL($P$63:$P$68,Q63:Q68)</f>
        <v>0.51443469901692829</v>
      </c>
      <c r="U72" s="82">
        <f>CORREL($P$63:$P$68,R63:R68)</f>
        <v>-0.78690726318755899</v>
      </c>
      <c r="V72" s="60"/>
      <c r="W72" s="60"/>
    </row>
    <row r="73" spans="16:27">
      <c r="P73" s="60"/>
      <c r="Q73" s="60"/>
      <c r="R73" s="65" t="s">
        <v>12</v>
      </c>
      <c r="S73" s="82">
        <f>CORREL($Q$63:$Q$68,P63:P68)</f>
        <v>0.51443469901692829</v>
      </c>
      <c r="T73" s="83">
        <f>CORREL($Q$63:$Q$68,Q63:Q68)</f>
        <v>1</v>
      </c>
      <c r="U73" s="82">
        <f>CORREL($Q$63:$Q$68,R63:R68)</f>
        <v>-0.36464644927248763</v>
      </c>
      <c r="V73" s="60"/>
      <c r="W73" s="60"/>
    </row>
    <row r="74" spans="16:27">
      <c r="P74" s="60"/>
      <c r="Q74" s="60"/>
      <c r="R74" s="65" t="s">
        <v>13</v>
      </c>
      <c r="S74" s="82">
        <f>CORREL($R$63:$R$68,P63:P68)</f>
        <v>-0.78690726318755899</v>
      </c>
      <c r="T74" s="82">
        <f>CORREL($R$63:$R$68,Q63:Q68)</f>
        <v>-0.36464644927248763</v>
      </c>
      <c r="U74" s="83">
        <f>CORREL($R$63:$R$68,R63:R68)</f>
        <v>1</v>
      </c>
      <c r="V74" s="60"/>
      <c r="W74" s="60"/>
    </row>
    <row r="75" spans="16:27">
      <c r="P75" s="60"/>
      <c r="Q75" s="60"/>
      <c r="R75" s="60"/>
      <c r="S75" s="60"/>
      <c r="T75" s="60"/>
      <c r="U75" s="60"/>
      <c r="V75" s="60"/>
      <c r="W75" s="60"/>
    </row>
    <row r="76" spans="16:27">
      <c r="P76" s="60"/>
      <c r="Q76" s="60"/>
      <c r="R76" s="60"/>
      <c r="S76" s="60"/>
      <c r="T76" s="60"/>
      <c r="U76" s="60"/>
      <c r="V76" s="60"/>
      <c r="W76" s="60"/>
    </row>
    <row r="77" spans="16:27">
      <c r="P77" s="114" t="s">
        <v>459</v>
      </c>
      <c r="Q77" s="114"/>
      <c r="R77" s="114"/>
      <c r="S77" s="114"/>
      <c r="T77" s="114"/>
      <c r="U77" s="114"/>
      <c r="V77" s="114"/>
      <c r="W77" s="60"/>
    </row>
    <row r="78" spans="16:27">
      <c r="P78" s="82" t="str">
        <f t="array" ref="P78:V80">TRANSPOSE(P62:R68)</f>
        <v>안타</v>
      </c>
      <c r="Q78" s="82">
        <v>0.44888291303384859</v>
      </c>
      <c r="R78" s="82">
        <v>0.51975916246024567</v>
      </c>
      <c r="S78" s="82">
        <v>-2.0317858168900478</v>
      </c>
      <c r="T78" s="82">
        <v>0.23625416475465746</v>
      </c>
      <c r="U78" s="84">
        <v>0.37800666360745155</v>
      </c>
      <c r="V78" s="84">
        <v>0.44888291303384859</v>
      </c>
      <c r="W78" s="60"/>
    </row>
    <row r="79" spans="16:27">
      <c r="P79" s="82" t="str">
        <v>2타</v>
      </c>
      <c r="Q79" s="82">
        <v>8.5592098502182315E-2</v>
      </c>
      <c r="R79" s="82">
        <v>0.8559209850218259</v>
      </c>
      <c r="S79" s="82">
        <v>-1.0699012312772831</v>
      </c>
      <c r="T79" s="82">
        <v>1.1126972805283739</v>
      </c>
      <c r="U79" s="84">
        <v>-1.3266775267838309</v>
      </c>
      <c r="V79" s="84">
        <v>0.3423683940087302</v>
      </c>
      <c r="W79" s="60"/>
    </row>
    <row r="80" spans="16:27">
      <c r="P80" s="82" t="str">
        <v>3타</v>
      </c>
      <c r="Q80" s="82">
        <v>-1.2909944487358056</v>
      </c>
      <c r="R80" s="82">
        <v>-0.32274861218395151</v>
      </c>
      <c r="S80" s="82">
        <v>1.6137430609197567</v>
      </c>
      <c r="T80" s="82">
        <v>-0.32274861218395151</v>
      </c>
      <c r="U80" s="84">
        <v>-0.32274861218395151</v>
      </c>
      <c r="V80" s="84">
        <v>0.64549722436790258</v>
      </c>
      <c r="W80" s="60"/>
    </row>
    <row r="81" spans="16:23">
      <c r="P81" s="60"/>
      <c r="Q81" s="60"/>
      <c r="R81" s="60"/>
      <c r="S81" s="60"/>
      <c r="T81" s="60"/>
      <c r="U81" s="60"/>
      <c r="V81" s="60"/>
      <c r="W81" s="60"/>
    </row>
    <row r="82" spans="16:23">
      <c r="P82" s="60"/>
      <c r="Q82" s="60"/>
      <c r="R82" s="113" t="s">
        <v>461</v>
      </c>
      <c r="S82" s="113"/>
      <c r="T82" s="113"/>
      <c r="U82" s="113"/>
      <c r="V82" s="60"/>
      <c r="W82" s="60"/>
    </row>
    <row r="83" spans="16:23">
      <c r="P83" s="60"/>
      <c r="Q83" s="60"/>
      <c r="R83" s="60"/>
      <c r="S83" s="65" t="s">
        <v>11</v>
      </c>
      <c r="T83" s="65" t="s">
        <v>12</v>
      </c>
      <c r="U83" s="65" t="s">
        <v>13</v>
      </c>
      <c r="V83" s="60"/>
      <c r="W83" s="60"/>
    </row>
    <row r="84" spans="16:23">
      <c r="P84" s="60"/>
      <c r="Q84" s="60"/>
      <c r="R84" s="65" t="s">
        <v>11</v>
      </c>
      <c r="S84" s="83">
        <f t="array" ref="S84:U86">MMULT(Q78:V80,P63:R68)/5</f>
        <v>1</v>
      </c>
      <c r="T84" s="82">
        <v>0.51443469901692862</v>
      </c>
      <c r="U84" s="82">
        <v>-0.78690726318755899</v>
      </c>
      <c r="V84" s="60"/>
      <c r="W84" s="60"/>
    </row>
    <row r="85" spans="16:23">
      <c r="P85" s="60"/>
      <c r="Q85" s="60"/>
      <c r="R85" s="65" t="s">
        <v>12</v>
      </c>
      <c r="S85" s="82">
        <v>0.51443469901692862</v>
      </c>
      <c r="T85" s="83">
        <v>1.0000000000000007</v>
      </c>
      <c r="U85" s="82">
        <v>-0.36464644927248779</v>
      </c>
      <c r="V85" s="60"/>
      <c r="W85" s="60"/>
    </row>
    <row r="86" spans="16:23">
      <c r="P86" s="60"/>
      <c r="Q86" s="60"/>
      <c r="R86" s="65" t="s">
        <v>13</v>
      </c>
      <c r="S86" s="82">
        <v>-0.78690726318755899</v>
      </c>
      <c r="T86" s="82">
        <v>-0.36464644927248779</v>
      </c>
      <c r="U86" s="83">
        <v>0.99999999999999978</v>
      </c>
      <c r="V86" s="60"/>
      <c r="W86" s="60"/>
    </row>
    <row r="87" spans="16:23">
      <c r="P87" s="60"/>
      <c r="Q87" s="60"/>
      <c r="R87" s="60"/>
      <c r="S87" s="60"/>
      <c r="T87" s="60"/>
      <c r="U87" s="60"/>
      <c r="V87" s="60"/>
      <c r="W87" s="60"/>
    </row>
  </sheetData>
  <mergeCells count="97">
    <mergeCell ref="AZ31:BA31"/>
    <mergeCell ref="BC31:BD31"/>
    <mergeCell ref="BI19:BJ19"/>
    <mergeCell ref="BC19:BD19"/>
    <mergeCell ref="BF19:BG19"/>
    <mergeCell ref="AZ25:BA25"/>
    <mergeCell ref="BC25:BD25"/>
    <mergeCell ref="P7:Z7"/>
    <mergeCell ref="P2:R2"/>
    <mergeCell ref="T2:V2"/>
    <mergeCell ref="BB2:BC2"/>
    <mergeCell ref="AW1:BE1"/>
    <mergeCell ref="BC7:BD7"/>
    <mergeCell ref="AZ7:BA7"/>
    <mergeCell ref="X2:Z2"/>
    <mergeCell ref="AB2:AD2"/>
    <mergeCell ref="P1:AD1"/>
    <mergeCell ref="AW2:AX2"/>
    <mergeCell ref="AF7:AP7"/>
    <mergeCell ref="AN2:AP2"/>
    <mergeCell ref="AF1:AP1"/>
    <mergeCell ref="P8:R8"/>
    <mergeCell ref="T8:V8"/>
    <mergeCell ref="P13:R13"/>
    <mergeCell ref="X8:Z8"/>
    <mergeCell ref="T13:V13"/>
    <mergeCell ref="T44:V44"/>
    <mergeCell ref="X44:Z44"/>
    <mergeCell ref="P18:R18"/>
    <mergeCell ref="T18:V18"/>
    <mergeCell ref="P24:R24"/>
    <mergeCell ref="T24:V24"/>
    <mergeCell ref="X24:Z24"/>
    <mergeCell ref="P29:R29"/>
    <mergeCell ref="X29:Z29"/>
    <mergeCell ref="P23:Z23"/>
    <mergeCell ref="P34:R34"/>
    <mergeCell ref="T34:V34"/>
    <mergeCell ref="X34:Z34"/>
    <mergeCell ref="P39:R39"/>
    <mergeCell ref="X39:Z39"/>
    <mergeCell ref="A2:C2"/>
    <mergeCell ref="E2:H2"/>
    <mergeCell ref="A1:H1"/>
    <mergeCell ref="A17:I17"/>
    <mergeCell ref="B9:C9"/>
    <mergeCell ref="E9:F9"/>
    <mergeCell ref="H9:I9"/>
    <mergeCell ref="A9:A11"/>
    <mergeCell ref="A13:A15"/>
    <mergeCell ref="B13:C13"/>
    <mergeCell ref="E13:F13"/>
    <mergeCell ref="H13:I13"/>
    <mergeCell ref="A8:I8"/>
    <mergeCell ref="A37:I37"/>
    <mergeCell ref="A38:C38"/>
    <mergeCell ref="E38:F38"/>
    <mergeCell ref="H38:I38"/>
    <mergeCell ref="AF2:AH2"/>
    <mergeCell ref="A25:C25"/>
    <mergeCell ref="E25:F25"/>
    <mergeCell ref="H25:I25"/>
    <mergeCell ref="A31:I31"/>
    <mergeCell ref="A32:C32"/>
    <mergeCell ref="E32:F32"/>
    <mergeCell ref="H32:I32"/>
    <mergeCell ref="E18:F18"/>
    <mergeCell ref="H18:I18"/>
    <mergeCell ref="A18:C18"/>
    <mergeCell ref="A24:I24"/>
    <mergeCell ref="AF8:AH8"/>
    <mergeCell ref="AJ8:AL8"/>
    <mergeCell ref="AN8:AP8"/>
    <mergeCell ref="AJ2:AL2"/>
    <mergeCell ref="AZ13:BA13"/>
    <mergeCell ref="BC13:BD13"/>
    <mergeCell ref="AZ19:BA19"/>
    <mergeCell ref="R51:W51"/>
    <mergeCell ref="P50:W50"/>
    <mergeCell ref="AF13:AT13"/>
    <mergeCell ref="AI25:AJ25"/>
    <mergeCell ref="AF25:AG25"/>
    <mergeCell ref="AR14:AT14"/>
    <mergeCell ref="AF19:AH19"/>
    <mergeCell ref="AJ19:AL19"/>
    <mergeCell ref="AR19:AT19"/>
    <mergeCell ref="AF14:AH14"/>
    <mergeCell ref="AJ14:AL14"/>
    <mergeCell ref="AN14:AP14"/>
    <mergeCell ref="AF24:AJ24"/>
    <mergeCell ref="P44:R44"/>
    <mergeCell ref="R56:S56"/>
    <mergeCell ref="R57:S57"/>
    <mergeCell ref="P61:W61"/>
    <mergeCell ref="R70:U70"/>
    <mergeCell ref="R82:U82"/>
    <mergeCell ref="P77:V77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H146"/>
  <sheetViews>
    <sheetView topLeftCell="A34" zoomScale="55" zoomScaleNormal="55" workbookViewId="0">
      <selection activeCell="P105" sqref="A104:P105"/>
    </sheetView>
  </sheetViews>
  <sheetFormatPr defaultColWidth="7.69921875" defaultRowHeight="17.399999999999999"/>
  <cols>
    <col min="1" max="1" width="11" style="11" bestFit="1" customWidth="1"/>
    <col min="2" max="2" width="8.59765625" style="11" customWidth="1"/>
    <col min="3" max="3" width="7.59765625" style="11" bestFit="1" customWidth="1"/>
    <col min="4" max="4" width="7.19921875" style="11" bestFit="1" customWidth="1"/>
    <col min="5" max="5" width="7.59765625" style="11" bestFit="1" customWidth="1"/>
    <col min="6" max="7" width="8.59765625" style="11" bestFit="1" customWidth="1"/>
    <col min="8" max="8" width="7.59765625" style="11" bestFit="1" customWidth="1"/>
    <col min="9" max="10" width="8.59765625" style="11" bestFit="1" customWidth="1"/>
    <col min="11" max="11" width="7.19921875" style="11" bestFit="1" customWidth="1"/>
    <col min="12" max="13" width="7.59765625" style="11" bestFit="1" customWidth="1"/>
    <col min="14" max="14" width="8.09765625" style="11" bestFit="1" customWidth="1"/>
    <col min="15" max="15" width="7.69921875" style="11"/>
    <col min="16" max="16" width="11.8984375" style="11" bestFit="1" customWidth="1"/>
    <col min="17" max="17" width="8.09765625" style="11" bestFit="1" customWidth="1"/>
    <col min="18" max="19" width="7.19921875" style="11" bestFit="1" customWidth="1"/>
    <col min="20" max="20" width="7.19921875" style="11" customWidth="1"/>
    <col min="21" max="25" width="7.19921875" style="11" bestFit="1" customWidth="1"/>
    <col min="26" max="29" width="8.5" style="11" bestFit="1" customWidth="1"/>
    <col min="30" max="16384" width="7.69921875" style="11"/>
  </cols>
  <sheetData>
    <row r="1" spans="1:14">
      <c r="A1" s="11" t="s">
        <v>372</v>
      </c>
      <c r="B1" s="57" t="s">
        <v>11</v>
      </c>
      <c r="C1" s="57" t="s">
        <v>373</v>
      </c>
      <c r="D1" s="57" t="s">
        <v>374</v>
      </c>
      <c r="E1" s="57" t="s">
        <v>14</v>
      </c>
      <c r="F1" s="57" t="s">
        <v>15</v>
      </c>
      <c r="G1" s="57" t="s">
        <v>16</v>
      </c>
      <c r="H1" s="57" t="s">
        <v>17</v>
      </c>
      <c r="I1" s="57" t="s">
        <v>18</v>
      </c>
      <c r="J1" s="57" t="s">
        <v>19</v>
      </c>
      <c r="K1" s="57" t="s">
        <v>20</v>
      </c>
      <c r="L1" s="57" t="s">
        <v>21</v>
      </c>
      <c r="M1" s="57" t="s">
        <v>22</v>
      </c>
      <c r="N1" s="57" t="s">
        <v>23</v>
      </c>
    </row>
    <row r="2" spans="1:14">
      <c r="A2" s="11" t="s">
        <v>48</v>
      </c>
      <c r="B2" s="57">
        <v>176</v>
      </c>
      <c r="C2" s="57">
        <v>34</v>
      </c>
      <c r="D2" s="57">
        <v>1</v>
      </c>
      <c r="E2" s="57">
        <v>5</v>
      </c>
      <c r="F2" s="57">
        <v>64</v>
      </c>
      <c r="G2" s="57">
        <v>84</v>
      </c>
      <c r="H2" s="57">
        <v>4</v>
      </c>
      <c r="I2" s="57">
        <v>44</v>
      </c>
      <c r="J2" s="57">
        <v>40</v>
      </c>
      <c r="K2" s="57">
        <v>0.37</v>
      </c>
      <c r="L2" s="57">
        <v>0.42</v>
      </c>
      <c r="M2" s="57">
        <v>0.47699999999999998</v>
      </c>
      <c r="N2" s="57">
        <v>0.89700000000000002</v>
      </c>
    </row>
    <row r="3" spans="1:14">
      <c r="A3" s="11" t="s">
        <v>49</v>
      </c>
      <c r="B3" s="57">
        <v>177</v>
      </c>
      <c r="C3" s="57">
        <v>40</v>
      </c>
      <c r="D3" s="57">
        <v>2</v>
      </c>
      <c r="E3" s="57">
        <v>20</v>
      </c>
      <c r="F3" s="57">
        <v>78</v>
      </c>
      <c r="G3" s="57">
        <v>91</v>
      </c>
      <c r="H3" s="57">
        <v>20</v>
      </c>
      <c r="I3" s="57">
        <v>51</v>
      </c>
      <c r="J3" s="57">
        <v>64</v>
      </c>
      <c r="K3" s="57">
        <v>0.36599999999999999</v>
      </c>
      <c r="L3" s="57">
        <v>0.42399999999999999</v>
      </c>
      <c r="M3" s="57">
        <v>0.58199999999999996</v>
      </c>
      <c r="N3" s="57">
        <v>1.006</v>
      </c>
    </row>
    <row r="4" spans="1:14">
      <c r="A4" s="11" t="s">
        <v>50</v>
      </c>
      <c r="B4" s="57">
        <v>141</v>
      </c>
      <c r="C4" s="57">
        <v>25</v>
      </c>
      <c r="D4" s="57">
        <v>4</v>
      </c>
      <c r="E4" s="57">
        <v>3</v>
      </c>
      <c r="F4" s="57">
        <v>47</v>
      </c>
      <c r="G4" s="57">
        <v>84</v>
      </c>
      <c r="H4" s="57">
        <v>11</v>
      </c>
      <c r="I4" s="57">
        <v>57</v>
      </c>
      <c r="J4" s="57">
        <v>51</v>
      </c>
      <c r="K4" s="57">
        <v>0.36299999999999999</v>
      </c>
      <c r="L4" s="57">
        <v>0.441</v>
      </c>
      <c r="M4" s="57">
        <v>0.47199999999999998</v>
      </c>
      <c r="N4" s="57">
        <v>0.91300000000000003</v>
      </c>
    </row>
    <row r="5" spans="1:14">
      <c r="A5" s="11" t="s">
        <v>51</v>
      </c>
      <c r="B5" s="57">
        <v>173</v>
      </c>
      <c r="C5" s="57">
        <v>42</v>
      </c>
      <c r="D5" s="57">
        <v>2</v>
      </c>
      <c r="E5" s="57">
        <v>24</v>
      </c>
      <c r="F5" s="57">
        <v>99</v>
      </c>
      <c r="G5" s="57">
        <v>103</v>
      </c>
      <c r="H5" s="57">
        <v>17</v>
      </c>
      <c r="I5" s="57">
        <v>60</v>
      </c>
      <c r="J5" s="57">
        <v>116</v>
      </c>
      <c r="K5" s="57">
        <v>0.34699999999999998</v>
      </c>
      <c r="L5" s="57">
        <v>0.41499999999999998</v>
      </c>
      <c r="M5" s="57">
        <v>0.58399999999999996</v>
      </c>
      <c r="N5" s="57">
        <v>1</v>
      </c>
    </row>
    <row r="6" spans="1:14">
      <c r="A6" s="11" t="s">
        <v>52</v>
      </c>
      <c r="B6" s="57">
        <v>175</v>
      </c>
      <c r="C6" s="57">
        <v>23</v>
      </c>
      <c r="D6" s="57">
        <v>2</v>
      </c>
      <c r="E6" s="57">
        <v>14</v>
      </c>
      <c r="F6" s="57">
        <v>90</v>
      </c>
      <c r="G6" s="57">
        <v>83</v>
      </c>
      <c r="H6" s="57">
        <v>4</v>
      </c>
      <c r="I6" s="57">
        <v>78</v>
      </c>
      <c r="J6" s="57">
        <v>88</v>
      </c>
      <c r="K6" s="57">
        <v>0.34399999999999997</v>
      </c>
      <c r="L6" s="57">
        <v>0.42499999999999999</v>
      </c>
      <c r="M6" s="57">
        <v>0.47899999999999998</v>
      </c>
      <c r="N6" s="57">
        <v>0.90400000000000003</v>
      </c>
    </row>
    <row r="7" spans="1:14">
      <c r="A7" s="11" t="s">
        <v>53</v>
      </c>
      <c r="B7" s="57">
        <v>176</v>
      </c>
      <c r="C7" s="57">
        <v>36</v>
      </c>
      <c r="D7" s="57">
        <v>3</v>
      </c>
      <c r="E7" s="57">
        <v>26</v>
      </c>
      <c r="F7" s="57">
        <v>120</v>
      </c>
      <c r="G7" s="57">
        <v>98</v>
      </c>
      <c r="H7" s="57">
        <v>0</v>
      </c>
      <c r="I7" s="57">
        <v>107</v>
      </c>
      <c r="J7" s="57">
        <v>82</v>
      </c>
      <c r="K7" s="57">
        <v>0.34200000000000003</v>
      </c>
      <c r="L7" s="57">
        <v>0.45</v>
      </c>
      <c r="M7" s="57">
        <v>0.57599999999999996</v>
      </c>
      <c r="N7" s="57">
        <v>1.026</v>
      </c>
    </row>
    <row r="8" spans="1:14">
      <c r="A8" s="11" t="s">
        <v>54</v>
      </c>
      <c r="B8" s="57">
        <v>185</v>
      </c>
      <c r="C8" s="57">
        <v>34</v>
      </c>
      <c r="D8" s="57">
        <v>2</v>
      </c>
      <c r="E8" s="57">
        <v>35</v>
      </c>
      <c r="F8" s="57">
        <v>115</v>
      </c>
      <c r="G8" s="57">
        <v>110</v>
      </c>
      <c r="H8" s="57">
        <v>4</v>
      </c>
      <c r="I8" s="57">
        <v>88</v>
      </c>
      <c r="J8" s="57">
        <v>123</v>
      </c>
      <c r="K8" s="57">
        <v>0.34</v>
      </c>
      <c r="L8" s="57">
        <v>0.42899999999999999</v>
      </c>
      <c r="M8" s="57">
        <v>0.60299999999999998</v>
      </c>
      <c r="N8" s="57">
        <v>1.032</v>
      </c>
    </row>
    <row r="9" spans="1:14">
      <c r="A9" s="11" t="s">
        <v>55</v>
      </c>
      <c r="B9" s="57">
        <v>151</v>
      </c>
      <c r="C9" s="57">
        <v>30</v>
      </c>
      <c r="D9" s="57">
        <v>1</v>
      </c>
      <c r="E9" s="57">
        <v>37</v>
      </c>
      <c r="F9" s="57">
        <v>111</v>
      </c>
      <c r="G9" s="57">
        <v>100</v>
      </c>
      <c r="H9" s="57">
        <v>10</v>
      </c>
      <c r="I9" s="57">
        <v>60</v>
      </c>
      <c r="J9" s="57">
        <v>61</v>
      </c>
      <c r="K9" s="57">
        <v>0.33900000000000002</v>
      </c>
      <c r="L9" s="57">
        <v>0.41399999999999998</v>
      </c>
      <c r="M9" s="57">
        <v>0.66100000000000003</v>
      </c>
      <c r="N9" s="57">
        <v>1.0740000000000001</v>
      </c>
    </row>
    <row r="10" spans="1:14">
      <c r="A10" s="11" t="s">
        <v>56</v>
      </c>
      <c r="B10" s="57">
        <v>193</v>
      </c>
      <c r="C10" s="57">
        <v>35</v>
      </c>
      <c r="D10" s="57">
        <v>4</v>
      </c>
      <c r="E10" s="57">
        <v>20</v>
      </c>
      <c r="F10" s="57">
        <v>80</v>
      </c>
      <c r="G10" s="57">
        <v>113</v>
      </c>
      <c r="H10" s="57">
        <v>25</v>
      </c>
      <c r="I10" s="57">
        <v>87</v>
      </c>
      <c r="J10" s="57">
        <v>96</v>
      </c>
      <c r="K10" s="57">
        <v>0.33500000000000002</v>
      </c>
      <c r="L10" s="57">
        <v>0.42</v>
      </c>
      <c r="M10" s="57">
        <v>0.51400000000000001</v>
      </c>
      <c r="N10" s="57">
        <v>0.93400000000000005</v>
      </c>
    </row>
    <row r="11" spans="1:14">
      <c r="A11" s="11" t="s">
        <v>57</v>
      </c>
      <c r="B11" s="57">
        <v>179</v>
      </c>
      <c r="C11" s="57">
        <v>28</v>
      </c>
      <c r="D11" s="57">
        <v>3</v>
      </c>
      <c r="E11" s="57">
        <v>6</v>
      </c>
      <c r="F11" s="57">
        <v>76</v>
      </c>
      <c r="G11" s="57">
        <v>87</v>
      </c>
      <c r="H11" s="57">
        <v>15</v>
      </c>
      <c r="I11" s="57">
        <v>68</v>
      </c>
      <c r="J11" s="57">
        <v>68</v>
      </c>
      <c r="K11" s="57">
        <v>0.33200000000000002</v>
      </c>
      <c r="L11" s="57">
        <v>0.40300000000000002</v>
      </c>
      <c r="M11" s="57">
        <v>0.42899999999999999</v>
      </c>
      <c r="N11" s="57">
        <v>0.83199999999999996</v>
      </c>
    </row>
    <row r="12" spans="1:14">
      <c r="A12" s="11" t="s">
        <v>58</v>
      </c>
      <c r="B12" s="57">
        <v>154</v>
      </c>
      <c r="C12" s="57">
        <v>24</v>
      </c>
      <c r="D12" s="57">
        <v>4</v>
      </c>
      <c r="E12" s="57">
        <v>9</v>
      </c>
      <c r="F12" s="57">
        <v>63</v>
      </c>
      <c r="G12" s="57">
        <v>79</v>
      </c>
      <c r="H12" s="57">
        <v>8</v>
      </c>
      <c r="I12" s="57">
        <v>31</v>
      </c>
      <c r="J12" s="57">
        <v>57</v>
      </c>
      <c r="K12" s="57">
        <v>0.33200000000000002</v>
      </c>
      <c r="L12" s="57">
        <v>0.371</v>
      </c>
      <c r="M12" s="57">
        <v>0.45900000000000002</v>
      </c>
      <c r="N12" s="57">
        <v>0.83099999999999996</v>
      </c>
    </row>
    <row r="13" spans="1:14">
      <c r="A13" s="11" t="s">
        <v>59</v>
      </c>
      <c r="B13" s="57">
        <v>143</v>
      </c>
      <c r="C13" s="57">
        <v>26</v>
      </c>
      <c r="D13" s="57">
        <v>0</v>
      </c>
      <c r="E13" s="57">
        <v>13</v>
      </c>
      <c r="F13" s="57">
        <v>75</v>
      </c>
      <c r="G13" s="57">
        <v>71</v>
      </c>
      <c r="H13" s="57">
        <v>2</v>
      </c>
      <c r="I13" s="57">
        <v>24</v>
      </c>
      <c r="J13" s="57">
        <v>88</v>
      </c>
      <c r="K13" s="57">
        <v>0.32700000000000001</v>
      </c>
      <c r="L13" s="57">
        <v>0.35599999999999998</v>
      </c>
      <c r="M13" s="57">
        <v>0.47599999999999998</v>
      </c>
      <c r="N13" s="57">
        <v>0.83199999999999996</v>
      </c>
    </row>
    <row r="14" spans="1:14">
      <c r="A14" s="11" t="s">
        <v>60</v>
      </c>
      <c r="B14" s="57">
        <v>179</v>
      </c>
      <c r="C14" s="57">
        <v>29</v>
      </c>
      <c r="D14" s="57">
        <v>8</v>
      </c>
      <c r="E14" s="57">
        <v>2</v>
      </c>
      <c r="F14" s="57">
        <v>47</v>
      </c>
      <c r="G14" s="57">
        <v>111</v>
      </c>
      <c r="H14" s="57">
        <v>12</v>
      </c>
      <c r="I14" s="57">
        <v>66</v>
      </c>
      <c r="J14" s="57">
        <v>67</v>
      </c>
      <c r="K14" s="57">
        <v>0.32400000000000001</v>
      </c>
      <c r="L14" s="57">
        <v>0.39500000000000002</v>
      </c>
      <c r="M14" s="57">
        <v>0.41699999999999998</v>
      </c>
      <c r="N14" s="57">
        <v>0.81200000000000006</v>
      </c>
    </row>
    <row r="15" spans="1:14">
      <c r="A15" s="11" t="s">
        <v>61</v>
      </c>
      <c r="B15" s="57">
        <v>146</v>
      </c>
      <c r="C15" s="57">
        <v>27</v>
      </c>
      <c r="D15" s="57">
        <v>1</v>
      </c>
      <c r="E15" s="57">
        <v>18</v>
      </c>
      <c r="F15" s="57">
        <v>69</v>
      </c>
      <c r="G15" s="57">
        <v>76</v>
      </c>
      <c r="H15" s="57">
        <v>2</v>
      </c>
      <c r="I15" s="57">
        <v>37</v>
      </c>
      <c r="J15" s="57">
        <v>70</v>
      </c>
      <c r="K15" s="57">
        <v>0.32100000000000001</v>
      </c>
      <c r="L15" s="57">
        <v>0.37</v>
      </c>
      <c r="M15" s="57">
        <v>0.503</v>
      </c>
      <c r="N15" s="57">
        <v>0.874</v>
      </c>
    </row>
    <row r="16" spans="1:14">
      <c r="A16" s="11" t="s">
        <v>62</v>
      </c>
      <c r="B16" s="57">
        <v>173</v>
      </c>
      <c r="C16" s="57">
        <v>13</v>
      </c>
      <c r="D16" s="57">
        <v>0</v>
      </c>
      <c r="E16" s="57">
        <v>34</v>
      </c>
      <c r="F16" s="57">
        <v>111</v>
      </c>
      <c r="G16" s="57">
        <v>73</v>
      </c>
      <c r="H16" s="57">
        <v>1</v>
      </c>
      <c r="I16" s="57">
        <v>65</v>
      </c>
      <c r="J16" s="57">
        <v>84</v>
      </c>
      <c r="K16" s="57">
        <v>0.32</v>
      </c>
      <c r="L16" s="57">
        <v>0.39100000000000001</v>
      </c>
      <c r="M16" s="57">
        <v>0.53300000000000003</v>
      </c>
      <c r="N16" s="57">
        <v>0.92500000000000004</v>
      </c>
    </row>
    <row r="17" spans="1:30">
      <c r="A17" s="11" t="s">
        <v>63</v>
      </c>
      <c r="B17" s="57">
        <v>178</v>
      </c>
      <c r="C17" s="57">
        <v>26</v>
      </c>
      <c r="D17" s="57">
        <v>8</v>
      </c>
      <c r="E17" s="57">
        <v>27</v>
      </c>
      <c r="F17" s="57">
        <v>111</v>
      </c>
      <c r="G17" s="57">
        <v>118</v>
      </c>
      <c r="H17" s="57">
        <v>32</v>
      </c>
      <c r="I17" s="57">
        <v>52</v>
      </c>
      <c r="J17" s="57">
        <v>112</v>
      </c>
      <c r="K17" s="57">
        <v>0.32</v>
      </c>
      <c r="L17" s="57">
        <v>0.372</v>
      </c>
      <c r="M17" s="57">
        <v>0.54</v>
      </c>
      <c r="N17" s="57">
        <v>0.91300000000000003</v>
      </c>
    </row>
    <row r="18" spans="1:30">
      <c r="A18" s="11" t="s">
        <v>64</v>
      </c>
      <c r="B18" s="57">
        <v>136</v>
      </c>
      <c r="C18" s="57">
        <v>18</v>
      </c>
      <c r="D18" s="57">
        <v>1</v>
      </c>
      <c r="E18" s="57">
        <v>46</v>
      </c>
      <c r="F18" s="57">
        <v>113</v>
      </c>
      <c r="G18" s="57">
        <v>89</v>
      </c>
      <c r="H18" s="57">
        <v>1</v>
      </c>
      <c r="I18" s="57">
        <v>89</v>
      </c>
      <c r="J18" s="57">
        <v>107</v>
      </c>
      <c r="K18" s="57">
        <v>0.316</v>
      </c>
      <c r="L18" s="57">
        <v>0.42699999999999999</v>
      </c>
      <c r="M18" s="57">
        <v>0.68400000000000005</v>
      </c>
      <c r="N18" s="57">
        <v>1.111</v>
      </c>
    </row>
    <row r="19" spans="1:30">
      <c r="A19" s="11" t="s">
        <v>65</v>
      </c>
      <c r="B19" s="57">
        <v>154</v>
      </c>
      <c r="C19" s="57">
        <v>29</v>
      </c>
      <c r="D19" s="57">
        <v>2</v>
      </c>
      <c r="E19" s="57">
        <v>21</v>
      </c>
      <c r="F19" s="57">
        <v>93</v>
      </c>
      <c r="G19" s="57">
        <v>95</v>
      </c>
      <c r="H19" s="57">
        <v>7</v>
      </c>
      <c r="I19" s="57">
        <v>47</v>
      </c>
      <c r="J19" s="57">
        <v>70</v>
      </c>
      <c r="K19" s="57">
        <v>0.316</v>
      </c>
      <c r="L19" s="57">
        <v>0.373</v>
      </c>
      <c r="M19" s="57">
        <v>0.51300000000000001</v>
      </c>
      <c r="N19" s="57">
        <v>0.88600000000000001</v>
      </c>
    </row>
    <row r="20" spans="1:30">
      <c r="A20" s="11" t="s">
        <v>66</v>
      </c>
      <c r="B20" s="57">
        <v>162</v>
      </c>
      <c r="C20" s="57">
        <v>38</v>
      </c>
      <c r="D20" s="57">
        <v>0</v>
      </c>
      <c r="E20" s="57">
        <v>31</v>
      </c>
      <c r="F20" s="57">
        <v>124</v>
      </c>
      <c r="G20" s="57">
        <v>90</v>
      </c>
      <c r="H20" s="57">
        <v>2</v>
      </c>
      <c r="I20" s="57">
        <v>72</v>
      </c>
      <c r="J20" s="57">
        <v>107</v>
      </c>
      <c r="K20" s="57">
        <v>0.315</v>
      </c>
      <c r="L20" s="57">
        <v>0.39600000000000002</v>
      </c>
      <c r="M20" s="57">
        <v>0.56899999999999995</v>
      </c>
      <c r="N20" s="57">
        <v>0.96499999999999997</v>
      </c>
    </row>
    <row r="21" spans="1:30">
      <c r="A21" s="11" t="s">
        <v>67</v>
      </c>
      <c r="B21" s="57">
        <v>168</v>
      </c>
      <c r="C21" s="57">
        <v>30</v>
      </c>
      <c r="D21" s="57">
        <v>1</v>
      </c>
      <c r="E21" s="57">
        <v>20</v>
      </c>
      <c r="F21" s="57">
        <v>105</v>
      </c>
      <c r="G21" s="57">
        <v>90</v>
      </c>
      <c r="H21" s="57">
        <v>0</v>
      </c>
      <c r="I21" s="57">
        <v>41</v>
      </c>
      <c r="J21" s="57">
        <v>85</v>
      </c>
      <c r="K21" s="57">
        <v>0.312</v>
      </c>
      <c r="L21" s="57">
        <v>0.35699999999999998</v>
      </c>
      <c r="M21" s="57">
        <v>0.48299999999999998</v>
      </c>
      <c r="N21" s="57">
        <v>0.84</v>
      </c>
    </row>
    <row r="22" spans="1:30">
      <c r="A22" s="4" t="s">
        <v>375</v>
      </c>
      <c r="B22" s="4">
        <f t="shared" ref="B22:N22" si="0">AVERAGE(B2:B21)</f>
        <v>165.95</v>
      </c>
      <c r="C22" s="4">
        <f t="shared" si="0"/>
        <v>29.35</v>
      </c>
      <c r="D22" s="4">
        <f t="shared" si="0"/>
        <v>2.4500000000000002</v>
      </c>
      <c r="E22" s="4">
        <f t="shared" si="0"/>
        <v>20.55</v>
      </c>
      <c r="F22" s="4">
        <f t="shared" si="0"/>
        <v>89.55</v>
      </c>
      <c r="G22" s="4">
        <f t="shared" si="0"/>
        <v>92.25</v>
      </c>
      <c r="H22" s="4">
        <f t="shared" si="0"/>
        <v>8.85</v>
      </c>
      <c r="I22" s="4">
        <f t="shared" si="0"/>
        <v>61.2</v>
      </c>
      <c r="J22" s="4">
        <f t="shared" si="0"/>
        <v>81.8</v>
      </c>
      <c r="K22" s="4">
        <f t="shared" si="0"/>
        <v>0.33405000000000001</v>
      </c>
      <c r="L22" s="4">
        <f t="shared" si="0"/>
        <v>0.40244999999999997</v>
      </c>
      <c r="M22" s="4">
        <f t="shared" si="0"/>
        <v>0.52769999999999995</v>
      </c>
      <c r="N22" s="4">
        <f t="shared" si="0"/>
        <v>0.93035000000000012</v>
      </c>
    </row>
    <row r="23" spans="1:30">
      <c r="A23" s="4" t="s">
        <v>376</v>
      </c>
      <c r="B23" s="4">
        <f>_xlfn.STDEV.S(B2:B21)</f>
        <v>16.317491422267992</v>
      </c>
      <c r="C23" s="4">
        <f t="shared" ref="C23:N23" si="1">_xlfn.STDEV.S(C2:C21)</f>
        <v>7.1911861257192333</v>
      </c>
      <c r="D23" s="4">
        <f t="shared" si="1"/>
        <v>2.282081229238369</v>
      </c>
      <c r="E23" s="4">
        <f t="shared" si="1"/>
        <v>12.240893500239702</v>
      </c>
      <c r="F23" s="4">
        <f t="shared" si="1"/>
        <v>24.119166870485316</v>
      </c>
      <c r="G23" s="4">
        <f t="shared" si="1"/>
        <v>13.591309142629576</v>
      </c>
      <c r="H23" s="4">
        <f t="shared" si="1"/>
        <v>8.9928334039711277</v>
      </c>
      <c r="I23" s="4">
        <f t="shared" si="1"/>
        <v>21.439265501951269</v>
      </c>
      <c r="J23" s="4">
        <f t="shared" si="1"/>
        <v>23.045949524237113</v>
      </c>
      <c r="K23" s="4">
        <f t="shared" si="1"/>
        <v>1.7421931127476257E-2</v>
      </c>
      <c r="L23" s="4">
        <f t="shared" si="1"/>
        <v>2.8305615957559413E-2</v>
      </c>
      <c r="M23" s="4">
        <f t="shared" si="1"/>
        <v>7.2056337607970103E-2</v>
      </c>
      <c r="N23" s="4">
        <f t="shared" si="1"/>
        <v>8.6907255465994218E-2</v>
      </c>
    </row>
    <row r="26" spans="1:30">
      <c r="A26" s="120" t="s">
        <v>377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P26" s="120" t="s">
        <v>392</v>
      </c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  <c r="AB26" s="120"/>
      <c r="AC26" s="120"/>
    </row>
    <row r="27" spans="1:30">
      <c r="A27" s="4" t="s">
        <v>372</v>
      </c>
      <c r="B27" s="57" t="s">
        <v>11</v>
      </c>
      <c r="C27" s="57" t="s">
        <v>373</v>
      </c>
      <c r="D27" s="57" t="s">
        <v>374</v>
      </c>
      <c r="E27" s="57" t="s">
        <v>14</v>
      </c>
      <c r="F27" s="57" t="s">
        <v>15</v>
      </c>
      <c r="G27" s="57" t="s">
        <v>16</v>
      </c>
      <c r="H27" s="57" t="s">
        <v>17</v>
      </c>
      <c r="I27" s="57" t="s">
        <v>18</v>
      </c>
      <c r="J27" s="57" t="s">
        <v>19</v>
      </c>
      <c r="K27" s="57" t="s">
        <v>20</v>
      </c>
      <c r="L27" s="57" t="s">
        <v>21</v>
      </c>
      <c r="M27" s="57" t="s">
        <v>22</v>
      </c>
      <c r="N27" s="57" t="s">
        <v>23</v>
      </c>
      <c r="P27" s="9"/>
      <c r="Q27" s="9" t="s">
        <v>193</v>
      </c>
      <c r="R27" s="9" t="s">
        <v>194</v>
      </c>
      <c r="S27" s="9" t="s">
        <v>195</v>
      </c>
      <c r="T27" s="9" t="s">
        <v>378</v>
      </c>
      <c r="U27" s="9" t="s">
        <v>379</v>
      </c>
      <c r="V27" s="9" t="s">
        <v>380</v>
      </c>
      <c r="W27" s="9" t="s">
        <v>381</v>
      </c>
      <c r="X27" s="9" t="s">
        <v>382</v>
      </c>
      <c r="Y27" s="9" t="s">
        <v>383</v>
      </c>
      <c r="Z27" s="9" t="s">
        <v>384</v>
      </c>
      <c r="AA27" s="9" t="s">
        <v>385</v>
      </c>
      <c r="AB27" s="9" t="s">
        <v>386</v>
      </c>
      <c r="AC27" s="9" t="s">
        <v>387</v>
      </c>
      <c r="AD27" s="58" t="s">
        <v>395</v>
      </c>
    </row>
    <row r="28" spans="1:30">
      <c r="A28" s="4" t="s">
        <v>48</v>
      </c>
      <c r="B28" s="85">
        <f t="shared" ref="B28:N43" si="2">(B2-B$22)/B$23</f>
        <v>0.61590349520791399</v>
      </c>
      <c r="C28" s="85">
        <f t="shared" si="2"/>
        <v>0.64662489868942508</v>
      </c>
      <c r="D28" s="85">
        <f t="shared" si="2"/>
        <v>-0.63538492031851512</v>
      </c>
      <c r="E28" s="85">
        <f t="shared" si="2"/>
        <v>-1.2703321044085139</v>
      </c>
      <c r="F28" s="85">
        <f t="shared" si="2"/>
        <v>-1.0593234889578875</v>
      </c>
      <c r="G28" s="85">
        <f t="shared" si="2"/>
        <v>-0.60700554401515383</v>
      </c>
      <c r="H28" s="85">
        <f t="shared" si="2"/>
        <v>-0.53931834185411431</v>
      </c>
      <c r="I28" s="85">
        <f t="shared" si="2"/>
        <v>-0.80226629025302032</v>
      </c>
      <c r="J28" s="85">
        <f t="shared" si="2"/>
        <v>-1.8137677493409201</v>
      </c>
      <c r="K28" s="85">
        <f t="shared" si="2"/>
        <v>2.0634911099667343</v>
      </c>
      <c r="L28" s="85">
        <f t="shared" si="2"/>
        <v>0.62001830401125879</v>
      </c>
      <c r="M28" s="85">
        <f t="shared" si="2"/>
        <v>-0.70361611043623284</v>
      </c>
      <c r="N28" s="85">
        <f t="shared" si="2"/>
        <v>-0.38374241392365177</v>
      </c>
      <c r="P28" s="9" t="s">
        <v>199</v>
      </c>
      <c r="Q28" s="86">
        <v>4.6700912028048673</v>
      </c>
      <c r="R28" s="86">
        <v>3.1692810392746744</v>
      </c>
      <c r="S28" s="86">
        <v>2.0958903336135188</v>
      </c>
      <c r="T28" s="86">
        <v>1.0173647816032996</v>
      </c>
      <c r="U28" s="86">
        <v>0.96269230740305478</v>
      </c>
      <c r="V28" s="86">
        <v>0.43402262607917036</v>
      </c>
      <c r="W28" s="86">
        <v>0.326050659810734</v>
      </c>
      <c r="X28" s="86">
        <v>0.15039699368707707</v>
      </c>
      <c r="Y28" s="86">
        <v>0.11451186419431984</v>
      </c>
      <c r="Z28" s="86">
        <v>5.2075181941017318E-2</v>
      </c>
      <c r="AA28" s="86">
        <v>4.1745971410547256E-3</v>
      </c>
      <c r="AB28" s="86">
        <v>3.4428615534998147E-3</v>
      </c>
      <c r="AC28" s="86">
        <v>5.5508937076432205E-6</v>
      </c>
      <c r="AD28" s="58">
        <f>SUM(Q28:AC28)</f>
        <v>12.999999999999995</v>
      </c>
    </row>
    <row r="29" spans="1:30">
      <c r="A29" s="4" t="s">
        <v>49</v>
      </c>
      <c r="B29" s="85">
        <f t="shared" si="2"/>
        <v>0.67718742507934815</v>
      </c>
      <c r="C29" s="85">
        <f t="shared" si="2"/>
        <v>1.4809796066757803</v>
      </c>
      <c r="D29" s="85">
        <f t="shared" si="2"/>
        <v>-0.19718842354712546</v>
      </c>
      <c r="E29" s="85">
        <f t="shared" si="2"/>
        <v>-4.4931360606088974E-2</v>
      </c>
      <c r="F29" s="85">
        <f t="shared" si="2"/>
        <v>-0.47887226213164769</v>
      </c>
      <c r="G29" s="85">
        <f t="shared" si="2"/>
        <v>-9.1970536971993005E-2</v>
      </c>
      <c r="H29" s="85">
        <f t="shared" si="2"/>
        <v>1.239876187973892</v>
      </c>
      <c r="I29" s="85">
        <f t="shared" si="2"/>
        <v>-0.4757625674756284</v>
      </c>
      <c r="J29" s="85">
        <f t="shared" si="2"/>
        <v>-0.7723699985231669</v>
      </c>
      <c r="K29" s="85">
        <f t="shared" si="2"/>
        <v>1.8338954370914369</v>
      </c>
      <c r="L29" s="85">
        <f t="shared" si="2"/>
        <v>0.76133301717621815</v>
      </c>
      <c r="M29" s="85">
        <f t="shared" si="2"/>
        <v>0.75357701768614349</v>
      </c>
      <c r="N29" s="85">
        <f t="shared" si="2"/>
        <v>0.8704681743125674</v>
      </c>
      <c r="P29" s="11" t="s">
        <v>393</v>
      </c>
      <c r="Q29" s="85">
        <f>Q28/13*100</f>
        <v>35.923778483114368</v>
      </c>
      <c r="R29" s="85">
        <f t="shared" ref="R29:AC29" si="3">R28/13*100</f>
        <v>24.379084917497494</v>
      </c>
      <c r="S29" s="85">
        <f t="shared" si="3"/>
        <v>16.122233335488605</v>
      </c>
      <c r="T29" s="85">
        <f t="shared" si="3"/>
        <v>7.8258829354099975</v>
      </c>
      <c r="U29" s="85">
        <f t="shared" si="3"/>
        <v>7.4053254415619589</v>
      </c>
      <c r="V29" s="85">
        <f t="shared" si="3"/>
        <v>3.3386355852243872</v>
      </c>
      <c r="W29" s="85">
        <f t="shared" si="3"/>
        <v>2.5080819985441076</v>
      </c>
      <c r="X29" s="85">
        <f t="shared" si="3"/>
        <v>1.1568999514390543</v>
      </c>
      <c r="Y29" s="85">
        <f t="shared" si="3"/>
        <v>0.88086049380246034</v>
      </c>
      <c r="Z29" s="85">
        <f t="shared" si="3"/>
        <v>0.40057832262321014</v>
      </c>
      <c r="AA29" s="85">
        <f t="shared" si="3"/>
        <v>3.2112285700420962E-2</v>
      </c>
      <c r="AB29" s="85">
        <f t="shared" si="3"/>
        <v>2.6483550411537039E-2</v>
      </c>
      <c r="AC29" s="85">
        <f t="shared" si="3"/>
        <v>4.2699182366486311E-5</v>
      </c>
    </row>
    <row r="30" spans="1:30">
      <c r="A30" s="4" t="s">
        <v>50</v>
      </c>
      <c r="B30" s="85">
        <f t="shared" si="2"/>
        <v>-1.5290340502922815</v>
      </c>
      <c r="C30" s="85">
        <f t="shared" si="2"/>
        <v>-0.60490716329010774</v>
      </c>
      <c r="D30" s="85">
        <f t="shared" si="2"/>
        <v>0.67920456999565393</v>
      </c>
      <c r="E30" s="85">
        <f t="shared" si="2"/>
        <v>-1.4337188702488373</v>
      </c>
      <c r="F30" s="85">
        <f t="shared" si="2"/>
        <v>-1.7641571215326073</v>
      </c>
      <c r="G30" s="85">
        <f t="shared" si="2"/>
        <v>-0.60700554401515383</v>
      </c>
      <c r="H30" s="85">
        <f t="shared" si="2"/>
        <v>0.23907926494563839</v>
      </c>
      <c r="I30" s="85">
        <f t="shared" si="2"/>
        <v>-0.1959022336664353</v>
      </c>
      <c r="J30" s="85">
        <f t="shared" si="2"/>
        <v>-1.3364604468827832</v>
      </c>
      <c r="K30" s="85">
        <f t="shared" si="2"/>
        <v>1.6616986824349635</v>
      </c>
      <c r="L30" s="85">
        <f t="shared" si="2"/>
        <v>1.3619205481272951</v>
      </c>
      <c r="M30" s="85">
        <f t="shared" si="2"/>
        <v>-0.77300625939444123</v>
      </c>
      <c r="N30" s="85">
        <f t="shared" si="2"/>
        <v>-0.19963810739356436</v>
      </c>
      <c r="P30" s="11" t="s">
        <v>394</v>
      </c>
      <c r="Q30" s="85">
        <f>Q29</f>
        <v>35.923778483114368</v>
      </c>
      <c r="R30" s="85">
        <f>Q30+R29</f>
        <v>60.302863400611862</v>
      </c>
      <c r="S30" s="85">
        <f t="shared" ref="S30:AC30" si="4">R30+S29</f>
        <v>76.425096736100471</v>
      </c>
      <c r="T30" s="85">
        <f t="shared" si="4"/>
        <v>84.250979671510464</v>
      </c>
      <c r="U30" s="85">
        <f t="shared" si="4"/>
        <v>91.65630511307242</v>
      </c>
      <c r="V30" s="85">
        <f t="shared" si="4"/>
        <v>94.994940698296801</v>
      </c>
      <c r="W30" s="85">
        <f t="shared" si="4"/>
        <v>97.503022696840915</v>
      </c>
      <c r="X30" s="85">
        <f t="shared" si="4"/>
        <v>98.659922648279974</v>
      </c>
      <c r="Y30" s="85">
        <f t="shared" si="4"/>
        <v>99.540783142082432</v>
      </c>
      <c r="Z30" s="85">
        <f t="shared" si="4"/>
        <v>99.941361464705636</v>
      </c>
      <c r="AA30" s="85">
        <f t="shared" si="4"/>
        <v>99.973473750406058</v>
      </c>
      <c r="AB30" s="85">
        <f t="shared" si="4"/>
        <v>99.999957300817599</v>
      </c>
      <c r="AC30" s="85">
        <f t="shared" si="4"/>
        <v>99.999999999999972</v>
      </c>
    </row>
    <row r="31" spans="1:30">
      <c r="A31" s="4" t="s">
        <v>51</v>
      </c>
      <c r="B31" s="85">
        <f t="shared" si="2"/>
        <v>0.4320517055936115</v>
      </c>
      <c r="C31" s="85">
        <f t="shared" si="2"/>
        <v>1.759097842671232</v>
      </c>
      <c r="D31" s="85">
        <f t="shared" si="2"/>
        <v>-0.19718842354712546</v>
      </c>
      <c r="E31" s="85">
        <f t="shared" si="2"/>
        <v>0.28184217107455767</v>
      </c>
      <c r="F31" s="85">
        <f t="shared" si="2"/>
        <v>0.39180457810771196</v>
      </c>
      <c r="G31" s="85">
        <f t="shared" si="2"/>
        <v>0.79094661795913979</v>
      </c>
      <c r="H31" s="85">
        <f t="shared" si="2"/>
        <v>0.90627721363114078</v>
      </c>
      <c r="I31" s="85">
        <f t="shared" si="2"/>
        <v>-5.5972066761838753E-2</v>
      </c>
      <c r="J31" s="85">
        <f t="shared" si="2"/>
        <v>1.4839917949152985</v>
      </c>
      <c r="K31" s="85">
        <f t="shared" si="2"/>
        <v>0.7433159909337731</v>
      </c>
      <c r="L31" s="85">
        <f t="shared" si="2"/>
        <v>0.44337491255505962</v>
      </c>
      <c r="M31" s="85">
        <f t="shared" si="2"/>
        <v>0.78133307726942691</v>
      </c>
      <c r="N31" s="85">
        <f t="shared" si="2"/>
        <v>0.80142905936378461</v>
      </c>
    </row>
    <row r="32" spans="1:30">
      <c r="A32" s="4" t="s">
        <v>52</v>
      </c>
      <c r="B32" s="85">
        <f t="shared" si="2"/>
        <v>0.55461956533647983</v>
      </c>
      <c r="C32" s="85">
        <f t="shared" si="2"/>
        <v>-0.88302539928555945</v>
      </c>
      <c r="D32" s="85">
        <f t="shared" si="2"/>
        <v>-0.19718842354712546</v>
      </c>
      <c r="E32" s="85">
        <f t="shared" si="2"/>
        <v>-0.53509165812705894</v>
      </c>
      <c r="F32" s="85">
        <f t="shared" si="2"/>
        <v>1.8657360862272113E-2</v>
      </c>
      <c r="G32" s="85">
        <f t="shared" si="2"/>
        <v>-0.68058197359274819</v>
      </c>
      <c r="H32" s="85">
        <f t="shared" si="2"/>
        <v>-0.53931834185411431</v>
      </c>
      <c r="I32" s="85">
        <f t="shared" si="2"/>
        <v>0.78360893466574055</v>
      </c>
      <c r="J32" s="85">
        <f t="shared" si="2"/>
        <v>0.26902775229458636</v>
      </c>
      <c r="K32" s="85">
        <f t="shared" si="2"/>
        <v>0.57111923627729999</v>
      </c>
      <c r="L32" s="85">
        <f t="shared" si="2"/>
        <v>0.79666169546745791</v>
      </c>
      <c r="M32" s="85">
        <f t="shared" si="2"/>
        <v>-0.67586005085294942</v>
      </c>
      <c r="N32" s="85">
        <f t="shared" si="2"/>
        <v>-0.30319677981673854</v>
      </c>
      <c r="P32" s="120" t="s">
        <v>391</v>
      </c>
      <c r="Q32" s="120"/>
      <c r="R32" s="120"/>
      <c r="S32" s="120"/>
      <c r="T32" s="120"/>
      <c r="U32" s="120"/>
      <c r="V32" s="120"/>
      <c r="W32" s="120"/>
      <c r="X32" s="120"/>
      <c r="Y32" s="120"/>
      <c r="Z32" s="120"/>
      <c r="AA32" s="120"/>
      <c r="AB32" s="120"/>
      <c r="AC32" s="120"/>
    </row>
    <row r="33" spans="1:29">
      <c r="A33" s="4" t="s">
        <v>53</v>
      </c>
      <c r="B33" s="85">
        <f t="shared" si="2"/>
        <v>0.61590349520791399</v>
      </c>
      <c r="C33" s="85">
        <f t="shared" si="2"/>
        <v>0.92474313468487679</v>
      </c>
      <c r="D33" s="85">
        <f t="shared" si="2"/>
        <v>0.24100807322426426</v>
      </c>
      <c r="E33" s="85">
        <f t="shared" si="2"/>
        <v>0.44522893691488102</v>
      </c>
      <c r="F33" s="85">
        <f t="shared" si="2"/>
        <v>1.2624814183470716</v>
      </c>
      <c r="G33" s="85">
        <f t="shared" si="2"/>
        <v>0.42306447007116782</v>
      </c>
      <c r="H33" s="85">
        <f t="shared" si="2"/>
        <v>-0.98411697431111589</v>
      </c>
      <c r="I33" s="85">
        <f t="shared" si="2"/>
        <v>2.1362672147435071</v>
      </c>
      <c r="J33" s="85">
        <f t="shared" si="2"/>
        <v>8.678314590148067E-3</v>
      </c>
      <c r="K33" s="85">
        <f t="shared" si="2"/>
        <v>0.45632139983965431</v>
      </c>
      <c r="L33" s="85">
        <f t="shared" si="2"/>
        <v>1.6798786527484537</v>
      </c>
      <c r="M33" s="85">
        <f t="shared" si="2"/>
        <v>0.67030883893629334</v>
      </c>
      <c r="N33" s="85">
        <f t="shared" si="2"/>
        <v>1.1005985574751767</v>
      </c>
      <c r="P33" s="9"/>
      <c r="Q33" s="9" t="s">
        <v>193</v>
      </c>
      <c r="R33" s="9" t="s">
        <v>194</v>
      </c>
      <c r="S33" s="9" t="s">
        <v>195</v>
      </c>
      <c r="T33" s="9" t="s">
        <v>378</v>
      </c>
      <c r="U33" s="9" t="s">
        <v>379</v>
      </c>
      <c r="V33" s="9" t="s">
        <v>380</v>
      </c>
      <c r="W33" s="9" t="s">
        <v>381</v>
      </c>
      <c r="X33" s="9" t="s">
        <v>382</v>
      </c>
      <c r="Y33" s="9" t="s">
        <v>383</v>
      </c>
      <c r="Z33" s="9" t="s">
        <v>384</v>
      </c>
      <c r="AA33" s="9" t="s">
        <v>385</v>
      </c>
      <c r="AB33" s="9" t="s">
        <v>386</v>
      </c>
      <c r="AC33" s="9" t="s">
        <v>387</v>
      </c>
    </row>
    <row r="34" spans="1:29">
      <c r="A34" s="4" t="s">
        <v>54</v>
      </c>
      <c r="B34" s="85">
        <f t="shared" si="2"/>
        <v>1.1674588640508214</v>
      </c>
      <c r="C34" s="85">
        <f t="shared" si="2"/>
        <v>0.64662489868942508</v>
      </c>
      <c r="D34" s="85">
        <f t="shared" si="2"/>
        <v>-0.19718842354712546</v>
      </c>
      <c r="E34" s="85">
        <f t="shared" si="2"/>
        <v>1.180469383196336</v>
      </c>
      <c r="F34" s="85">
        <f t="shared" si="2"/>
        <v>1.0551774087662718</v>
      </c>
      <c r="G34" s="85">
        <f t="shared" si="2"/>
        <v>1.3059816250023006</v>
      </c>
      <c r="H34" s="85">
        <f t="shared" si="2"/>
        <v>-0.53931834185411431</v>
      </c>
      <c r="I34" s="85">
        <f t="shared" si="2"/>
        <v>1.2500428243477291</v>
      </c>
      <c r="J34" s="85">
        <f t="shared" si="2"/>
        <v>1.7877328055704766</v>
      </c>
      <c r="K34" s="85">
        <f t="shared" si="2"/>
        <v>0.34152356340200551</v>
      </c>
      <c r="L34" s="85">
        <f t="shared" si="2"/>
        <v>0.93797640863241727</v>
      </c>
      <c r="M34" s="85">
        <f t="shared" si="2"/>
        <v>1.045015643310619</v>
      </c>
      <c r="N34" s="85">
        <f t="shared" si="2"/>
        <v>1.1696376724239594</v>
      </c>
      <c r="P34" s="9" t="s">
        <v>11</v>
      </c>
      <c r="Q34" s="86">
        <v>7.8316561056825246E-2</v>
      </c>
      <c r="R34" s="86">
        <v>0.40290180903276152</v>
      </c>
      <c r="S34" s="86">
        <v>-0.11610651717823472</v>
      </c>
      <c r="T34" s="86">
        <v>6.2177297411238454E-3</v>
      </c>
      <c r="U34" s="86">
        <v>0.54533978697069807</v>
      </c>
      <c r="V34" s="86">
        <v>-0.47688174796442345</v>
      </c>
      <c r="W34" s="86">
        <v>-0.29440839981795702</v>
      </c>
      <c r="X34" s="86">
        <v>-0.11974911662457366</v>
      </c>
      <c r="Y34" s="86">
        <v>-0.28885050831288833</v>
      </c>
      <c r="Z34" s="86">
        <v>-0.25797101832196356</v>
      </c>
      <c r="AA34" s="86">
        <v>-9.7060209781027307E-2</v>
      </c>
      <c r="AB34" s="86">
        <v>0.18105294371812772</v>
      </c>
      <c r="AC34" s="86">
        <v>-2.2154545718092783E-3</v>
      </c>
    </row>
    <row r="35" spans="1:29">
      <c r="A35" s="4" t="s">
        <v>55</v>
      </c>
      <c r="B35" s="85">
        <f t="shared" si="2"/>
        <v>-0.91619475157793995</v>
      </c>
      <c r="C35" s="85">
        <f t="shared" si="2"/>
        <v>9.0388426698521623E-2</v>
      </c>
      <c r="D35" s="85">
        <f t="shared" si="2"/>
        <v>-0.63538492031851512</v>
      </c>
      <c r="E35" s="85">
        <f t="shared" si="2"/>
        <v>1.3438561490366594</v>
      </c>
      <c r="F35" s="85">
        <f t="shared" si="2"/>
        <v>0.88933420110163175</v>
      </c>
      <c r="G35" s="85">
        <f t="shared" si="2"/>
        <v>0.5702173292263566</v>
      </c>
      <c r="H35" s="85">
        <f t="shared" si="2"/>
        <v>0.12787960683138799</v>
      </c>
      <c r="I35" s="85">
        <f t="shared" si="2"/>
        <v>-5.5972066761838753E-2</v>
      </c>
      <c r="J35" s="85">
        <f t="shared" si="2"/>
        <v>-0.902544717375386</v>
      </c>
      <c r="K35" s="85">
        <f t="shared" si="2"/>
        <v>0.28412464518318109</v>
      </c>
      <c r="L35" s="85">
        <f t="shared" si="2"/>
        <v>0.40804623426381981</v>
      </c>
      <c r="M35" s="85">
        <f t="shared" si="2"/>
        <v>1.8499413712258375</v>
      </c>
      <c r="N35" s="85">
        <f t="shared" si="2"/>
        <v>1.6529114770654389</v>
      </c>
      <c r="P35" s="9" t="s">
        <v>191</v>
      </c>
      <c r="Q35" s="86">
        <v>0.10859032107860545</v>
      </c>
      <c r="R35" s="86">
        <v>0.29808896319696865</v>
      </c>
      <c r="S35" s="86">
        <v>0.13765987078247269</v>
      </c>
      <c r="T35" s="86">
        <v>0.6686255753367959</v>
      </c>
      <c r="U35" s="86">
        <v>0.24548421914043481</v>
      </c>
      <c r="V35" s="86">
        <v>0.47838720776552512</v>
      </c>
      <c r="W35" s="86">
        <v>1.9251626165212556E-2</v>
      </c>
      <c r="X35" s="86">
        <v>0.20108540318035439</v>
      </c>
      <c r="Y35" s="86">
        <v>0.12622512403009858</v>
      </c>
      <c r="Z35" s="86">
        <v>-0.25209379195529796</v>
      </c>
      <c r="AA35" s="86">
        <v>0.15004937179516836</v>
      </c>
      <c r="AB35" s="86">
        <v>-3.7485231049514602E-2</v>
      </c>
      <c r="AC35" s="86">
        <v>-3.7291936424312063E-3</v>
      </c>
    </row>
    <row r="36" spans="1:29">
      <c r="A36" s="4" t="s">
        <v>56</v>
      </c>
      <c r="B36" s="85">
        <f t="shared" si="2"/>
        <v>1.6577303030222947</v>
      </c>
      <c r="C36" s="85">
        <f t="shared" si="2"/>
        <v>0.78568401668715093</v>
      </c>
      <c r="D36" s="85">
        <f t="shared" si="2"/>
        <v>0.67920456999565393</v>
      </c>
      <c r="E36" s="85">
        <f t="shared" si="2"/>
        <v>-4.4931360606088974E-2</v>
      </c>
      <c r="F36" s="85">
        <f t="shared" si="2"/>
        <v>-0.39595065829932774</v>
      </c>
      <c r="G36" s="85">
        <f t="shared" si="2"/>
        <v>1.5267109137350838</v>
      </c>
      <c r="H36" s="85">
        <f t="shared" si="2"/>
        <v>1.7958744785451437</v>
      </c>
      <c r="I36" s="85">
        <f t="shared" si="2"/>
        <v>1.2033994353795303</v>
      </c>
      <c r="J36" s="85">
        <f t="shared" si="2"/>
        <v>0.61616033590050412</v>
      </c>
      <c r="K36" s="85">
        <f t="shared" si="2"/>
        <v>5.4528972307883498E-2</v>
      </c>
      <c r="L36" s="85">
        <f t="shared" si="2"/>
        <v>0.62001830401125879</v>
      </c>
      <c r="M36" s="85">
        <f t="shared" si="2"/>
        <v>-0.19012900814549014</v>
      </c>
      <c r="N36" s="85">
        <f t="shared" si="2"/>
        <v>4.1998794927175363E-2</v>
      </c>
      <c r="P36" s="9" t="s">
        <v>192</v>
      </c>
      <c r="Q36" s="86">
        <v>-9.6259078937760686E-2</v>
      </c>
      <c r="R36" s="86">
        <v>0.40989201237163214</v>
      </c>
      <c r="S36" s="86">
        <v>-0.27582515288380777</v>
      </c>
      <c r="T36" s="86">
        <v>-0.31490297893414271</v>
      </c>
      <c r="U36" s="86">
        <v>-0.31856416893333223</v>
      </c>
      <c r="V36" s="86">
        <v>0.22157168584248682</v>
      </c>
      <c r="W36" s="86">
        <v>-5.4744386218078617E-2</v>
      </c>
      <c r="X36" s="86">
        <v>-0.35559274207027719</v>
      </c>
      <c r="Y36" s="86">
        <v>0.31369289930113758</v>
      </c>
      <c r="Z36" s="86">
        <v>-0.51128020762148418</v>
      </c>
      <c r="AA36" s="86">
        <v>8.715212769692815E-2</v>
      </c>
      <c r="AB36" s="86">
        <v>9.573427018592076E-4</v>
      </c>
      <c r="AC36" s="86">
        <v>-7.2071794568641552E-3</v>
      </c>
    </row>
    <row r="37" spans="1:29">
      <c r="A37" s="4" t="s">
        <v>57</v>
      </c>
      <c r="B37" s="85">
        <f t="shared" si="2"/>
        <v>0.79975528482221647</v>
      </c>
      <c r="C37" s="85">
        <f t="shared" si="2"/>
        <v>-0.18772980929693012</v>
      </c>
      <c r="D37" s="85">
        <f t="shared" si="2"/>
        <v>0.24100807322426426</v>
      </c>
      <c r="E37" s="85">
        <f t="shared" si="2"/>
        <v>-1.1886387214883523</v>
      </c>
      <c r="F37" s="85">
        <f t="shared" si="2"/>
        <v>-0.56179386596396763</v>
      </c>
      <c r="G37" s="85">
        <f t="shared" si="2"/>
        <v>-0.38627625528237064</v>
      </c>
      <c r="H37" s="85">
        <f t="shared" si="2"/>
        <v>0.68387789740263993</v>
      </c>
      <c r="I37" s="85">
        <f t="shared" si="2"/>
        <v>0.31717504498375204</v>
      </c>
      <c r="J37" s="85">
        <f t="shared" si="2"/>
        <v>-0.598803706720208</v>
      </c>
      <c r="K37" s="85">
        <f t="shared" si="2"/>
        <v>-0.11766778234858971</v>
      </c>
      <c r="L37" s="85">
        <f t="shared" si="2"/>
        <v>1.9430773060183669E-2</v>
      </c>
      <c r="M37" s="85">
        <f t="shared" si="2"/>
        <v>-1.3697615404350334</v>
      </c>
      <c r="N37" s="85">
        <f t="shared" si="2"/>
        <v>-1.131666159202132</v>
      </c>
      <c r="P37" s="9" t="s">
        <v>14</v>
      </c>
      <c r="Q37" s="86">
        <v>0.40782138844423593</v>
      </c>
      <c r="R37" s="86">
        <v>-0.21171363761684589</v>
      </c>
      <c r="S37" s="86">
        <v>-0.11996933601126282</v>
      </c>
      <c r="T37" s="86">
        <v>3.1112177753416653E-2</v>
      </c>
      <c r="U37" s="86">
        <v>-0.13940729918736025</v>
      </c>
      <c r="V37" s="86">
        <v>-0.16397555929382662</v>
      </c>
      <c r="W37" s="86">
        <v>-0.1780423804168515</v>
      </c>
      <c r="X37" s="86">
        <v>-1.8553842726984501E-2</v>
      </c>
      <c r="Y37" s="86">
        <v>-0.21745096917161932</v>
      </c>
      <c r="Z37" s="86">
        <v>-0.16117645270829817</v>
      </c>
      <c r="AA37" s="86">
        <v>0.73770032209911174</v>
      </c>
      <c r="AB37" s="86">
        <v>-0.27833380112771422</v>
      </c>
      <c r="AC37" s="86">
        <v>-1.4088477327197492E-2</v>
      </c>
    </row>
    <row r="38" spans="1:29">
      <c r="A38" s="4" t="s">
        <v>58</v>
      </c>
      <c r="B38" s="85">
        <f t="shared" si="2"/>
        <v>-0.73234296196363746</v>
      </c>
      <c r="C38" s="85">
        <f t="shared" si="2"/>
        <v>-0.7439662812878336</v>
      </c>
      <c r="D38" s="85">
        <f t="shared" si="2"/>
        <v>0.67920456999565393</v>
      </c>
      <c r="E38" s="85">
        <f t="shared" si="2"/>
        <v>-0.94355857272786725</v>
      </c>
      <c r="F38" s="85">
        <f t="shared" si="2"/>
        <v>-1.1007842908740475</v>
      </c>
      <c r="G38" s="85">
        <f t="shared" si="2"/>
        <v>-0.97488769190312585</v>
      </c>
      <c r="H38" s="85">
        <f t="shared" si="2"/>
        <v>-9.4519709397112794E-2</v>
      </c>
      <c r="I38" s="85">
        <f t="shared" si="2"/>
        <v>-1.4086303468396053</v>
      </c>
      <c r="J38" s="85">
        <f t="shared" si="2"/>
        <v>-1.076111009178345</v>
      </c>
      <c r="K38" s="85">
        <f t="shared" si="2"/>
        <v>-0.11766778234858971</v>
      </c>
      <c r="L38" s="85">
        <f t="shared" si="2"/>
        <v>-1.1110869322594907</v>
      </c>
      <c r="M38" s="85">
        <f t="shared" si="2"/>
        <v>-0.95342064668578252</v>
      </c>
      <c r="N38" s="85">
        <f t="shared" si="2"/>
        <v>-1.1431726783602623</v>
      </c>
      <c r="P38" s="9" t="s">
        <v>15</v>
      </c>
      <c r="Q38" s="86">
        <v>0.38789640253765895</v>
      </c>
      <c r="R38" s="86">
        <v>-0.16037758073408517</v>
      </c>
      <c r="S38" s="86">
        <v>-0.17978588406805301</v>
      </c>
      <c r="T38" s="86">
        <v>8.8589646286191454E-2</v>
      </c>
      <c r="U38" s="86">
        <v>0.19255216119237784</v>
      </c>
      <c r="V38" s="86">
        <v>-0.15097269235821348</v>
      </c>
      <c r="W38" s="86">
        <v>-0.26868115684307803</v>
      </c>
      <c r="X38" s="86">
        <v>-0.12689847378556998</v>
      </c>
      <c r="Y38" s="86">
        <v>0.75797582388165485</v>
      </c>
      <c r="Z38" s="86">
        <v>0.22795026432966259</v>
      </c>
      <c r="AA38" s="86">
        <v>-5.6712789917421479E-2</v>
      </c>
      <c r="AB38" s="86">
        <v>7.5987915343979598E-2</v>
      </c>
      <c r="AC38" s="86">
        <v>1.8086547535593161E-3</v>
      </c>
    </row>
    <row r="39" spans="1:29">
      <c r="A39" s="4" t="s">
        <v>59</v>
      </c>
      <c r="B39" s="85">
        <f t="shared" si="2"/>
        <v>-1.4064661905494131</v>
      </c>
      <c r="C39" s="85">
        <f t="shared" si="2"/>
        <v>-0.46584804529238188</v>
      </c>
      <c r="D39" s="85">
        <f t="shared" si="2"/>
        <v>-1.073581417089905</v>
      </c>
      <c r="E39" s="85">
        <f t="shared" si="2"/>
        <v>-0.61678504104722065</v>
      </c>
      <c r="F39" s="85">
        <f t="shared" si="2"/>
        <v>-0.60325466788012772</v>
      </c>
      <c r="G39" s="85">
        <f t="shared" si="2"/>
        <v>-1.5634991285238811</v>
      </c>
      <c r="H39" s="85">
        <f t="shared" si="2"/>
        <v>-0.76171765808261516</v>
      </c>
      <c r="I39" s="85">
        <f t="shared" si="2"/>
        <v>-1.7351340696169975</v>
      </c>
      <c r="J39" s="85">
        <f t="shared" si="2"/>
        <v>0.26902775229458636</v>
      </c>
      <c r="K39" s="85">
        <f t="shared" si="2"/>
        <v>-0.40466237344271172</v>
      </c>
      <c r="L39" s="85">
        <f t="shared" si="2"/>
        <v>-1.6410171066280883</v>
      </c>
      <c r="M39" s="85">
        <f t="shared" si="2"/>
        <v>-0.7174941402278745</v>
      </c>
      <c r="N39" s="85">
        <f t="shared" si="2"/>
        <v>-1.131666159202132</v>
      </c>
      <c r="P39" s="9" t="s">
        <v>16</v>
      </c>
      <c r="Q39" s="86">
        <v>0.2129417173098419</v>
      </c>
      <c r="R39" s="86">
        <v>0.40760820761831945</v>
      </c>
      <c r="S39" s="86">
        <v>-0.26217959485034559</v>
      </c>
      <c r="T39" s="86">
        <v>3.658940745814359E-2</v>
      </c>
      <c r="U39" s="86">
        <v>-0.13228018373589831</v>
      </c>
      <c r="V39" s="86">
        <v>0.31841649107207903</v>
      </c>
      <c r="W39" s="86">
        <v>-0.21504466522764518</v>
      </c>
      <c r="X39" s="86">
        <v>-0.24658718327055396</v>
      </c>
      <c r="Y39" s="86">
        <v>-0.29897385854114145</v>
      </c>
      <c r="Z39" s="86">
        <v>0.63409074295829648</v>
      </c>
      <c r="AA39" s="86">
        <v>-1.6724532112815795E-2</v>
      </c>
      <c r="AB39" s="86">
        <v>-2.6593005562326313E-2</v>
      </c>
      <c r="AC39" s="86">
        <v>7.3862920088565136E-3</v>
      </c>
    </row>
    <row r="40" spans="1:29">
      <c r="A40" s="4" t="s">
        <v>60</v>
      </c>
      <c r="B40" s="85">
        <f t="shared" si="2"/>
        <v>0.79975528482221647</v>
      </c>
      <c r="C40" s="85">
        <f t="shared" si="2"/>
        <v>-4.8670691299204254E-2</v>
      </c>
      <c r="D40" s="85">
        <f t="shared" si="2"/>
        <v>2.4319905570812126</v>
      </c>
      <c r="E40" s="85">
        <f t="shared" si="2"/>
        <v>-1.5154122531689989</v>
      </c>
      <c r="F40" s="85">
        <f t="shared" si="2"/>
        <v>-1.7641571215326073</v>
      </c>
      <c r="G40" s="85">
        <f t="shared" si="2"/>
        <v>1.3795580545798951</v>
      </c>
      <c r="H40" s="85">
        <f t="shared" si="2"/>
        <v>0.35027892305988878</v>
      </c>
      <c r="I40" s="85">
        <f t="shared" si="2"/>
        <v>0.22388826704735434</v>
      </c>
      <c r="J40" s="85">
        <f t="shared" si="2"/>
        <v>-0.64219527967094769</v>
      </c>
      <c r="K40" s="85">
        <f t="shared" si="2"/>
        <v>-0.57685912809918494</v>
      </c>
      <c r="L40" s="85">
        <f t="shared" si="2"/>
        <v>-0.26319865326973496</v>
      </c>
      <c r="M40" s="85">
        <f t="shared" si="2"/>
        <v>-1.5362978979347337</v>
      </c>
      <c r="N40" s="85">
        <f t="shared" si="2"/>
        <v>-1.3617965423647398</v>
      </c>
      <c r="P40" s="9" t="s">
        <v>17</v>
      </c>
      <c r="Q40" s="86">
        <v>-4.8122386131398945E-4</v>
      </c>
      <c r="R40" s="86">
        <v>0.41926608469065518</v>
      </c>
      <c r="S40" s="86">
        <v>-0.20683678829780175</v>
      </c>
      <c r="T40" s="86">
        <v>0.17418579491795505</v>
      </c>
      <c r="U40" s="86">
        <v>-0.43062529252384402</v>
      </c>
      <c r="V40" s="86">
        <v>-0.45204927175878873</v>
      </c>
      <c r="W40" s="86">
        <v>0.1221720526589528</v>
      </c>
      <c r="X40" s="86">
        <v>0.56056141041566254</v>
      </c>
      <c r="Y40" s="86">
        <v>0.14752693391524438</v>
      </c>
      <c r="Z40" s="86">
        <v>0.10053455902414639</v>
      </c>
      <c r="AA40" s="86">
        <v>4.7860832482913624E-4</v>
      </c>
      <c r="AB40" s="86">
        <v>-1.6734305578658001E-2</v>
      </c>
      <c r="AC40" s="86">
        <v>3.4454677126332186E-4</v>
      </c>
    </row>
    <row r="41" spans="1:29">
      <c r="A41" s="4" t="s">
        <v>61</v>
      </c>
      <c r="B41" s="85">
        <f t="shared" si="2"/>
        <v>-1.2226144009351108</v>
      </c>
      <c r="C41" s="85">
        <f t="shared" si="2"/>
        <v>-0.32678892729465597</v>
      </c>
      <c r="D41" s="85">
        <f t="shared" si="2"/>
        <v>-0.63538492031851512</v>
      </c>
      <c r="E41" s="85">
        <f t="shared" si="2"/>
        <v>-0.20831812644641232</v>
      </c>
      <c r="F41" s="85">
        <f t="shared" si="2"/>
        <v>-0.85201947937708755</v>
      </c>
      <c r="G41" s="85">
        <f t="shared" si="2"/>
        <v>-1.1956169806359092</v>
      </c>
      <c r="H41" s="85">
        <f t="shared" si="2"/>
        <v>-0.76171765808261516</v>
      </c>
      <c r="I41" s="85">
        <f t="shared" si="2"/>
        <v>-1.1287700130304124</v>
      </c>
      <c r="J41" s="85">
        <f t="shared" si="2"/>
        <v>-0.5120205608187286</v>
      </c>
      <c r="K41" s="85">
        <f t="shared" si="2"/>
        <v>-0.74905588275565815</v>
      </c>
      <c r="L41" s="85">
        <f t="shared" si="2"/>
        <v>-1.1464156105507306</v>
      </c>
      <c r="M41" s="85">
        <f t="shared" si="2"/>
        <v>-0.34278733585354876</v>
      </c>
      <c r="N41" s="85">
        <f t="shared" si="2"/>
        <v>-0.64839235456065247</v>
      </c>
      <c r="P41" s="9" t="s">
        <v>18</v>
      </c>
      <c r="Q41" s="86">
        <v>0.33352877725307278</v>
      </c>
      <c r="R41" s="86">
        <v>0.16661119039563232</v>
      </c>
      <c r="S41" s="86">
        <v>8.7496531885130832E-2</v>
      </c>
      <c r="T41" s="86">
        <v>-0.51097577477327571</v>
      </c>
      <c r="U41" s="86">
        <v>0.26868478776444255</v>
      </c>
      <c r="V41" s="86">
        <v>0.18964023727456791</v>
      </c>
      <c r="W41" s="86">
        <v>2.5138816126464077E-2</v>
      </c>
      <c r="X41" s="86">
        <v>0.40062692778317444</v>
      </c>
      <c r="Y41" s="86">
        <v>4.0833691739495144E-2</v>
      </c>
      <c r="Z41" s="86">
        <v>-3.6497667364399466E-2</v>
      </c>
      <c r="AA41" s="86">
        <v>-0.18863812696847335</v>
      </c>
      <c r="AB41" s="86">
        <v>-0.53317972292952198</v>
      </c>
      <c r="AC41" s="86">
        <v>9.7015657317936609E-3</v>
      </c>
    </row>
    <row r="42" spans="1:29">
      <c r="A42" s="4" t="s">
        <v>62</v>
      </c>
      <c r="B42" s="85">
        <f t="shared" si="2"/>
        <v>0.4320517055936115</v>
      </c>
      <c r="C42" s="85">
        <f t="shared" si="2"/>
        <v>-2.2736165792628182</v>
      </c>
      <c r="D42" s="85">
        <f t="shared" si="2"/>
        <v>-1.073581417089905</v>
      </c>
      <c r="E42" s="85">
        <f t="shared" si="2"/>
        <v>1.0987760002761744</v>
      </c>
      <c r="F42" s="85">
        <f t="shared" si="2"/>
        <v>0.88933420110163175</v>
      </c>
      <c r="G42" s="85">
        <f t="shared" si="2"/>
        <v>-1.4163462693686923</v>
      </c>
      <c r="H42" s="85">
        <f t="shared" si="2"/>
        <v>-0.87291731619686552</v>
      </c>
      <c r="I42" s="85">
        <f t="shared" si="2"/>
        <v>0.17724487807915551</v>
      </c>
      <c r="J42" s="85">
        <f t="shared" si="2"/>
        <v>9.5461460491627501E-2</v>
      </c>
      <c r="K42" s="85">
        <f t="shared" si="2"/>
        <v>-0.80645480097448252</v>
      </c>
      <c r="L42" s="85">
        <f t="shared" si="2"/>
        <v>-0.40451336643469427</v>
      </c>
      <c r="M42" s="85">
        <f t="shared" si="2"/>
        <v>7.355355789570206E-2</v>
      </c>
      <c r="N42" s="85">
        <f t="shared" si="2"/>
        <v>-6.155987749599881E-2</v>
      </c>
      <c r="P42" s="9" t="s">
        <v>19</v>
      </c>
      <c r="Q42" s="86">
        <v>0.31649246700083777</v>
      </c>
      <c r="R42" s="86">
        <v>-5.9469825471682586E-3</v>
      </c>
      <c r="S42" s="86">
        <v>-0.3573714653262538</v>
      </c>
      <c r="T42" s="86">
        <v>5.4224151827031677E-2</v>
      </c>
      <c r="U42" s="86">
        <v>0.17677650736050485</v>
      </c>
      <c r="V42" s="86">
        <v>-5.6950577622934893E-2</v>
      </c>
      <c r="W42" s="86">
        <v>0.82622386152264349</v>
      </c>
      <c r="X42" s="86">
        <v>-0.21567267056902115</v>
      </c>
      <c r="Y42" s="86">
        <v>-5.4740528315700844E-2</v>
      </c>
      <c r="Z42" s="86">
        <v>-1.6466947461283778E-2</v>
      </c>
      <c r="AA42" s="86">
        <v>-2.7805588343130513E-2</v>
      </c>
      <c r="AB42" s="86">
        <v>3.7964090611146521E-2</v>
      </c>
      <c r="AC42" s="86">
        <v>-2.5589285985487572E-3</v>
      </c>
    </row>
    <row r="43" spans="1:29">
      <c r="A43" s="4" t="s">
        <v>63</v>
      </c>
      <c r="B43" s="85">
        <f t="shared" si="2"/>
        <v>0.73847135495078231</v>
      </c>
      <c r="C43" s="85">
        <f t="shared" si="2"/>
        <v>-0.46584804529238188</v>
      </c>
      <c r="D43" s="85">
        <f t="shared" si="2"/>
        <v>2.4319905570812126</v>
      </c>
      <c r="E43" s="85">
        <f t="shared" si="2"/>
        <v>0.52692231983504267</v>
      </c>
      <c r="F43" s="85">
        <f t="shared" si="2"/>
        <v>0.88933420110163175</v>
      </c>
      <c r="G43" s="85">
        <f t="shared" si="2"/>
        <v>1.894593061623056</v>
      </c>
      <c r="H43" s="85">
        <f t="shared" si="2"/>
        <v>2.5742720853448966</v>
      </c>
      <c r="I43" s="85">
        <f t="shared" si="2"/>
        <v>-0.42911917850742953</v>
      </c>
      <c r="J43" s="85">
        <f t="shared" si="2"/>
        <v>1.3104255031123397</v>
      </c>
      <c r="K43" s="85">
        <f t="shared" si="2"/>
        <v>-0.80645480097448252</v>
      </c>
      <c r="L43" s="85">
        <f t="shared" si="2"/>
        <v>-1.0757582539682511</v>
      </c>
      <c r="M43" s="85">
        <f t="shared" si="2"/>
        <v>0.17069976643719392</v>
      </c>
      <c r="N43" s="85">
        <f t="shared" si="2"/>
        <v>-0.19963810739356436</v>
      </c>
      <c r="P43" s="9" t="s">
        <v>20</v>
      </c>
      <c r="Q43" s="86">
        <v>-3.9190655069317314E-2</v>
      </c>
      <c r="R43" s="86">
        <v>0.26887210026329378</v>
      </c>
      <c r="S43" s="86">
        <v>0.557749962640821</v>
      </c>
      <c r="T43" s="86">
        <v>0.14517218145524849</v>
      </c>
      <c r="U43" s="86">
        <v>-7.0710917414796307E-2</v>
      </c>
      <c r="V43" s="86">
        <v>-0.31281653339089033</v>
      </c>
      <c r="W43" s="86">
        <v>0.15756946420212578</v>
      </c>
      <c r="X43" s="86">
        <v>-0.45468064072704539</v>
      </c>
      <c r="Y43" s="86">
        <v>0.13812929988872785</v>
      </c>
      <c r="Z43" s="86">
        <v>0.12720003846115957</v>
      </c>
      <c r="AA43" s="86">
        <v>1.7107815505481266E-2</v>
      </c>
      <c r="AB43" s="86">
        <v>-0.47331646810087497</v>
      </c>
      <c r="AC43" s="86">
        <v>3.7888067468921918E-3</v>
      </c>
    </row>
    <row r="44" spans="1:29">
      <c r="A44" s="4" t="s">
        <v>64</v>
      </c>
      <c r="B44" s="85">
        <f t="shared" ref="B44:N47" si="5">(B18-B$22)/B$23</f>
        <v>-1.8354536996494524</v>
      </c>
      <c r="C44" s="85">
        <f t="shared" si="5"/>
        <v>-1.5783209892741887</v>
      </c>
      <c r="D44" s="85">
        <f t="shared" si="5"/>
        <v>-0.63538492031851512</v>
      </c>
      <c r="E44" s="85">
        <f t="shared" si="5"/>
        <v>2.0790965953181142</v>
      </c>
      <c r="F44" s="85">
        <f t="shared" si="5"/>
        <v>0.97225580493395181</v>
      </c>
      <c r="G44" s="85">
        <f t="shared" si="5"/>
        <v>-0.23912339612718181</v>
      </c>
      <c r="H44" s="85">
        <f t="shared" si="5"/>
        <v>-0.87291731619686552</v>
      </c>
      <c r="I44" s="85">
        <f t="shared" si="5"/>
        <v>1.2966862133159278</v>
      </c>
      <c r="J44" s="85">
        <f t="shared" si="5"/>
        <v>1.093467638358641</v>
      </c>
      <c r="K44" s="85">
        <f t="shared" si="5"/>
        <v>-1.0360504738497802</v>
      </c>
      <c r="L44" s="85">
        <f t="shared" si="5"/>
        <v>0.86731905204993753</v>
      </c>
      <c r="M44" s="85">
        <f t="shared" si="5"/>
        <v>2.1691360564335964</v>
      </c>
      <c r="N44" s="85">
        <f t="shared" si="5"/>
        <v>2.0786526859162646</v>
      </c>
      <c r="P44" s="9" t="s">
        <v>21</v>
      </c>
      <c r="Q44" s="86">
        <v>0.2302184744908759</v>
      </c>
      <c r="R44" s="86">
        <v>0.23139471542921861</v>
      </c>
      <c r="S44" s="86">
        <v>0.47071830988966451</v>
      </c>
      <c r="T44" s="86">
        <v>-0.32126456863426106</v>
      </c>
      <c r="U44" s="86">
        <v>1.8537935828820424E-2</v>
      </c>
      <c r="V44" s="86">
        <v>4.4966815102273523E-2</v>
      </c>
      <c r="W44" s="86">
        <v>0.15332861201027756</v>
      </c>
      <c r="X44" s="86">
        <v>8.9169854120726894E-2</v>
      </c>
      <c r="Y44" s="86">
        <v>8.3788964200855312E-2</v>
      </c>
      <c r="Z44" s="86">
        <v>0.1306287735315842</v>
      </c>
      <c r="AA44" s="86">
        <v>0.34598609305313333</v>
      </c>
      <c r="AB44" s="86">
        <v>0.57146370121132195</v>
      </c>
      <c r="AC44" s="86">
        <v>-0.25393126687099343</v>
      </c>
    </row>
    <row r="45" spans="1:29">
      <c r="A45" s="4" t="s">
        <v>65</v>
      </c>
      <c r="B45" s="85">
        <f t="shared" si="5"/>
        <v>-0.73234296196363746</v>
      </c>
      <c r="C45" s="85">
        <f t="shared" si="5"/>
        <v>-4.8670691299204254E-2</v>
      </c>
      <c r="D45" s="85">
        <f t="shared" si="5"/>
        <v>-0.19718842354712546</v>
      </c>
      <c r="E45" s="85">
        <f t="shared" si="5"/>
        <v>3.676202231407269E-2</v>
      </c>
      <c r="F45" s="85">
        <f t="shared" si="5"/>
        <v>0.14303976661075207</v>
      </c>
      <c r="G45" s="85">
        <f t="shared" si="5"/>
        <v>0.2023351813383846</v>
      </c>
      <c r="H45" s="85">
        <f t="shared" si="5"/>
        <v>-0.20571936751136319</v>
      </c>
      <c r="I45" s="85">
        <f t="shared" si="5"/>
        <v>-0.66233612334842384</v>
      </c>
      <c r="J45" s="85">
        <f t="shared" si="5"/>
        <v>-0.5120205608187286</v>
      </c>
      <c r="K45" s="85">
        <f t="shared" si="5"/>
        <v>-1.0360504738497802</v>
      </c>
      <c r="L45" s="85">
        <f t="shared" si="5"/>
        <v>-1.0404295756770112</v>
      </c>
      <c r="M45" s="85">
        <f t="shared" si="5"/>
        <v>-0.20400703793713182</v>
      </c>
      <c r="N45" s="85">
        <f t="shared" si="5"/>
        <v>-0.5103141246630869</v>
      </c>
      <c r="P45" s="9" t="s">
        <v>22</v>
      </c>
      <c r="Q45" s="86">
        <v>0.41326451111467077</v>
      </c>
      <c r="R45" s="86">
        <v>-0.11895372572158901</v>
      </c>
      <c r="S45" s="86">
        <v>0.10027051013993046</v>
      </c>
      <c r="T45" s="86">
        <v>0.15590809433666411</v>
      </c>
      <c r="U45" s="86">
        <v>-0.32273206989184311</v>
      </c>
      <c r="V45" s="86">
        <v>-1.1336861568085515E-2</v>
      </c>
      <c r="W45" s="86">
        <v>-0.10903775091733485</v>
      </c>
      <c r="X45" s="86">
        <v>-6.8515320403994995E-2</v>
      </c>
      <c r="Y45" s="86">
        <v>-0.16422333501638239</v>
      </c>
      <c r="Z45" s="86">
        <v>-0.23658019658090929</v>
      </c>
      <c r="AA45" s="86">
        <v>-0.44988010134791212</v>
      </c>
      <c r="AB45" s="86">
        <v>1.6748362247952842E-2</v>
      </c>
      <c r="AC45" s="86">
        <v>-0.61173584648904744</v>
      </c>
    </row>
    <row r="46" spans="1:29">
      <c r="A46" s="4" t="s">
        <v>66</v>
      </c>
      <c r="B46" s="85">
        <f t="shared" si="5"/>
        <v>-0.24207152299216422</v>
      </c>
      <c r="C46" s="85">
        <f t="shared" si="5"/>
        <v>1.2028613706803286</v>
      </c>
      <c r="D46" s="85">
        <f t="shared" si="5"/>
        <v>-1.073581417089905</v>
      </c>
      <c r="E46" s="85">
        <f t="shared" si="5"/>
        <v>0.85369585151568939</v>
      </c>
      <c r="F46" s="85">
        <f t="shared" si="5"/>
        <v>1.4283246260117115</v>
      </c>
      <c r="G46" s="85">
        <f t="shared" si="5"/>
        <v>-0.16554696654958742</v>
      </c>
      <c r="H46" s="85">
        <f t="shared" si="5"/>
        <v>-0.76171765808261516</v>
      </c>
      <c r="I46" s="85">
        <f t="shared" si="5"/>
        <v>0.50374860085654749</v>
      </c>
      <c r="J46" s="85">
        <f t="shared" si="5"/>
        <v>1.093467638358641</v>
      </c>
      <c r="K46" s="85">
        <f t="shared" si="5"/>
        <v>-1.0934493920686046</v>
      </c>
      <c r="L46" s="85">
        <f t="shared" si="5"/>
        <v>-0.22786997497849512</v>
      </c>
      <c r="M46" s="85">
        <f t="shared" si="5"/>
        <v>0.57316263039480153</v>
      </c>
      <c r="N46" s="85">
        <f t="shared" si="5"/>
        <v>0.39870088882921845</v>
      </c>
      <c r="P46" s="9" t="s">
        <v>23</v>
      </c>
      <c r="Q46" s="86">
        <v>0.4170726568837837</v>
      </c>
      <c r="R46" s="86">
        <v>-2.3433783079470191E-2</v>
      </c>
      <c r="S46" s="86">
        <v>0.23488164769274952</v>
      </c>
      <c r="T46" s="86">
        <v>2.4738725176604574E-2</v>
      </c>
      <c r="U46" s="86">
        <v>-0.26166933175450607</v>
      </c>
      <c r="V46" s="86">
        <v>2.3689303938529203E-3</v>
      </c>
      <c r="W46" s="86">
        <v>-3.731473653589093E-2</v>
      </c>
      <c r="X46" s="86">
        <v>-3.0001279831599129E-2</v>
      </c>
      <c r="Y46" s="86">
        <v>-0.10739653318424092</v>
      </c>
      <c r="Z46" s="86">
        <v>-0.16600490210834076</v>
      </c>
      <c r="AA46" s="86">
        <v>-0.2324269999757656</v>
      </c>
      <c r="AB46" s="86">
        <v>0.21208734504397317</v>
      </c>
      <c r="AC46" s="86">
        <v>0.74890316548162283</v>
      </c>
    </row>
    <row r="47" spans="1:29">
      <c r="A47" s="4" t="s">
        <v>67</v>
      </c>
      <c r="B47" s="85">
        <f t="shared" si="5"/>
        <v>0.12563205623644072</v>
      </c>
      <c r="C47" s="85">
        <f t="shared" si="5"/>
        <v>9.0388426698521623E-2</v>
      </c>
      <c r="D47" s="85">
        <f t="shared" si="5"/>
        <v>-0.63538492031851512</v>
      </c>
      <c r="E47" s="85">
        <f t="shared" si="5"/>
        <v>-4.4931360606088974E-2</v>
      </c>
      <c r="F47" s="85">
        <f t="shared" si="5"/>
        <v>0.64056938960467191</v>
      </c>
      <c r="G47" s="85">
        <f t="shared" si="5"/>
        <v>-0.16554696654958742</v>
      </c>
      <c r="H47" s="85">
        <f t="shared" si="5"/>
        <v>-0.98411697431111589</v>
      </c>
      <c r="I47" s="85">
        <f t="shared" si="5"/>
        <v>-0.94219645715761691</v>
      </c>
      <c r="J47" s="85">
        <f t="shared" si="5"/>
        <v>0.13885303344236721</v>
      </c>
      <c r="K47" s="85">
        <f t="shared" si="5"/>
        <v>-1.2656461467250777</v>
      </c>
      <c r="L47" s="85">
        <f t="shared" si="5"/>
        <v>-1.6056884283368484</v>
      </c>
      <c r="M47" s="85">
        <f t="shared" si="5"/>
        <v>-0.62034793168638269</v>
      </c>
      <c r="N47" s="85">
        <f t="shared" si="5"/>
        <v>-1.0396140059370882</v>
      </c>
      <c r="O47" s="4"/>
    </row>
    <row r="48" spans="1:29" s="4" customFormat="1">
      <c r="A48" s="4" t="s">
        <v>375</v>
      </c>
      <c r="B48" s="85">
        <f t="shared" ref="B48:N48" si="6">AVERAGE(B28:B47)</f>
        <v>7.03603841856193E-16</v>
      </c>
      <c r="C48" s="85">
        <f t="shared" si="6"/>
        <v>-1.0685896612017132E-16</v>
      </c>
      <c r="D48" s="85">
        <f t="shared" si="6"/>
        <v>-9.9920072216264091E-17</v>
      </c>
      <c r="E48" s="85">
        <f t="shared" si="6"/>
        <v>-5.759281940243E-17</v>
      </c>
      <c r="F48" s="85">
        <f t="shared" si="6"/>
        <v>8.3266726846886741E-17</v>
      </c>
      <c r="G48" s="85">
        <f t="shared" si="6"/>
        <v>0</v>
      </c>
      <c r="H48" s="85">
        <f t="shared" si="6"/>
        <v>8.8817841970012528E-17</v>
      </c>
      <c r="I48" s="85">
        <f t="shared" si="6"/>
        <v>-1.6098233857064769E-16</v>
      </c>
      <c r="J48" s="85">
        <f t="shared" si="6"/>
        <v>1.5543122344752191E-16</v>
      </c>
      <c r="K48" s="85">
        <f t="shared" si="6"/>
        <v>-4.3298697960381104E-16</v>
      </c>
      <c r="L48" s="85">
        <f t="shared" si="6"/>
        <v>7.9936057773011273E-16</v>
      </c>
      <c r="M48" s="85">
        <f t="shared" si="6"/>
        <v>6.4392935428259077E-16</v>
      </c>
      <c r="N48" s="85">
        <f t="shared" si="6"/>
        <v>-1.3100631690576848E-15</v>
      </c>
    </row>
    <row r="49" spans="1:29" s="4" customFormat="1">
      <c r="A49" s="4" t="s">
        <v>376</v>
      </c>
      <c r="B49" s="85">
        <f>_xlfn.STDEV.S(B28:B47)</f>
        <v>1</v>
      </c>
      <c r="C49" s="85">
        <f t="shared" ref="C49:N49" si="7">_xlfn.STDEV.S(C28:C47)</f>
        <v>1.0000000000000004</v>
      </c>
      <c r="D49" s="85">
        <f t="shared" si="7"/>
        <v>0.99999999999999989</v>
      </c>
      <c r="E49" s="85">
        <f t="shared" si="7"/>
        <v>0.99999999999999978</v>
      </c>
      <c r="F49" s="85">
        <f t="shared" si="7"/>
        <v>0.99999999999999944</v>
      </c>
      <c r="G49" s="85">
        <f t="shared" si="7"/>
        <v>1</v>
      </c>
      <c r="H49" s="85">
        <f t="shared" si="7"/>
        <v>0.99999999999999989</v>
      </c>
      <c r="I49" s="85">
        <f t="shared" si="7"/>
        <v>1</v>
      </c>
      <c r="J49" s="85">
        <f t="shared" si="7"/>
        <v>0.99999999999999933</v>
      </c>
      <c r="K49" s="85">
        <f t="shared" si="7"/>
        <v>1</v>
      </c>
      <c r="L49" s="85">
        <f t="shared" si="7"/>
        <v>1</v>
      </c>
      <c r="M49" s="85">
        <f t="shared" si="7"/>
        <v>0.99999999999999223</v>
      </c>
      <c r="N49" s="85">
        <f t="shared" si="7"/>
        <v>0.99999999999999978</v>
      </c>
    </row>
    <row r="50" spans="1:29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</row>
    <row r="51" spans="1:29">
      <c r="A51" s="120" t="s">
        <v>389</v>
      </c>
      <c r="B51" s="120"/>
      <c r="C51" s="120"/>
      <c r="D51" s="120"/>
      <c r="E51" s="120"/>
      <c r="F51" s="120"/>
      <c r="G51" s="120"/>
      <c r="H51" s="120"/>
      <c r="I51" s="120"/>
      <c r="J51" s="120"/>
      <c r="K51" s="120"/>
      <c r="L51" s="120"/>
      <c r="M51" s="120"/>
      <c r="N51" s="120"/>
      <c r="O51" s="4"/>
      <c r="P51" s="120" t="s">
        <v>509</v>
      </c>
      <c r="Q51" s="120"/>
      <c r="R51" s="120"/>
      <c r="S51" s="120"/>
      <c r="T51" s="120"/>
      <c r="U51" s="120"/>
      <c r="V51" s="120"/>
      <c r="W51" s="120"/>
      <c r="X51" s="120"/>
      <c r="Y51" s="120"/>
      <c r="Z51" s="120"/>
      <c r="AA51" s="120"/>
      <c r="AB51" s="120"/>
      <c r="AC51" s="120"/>
    </row>
    <row r="52" spans="1:29">
      <c r="A52" s="4"/>
      <c r="B52" s="57" t="s">
        <v>11</v>
      </c>
      <c r="C52" s="57" t="s">
        <v>373</v>
      </c>
      <c r="D52" s="57" t="s">
        <v>374</v>
      </c>
      <c r="E52" s="57" t="s">
        <v>14</v>
      </c>
      <c r="F52" s="57" t="s">
        <v>15</v>
      </c>
      <c r="G52" s="57" t="s">
        <v>16</v>
      </c>
      <c r="H52" s="57" t="s">
        <v>17</v>
      </c>
      <c r="I52" s="57" t="s">
        <v>18</v>
      </c>
      <c r="J52" s="57" t="s">
        <v>19</v>
      </c>
      <c r="K52" s="57" t="s">
        <v>20</v>
      </c>
      <c r="L52" s="57" t="s">
        <v>21</v>
      </c>
      <c r="M52" s="57" t="s">
        <v>22</v>
      </c>
      <c r="N52" s="57" t="s">
        <v>23</v>
      </c>
      <c r="O52" s="4"/>
      <c r="P52" s="4"/>
      <c r="Q52" s="9" t="s">
        <v>193</v>
      </c>
      <c r="R52" s="9" t="s">
        <v>194</v>
      </c>
      <c r="S52" s="9" t="s">
        <v>195</v>
      </c>
      <c r="T52" s="9" t="s">
        <v>378</v>
      </c>
      <c r="U52" s="9" t="s">
        <v>379</v>
      </c>
      <c r="V52" s="9" t="s">
        <v>380</v>
      </c>
      <c r="W52" s="9" t="s">
        <v>381</v>
      </c>
      <c r="X52" s="9" t="s">
        <v>382</v>
      </c>
      <c r="Y52" s="9" t="s">
        <v>383</v>
      </c>
      <c r="Z52" s="4" t="s">
        <v>384</v>
      </c>
      <c r="AA52" s="4" t="s">
        <v>385</v>
      </c>
      <c r="AB52" s="4" t="s">
        <v>386</v>
      </c>
      <c r="AC52" s="4" t="s">
        <v>387</v>
      </c>
    </row>
    <row r="53" spans="1:29">
      <c r="A53" s="57" t="s">
        <v>11</v>
      </c>
      <c r="B53" s="85">
        <f>CORREL($B$28:$B$47,B28:B47)</f>
        <v>1.0000000000000002</v>
      </c>
      <c r="C53" s="85">
        <f t="shared" ref="C53:N53" si="8">CORREL($B$28:$B$47,C28:C47)</f>
        <v>0.41459964130007521</v>
      </c>
      <c r="D53" s="85">
        <f t="shared" si="8"/>
        <v>0.34832987960628586</v>
      </c>
      <c r="E53" s="85">
        <f t="shared" si="8"/>
        <v>-0.10472789823598273</v>
      </c>
      <c r="F53" s="85">
        <f t="shared" si="8"/>
        <v>0.1137445384194337</v>
      </c>
      <c r="G53" s="85">
        <f t="shared" si="8"/>
        <v>0.55348622511452261</v>
      </c>
      <c r="H53" s="85">
        <f t="shared" si="8"/>
        <v>0.42604753800625045</v>
      </c>
      <c r="I53" s="85">
        <f t="shared" si="8"/>
        <v>0.4012718423198347</v>
      </c>
      <c r="J53" s="85">
        <f t="shared" si="8"/>
        <v>0.22670431910582678</v>
      </c>
      <c r="K53" s="85">
        <f t="shared" si="8"/>
        <v>0.20829005632815187</v>
      </c>
      <c r="L53" s="85">
        <f t="shared" si="8"/>
        <v>0.24288212019075456</v>
      </c>
      <c r="M53" s="85">
        <f t="shared" si="8"/>
        <v>-0.1707401542127415</v>
      </c>
      <c r="N53" s="85">
        <f t="shared" si="8"/>
        <v>-6.21157327455511E-2</v>
      </c>
      <c r="O53" s="4"/>
      <c r="P53" s="4" t="s">
        <v>48</v>
      </c>
      <c r="Q53" s="85">
        <f t="array" ref="Q53:AC72">MMULT(B28:N49,Q34:AC46)</f>
        <v>-2.1089400875696409</v>
      </c>
      <c r="R53" s="85">
        <v>0.81385555764080331</v>
      </c>
      <c r="S53" s="85">
        <v>2.6663800645441094</v>
      </c>
      <c r="T53" s="85">
        <v>0.67951208111637595</v>
      </c>
      <c r="U53" s="85">
        <v>0.63956856145631513</v>
      </c>
      <c r="V53" s="85">
        <v>-0.36580213529508426</v>
      </c>
      <c r="W53" s="85">
        <v>-0.56615445545460896</v>
      </c>
      <c r="X53" s="85">
        <v>-0.4658846082436241</v>
      </c>
      <c r="Y53" s="85">
        <v>-0.16012213281095067</v>
      </c>
      <c r="Z53" s="85">
        <v>0.15990338961455</v>
      </c>
      <c r="AA53" s="85">
        <v>-2.7957250323236135E-2</v>
      </c>
      <c r="AB53" s="85">
        <v>2.8268154086849018E-2</v>
      </c>
      <c r="AC53" s="85">
        <v>2.3906785025791799E-3</v>
      </c>
    </row>
    <row r="54" spans="1:29">
      <c r="A54" s="57" t="s">
        <v>373</v>
      </c>
      <c r="B54" s="85">
        <f>CORREL($C$28:$C$47,B28:B47)</f>
        <v>0.41459964130007521</v>
      </c>
      <c r="C54" s="85">
        <f t="shared" ref="C54:N54" si="9">CORREL($C$28:$C$47,C28:C47)</f>
        <v>1.0000000000000002</v>
      </c>
      <c r="D54" s="85">
        <f t="shared" si="9"/>
        <v>1.5554516263210834E-2</v>
      </c>
      <c r="E54" s="85">
        <f t="shared" si="9"/>
        <v>-7.5844347893421496E-2</v>
      </c>
      <c r="F54" s="85">
        <f t="shared" si="9"/>
        <v>7.0141890183891858E-2</v>
      </c>
      <c r="G54" s="85">
        <f t="shared" si="9"/>
        <v>0.4557044403605498</v>
      </c>
      <c r="H54" s="85">
        <f t="shared" si="9"/>
        <v>0.27756670850334292</v>
      </c>
      <c r="I54" s="85">
        <f t="shared" si="9"/>
        <v>0.12037000398941029</v>
      </c>
      <c r="J54" s="85">
        <f t="shared" si="9"/>
        <v>0.11667838659419251</v>
      </c>
      <c r="K54" s="85">
        <f t="shared" si="9"/>
        <v>0.39978530712158811</v>
      </c>
      <c r="L54" s="85">
        <f t="shared" si="9"/>
        <v>0.26964669711771316</v>
      </c>
      <c r="M54" s="85">
        <f t="shared" si="9"/>
        <v>0.15125075409526026</v>
      </c>
      <c r="N54" s="85">
        <f t="shared" si="9"/>
        <v>0.21193144438907846</v>
      </c>
      <c r="O54" s="4"/>
      <c r="P54" s="4" t="s">
        <v>49</v>
      </c>
      <c r="Q54" s="85">
        <v>0.38332507825358753</v>
      </c>
      <c r="R54" s="85">
        <v>1.686679301759314</v>
      </c>
      <c r="S54" s="85">
        <v>1.9344232401348938</v>
      </c>
      <c r="T54" s="85">
        <v>1.5871956130827996</v>
      </c>
      <c r="U54" s="85">
        <v>-0.66293697888489556</v>
      </c>
      <c r="V54" s="85">
        <v>-0.76040980008541181</v>
      </c>
      <c r="W54" s="85">
        <v>-0.21120401712315165</v>
      </c>
      <c r="X54" s="85">
        <v>0.19841714263432342</v>
      </c>
      <c r="Y54" s="85">
        <v>-9.0598414202032462E-2</v>
      </c>
      <c r="Z54" s="85">
        <v>-0.44278341261284937</v>
      </c>
      <c r="AA54" s="85">
        <v>1.1872882411861907E-4</v>
      </c>
      <c r="AB54" s="85">
        <v>1.3360221495653635E-2</v>
      </c>
      <c r="AC54" s="85">
        <v>-4.1980793139257955E-3</v>
      </c>
    </row>
    <row r="55" spans="1:29">
      <c r="A55" s="57" t="s">
        <v>374</v>
      </c>
      <c r="B55" s="85">
        <f>CORREL($D$28:$D$47,B28:B47)</f>
        <v>0.34832987960628586</v>
      </c>
      <c r="C55" s="85">
        <f t="shared" ref="C55:N55" si="10">CORREL($D$28:$D$47,C28:C47)</f>
        <v>1.5554516263210834E-2</v>
      </c>
      <c r="D55" s="85">
        <f t="shared" si="10"/>
        <v>1</v>
      </c>
      <c r="E55" s="85">
        <f t="shared" si="10"/>
        <v>-0.37107198371991568</v>
      </c>
      <c r="F55" s="85">
        <f t="shared" si="10"/>
        <v>-0.34801240256747934</v>
      </c>
      <c r="G55" s="85">
        <f t="shared" si="10"/>
        <v>0.63421310342557713</v>
      </c>
      <c r="H55" s="85">
        <f t="shared" si="10"/>
        <v>0.66769224833991259</v>
      </c>
      <c r="I55" s="85">
        <f t="shared" si="10"/>
        <v>9.5955583799588157E-2</v>
      </c>
      <c r="J55" s="85">
        <f t="shared" si="10"/>
        <v>-2.5218615182191689E-2</v>
      </c>
      <c r="K55" s="85">
        <f t="shared" si="10"/>
        <v>1.2642191927509757E-2</v>
      </c>
      <c r="L55" s="85">
        <f t="shared" si="10"/>
        <v>1.8699301331100673E-2</v>
      </c>
      <c r="M55" s="85">
        <f t="shared" si="10"/>
        <v>-0.3444898702522744</v>
      </c>
      <c r="N55" s="85">
        <f t="shared" si="10"/>
        <v>-0.27841770555024042</v>
      </c>
      <c r="O55" s="4"/>
      <c r="P55" s="4" t="s">
        <v>50</v>
      </c>
      <c r="Q55" s="85">
        <v>-2.2918207678304903</v>
      </c>
      <c r="R55" s="85">
        <v>0.75518455368364701</v>
      </c>
      <c r="S55" s="85">
        <v>2.4097489201540423</v>
      </c>
      <c r="T55" s="85">
        <v>-1.1034332544620364</v>
      </c>
      <c r="U55" s="85">
        <v>-1.4406193921070185</v>
      </c>
      <c r="V55" s="85">
        <v>0.37904549701541246</v>
      </c>
      <c r="W55" s="85">
        <v>0.74358339375705862</v>
      </c>
      <c r="X55" s="85">
        <v>-1.1283012608970598E-2</v>
      </c>
      <c r="Y55" s="85">
        <v>0.32688239622609128</v>
      </c>
      <c r="Z55" s="85">
        <v>0.30220715258663156</v>
      </c>
      <c r="AA55" s="85">
        <v>0.13740898225900533</v>
      </c>
      <c r="AB55" s="85">
        <v>1.3833371614027937E-2</v>
      </c>
      <c r="AC55" s="85">
        <v>-1.2977880448561685E-3</v>
      </c>
    </row>
    <row r="56" spans="1:29">
      <c r="A56" s="57" t="s">
        <v>14</v>
      </c>
      <c r="B56" s="85">
        <f>CORREL($E$28:$E$47,B28:B47)</f>
        <v>-0.10472789823598273</v>
      </c>
      <c r="C56" s="85">
        <f t="shared" ref="C56:N56" si="11">CORREL($E$28:$E$47,C28:C47)</f>
        <v>-7.5844347893421496E-2</v>
      </c>
      <c r="D56" s="85">
        <f t="shared" si="11"/>
        <v>-0.37107198371991568</v>
      </c>
      <c r="E56" s="85">
        <f t="shared" si="11"/>
        <v>1</v>
      </c>
      <c r="F56" s="85">
        <f t="shared" si="11"/>
        <v>0.87421249778251986</v>
      </c>
      <c r="G56" s="85">
        <f t="shared" si="11"/>
        <v>0.20950478942530987</v>
      </c>
      <c r="H56" s="85">
        <f t="shared" si="11"/>
        <v>-0.14790636095903392</v>
      </c>
      <c r="I56" s="85">
        <f t="shared" si="11"/>
        <v>0.43234639751916304</v>
      </c>
      <c r="J56" s="85">
        <f t="shared" si="11"/>
        <v>0.63269161205071889</v>
      </c>
      <c r="K56" s="85">
        <f t="shared" si="11"/>
        <v>-0.37082236542018882</v>
      </c>
      <c r="L56" s="85">
        <f t="shared" si="11"/>
        <v>0.13717420963325375</v>
      </c>
      <c r="M56" s="85">
        <f t="shared" si="11"/>
        <v>0.90194045370391784</v>
      </c>
      <c r="N56" s="85">
        <f t="shared" si="11"/>
        <v>0.79213603593773096</v>
      </c>
      <c r="O56" s="4"/>
      <c r="P56" s="4" t="s">
        <v>51</v>
      </c>
      <c r="Q56" s="85">
        <v>1.8598466040073061</v>
      </c>
      <c r="R56" s="85">
        <v>1.3700549388439953</v>
      </c>
      <c r="S56" s="85">
        <v>0.10194892328287739</v>
      </c>
      <c r="T56" s="85">
        <v>1.6874180523563727</v>
      </c>
      <c r="U56" s="85">
        <v>1.2606515788337602E-2</v>
      </c>
      <c r="V56" s="85">
        <v>1.3929978754024113E-2</v>
      </c>
      <c r="W56" s="85">
        <v>0.99735174691183115</v>
      </c>
      <c r="X56" s="85">
        <v>-8.8345351773356617E-2</v>
      </c>
      <c r="Y56" s="85">
        <v>1.0226636106947365E-2</v>
      </c>
      <c r="Z56" s="85">
        <v>-5.3818884016442747E-3</v>
      </c>
      <c r="AA56" s="85">
        <v>-2.4635312747465693E-2</v>
      </c>
      <c r="AB56" s="85">
        <v>9.8011459756835242E-2</v>
      </c>
      <c r="AC56" s="85">
        <v>4.908684406657815E-3</v>
      </c>
    </row>
    <row r="57" spans="1:29">
      <c r="A57" s="57" t="s">
        <v>15</v>
      </c>
      <c r="B57" s="85">
        <f>CORREL($F$28:$F$47,B28:B47)</f>
        <v>0.1137445384194337</v>
      </c>
      <c r="C57" s="85">
        <f t="shared" ref="C57:N57" si="12">CORREL($F$28:$F$47,C28:C47)</f>
        <v>7.0141890183891858E-2</v>
      </c>
      <c r="D57" s="85">
        <f t="shared" si="12"/>
        <v>-0.34801240256747934</v>
      </c>
      <c r="E57" s="85">
        <f t="shared" si="12"/>
        <v>0.87421249778251986</v>
      </c>
      <c r="F57" s="85">
        <f t="shared" si="12"/>
        <v>0.99999999999999989</v>
      </c>
      <c r="G57" s="85">
        <f t="shared" si="12"/>
        <v>0.24039040419727728</v>
      </c>
      <c r="H57" s="85">
        <f t="shared" si="12"/>
        <v>-0.17795034942865159</v>
      </c>
      <c r="I57" s="85">
        <f t="shared" si="12"/>
        <v>0.47103022523676991</v>
      </c>
      <c r="J57" s="85">
        <f t="shared" si="12"/>
        <v>0.67920743339808487</v>
      </c>
      <c r="K57" s="85">
        <f t="shared" si="12"/>
        <v>-0.38910440932546742</v>
      </c>
      <c r="L57" s="85">
        <f t="shared" si="12"/>
        <v>8.7349527873384819E-2</v>
      </c>
      <c r="M57" s="85">
        <f t="shared" si="12"/>
        <v>0.72019069152979875</v>
      </c>
      <c r="N57" s="85">
        <f t="shared" si="12"/>
        <v>0.62516569785480602</v>
      </c>
      <c r="O57" s="4"/>
      <c r="P57" s="4" t="s">
        <v>52</v>
      </c>
      <c r="Q57" s="85">
        <v>-0.28735936967612985</v>
      </c>
      <c r="R57" s="85">
        <v>4.053699934368489E-2</v>
      </c>
      <c r="S57" s="85">
        <v>0.74624426955743961</v>
      </c>
      <c r="T57" s="85">
        <v>-1.330427057835758</v>
      </c>
      <c r="U57" s="85">
        <v>1.0789090034339639</v>
      </c>
      <c r="V57" s="85">
        <v>-0.62119805498734892</v>
      </c>
      <c r="W57" s="85">
        <v>0.54035873184283245</v>
      </c>
      <c r="X57" s="85">
        <v>-0.17812047934254785</v>
      </c>
      <c r="Y57" s="85">
        <v>0.22735648075391723</v>
      </c>
      <c r="Z57" s="85">
        <v>0.13898487045895086</v>
      </c>
      <c r="AA57" s="85">
        <v>-8.3552815695501145E-2</v>
      </c>
      <c r="AB57" s="85">
        <v>1.2531158029494061E-2</v>
      </c>
      <c r="AC57" s="85">
        <v>-9.9186581493684867E-4</v>
      </c>
    </row>
    <row r="58" spans="1:29">
      <c r="A58" s="57" t="s">
        <v>16</v>
      </c>
      <c r="B58" s="85">
        <f>CORREL($G$28:$G$47,B28:B47)</f>
        <v>0.55348622511452261</v>
      </c>
      <c r="C58" s="85">
        <f t="shared" ref="C58:N58" si="13">CORREL($G$28:$G$47,C28:C47)</f>
        <v>0.4557044403605498</v>
      </c>
      <c r="D58" s="85">
        <f t="shared" si="13"/>
        <v>0.63421310342557713</v>
      </c>
      <c r="E58" s="85">
        <f t="shared" si="13"/>
        <v>0.20950478942530987</v>
      </c>
      <c r="F58" s="85">
        <f t="shared" si="13"/>
        <v>0.24039040419727728</v>
      </c>
      <c r="G58" s="85">
        <f t="shared" si="13"/>
        <v>1.0000000000000002</v>
      </c>
      <c r="H58" s="85">
        <f t="shared" si="13"/>
        <v>0.62256078510621238</v>
      </c>
      <c r="I58" s="85">
        <f t="shared" si="13"/>
        <v>0.45264348333366539</v>
      </c>
      <c r="J58" s="85">
        <f t="shared" si="13"/>
        <v>0.42646374816388344</v>
      </c>
      <c r="K58" s="85">
        <f t="shared" si="13"/>
        <v>-2.1616153994174034E-2</v>
      </c>
      <c r="L58" s="85">
        <f t="shared" si="13"/>
        <v>0.248409700385266</v>
      </c>
      <c r="M58" s="85">
        <f t="shared" si="13"/>
        <v>0.25556955079691296</v>
      </c>
      <c r="N58" s="85">
        <f t="shared" si="13"/>
        <v>0.29191287199794724</v>
      </c>
      <c r="O58" s="4"/>
      <c r="P58" s="4" t="s">
        <v>53</v>
      </c>
      <c r="Q58" s="85">
        <v>2.7074551200332699</v>
      </c>
      <c r="R58" s="85">
        <v>0.84744919325065626</v>
      </c>
      <c r="S58" s="85">
        <v>1.3563561733852758</v>
      </c>
      <c r="T58" s="85">
        <v>-0.91681898298722186</v>
      </c>
      <c r="U58" s="85">
        <v>1.1050261217712172</v>
      </c>
      <c r="V58" s="85">
        <v>0.85047584239064677</v>
      </c>
      <c r="W58" s="85">
        <v>-0.53021040173102241</v>
      </c>
      <c r="X58" s="85">
        <v>-8.0607489356046391E-2</v>
      </c>
      <c r="Y58" s="85">
        <v>0.66513269961639587</v>
      </c>
      <c r="Z58" s="85">
        <v>-0.27179750307075407</v>
      </c>
      <c r="AA58" s="85">
        <v>-2.2286971655767873E-2</v>
      </c>
      <c r="AB58" s="85">
        <v>-9.5723371644569982E-2</v>
      </c>
      <c r="AC58" s="85">
        <v>2.2944851121416976E-3</v>
      </c>
    </row>
    <row r="59" spans="1:29">
      <c r="A59" s="57" t="s">
        <v>17</v>
      </c>
      <c r="B59" s="85">
        <f>CORREL($H$28:$H$47,B28:B47)</f>
        <v>0.42604753800625045</v>
      </c>
      <c r="C59" s="85">
        <f t="shared" ref="C59:N59" si="14">CORREL($H$28:$H$47,C28:C47)</f>
        <v>0.27756670850334292</v>
      </c>
      <c r="D59" s="85">
        <f t="shared" si="14"/>
        <v>0.66769224833991259</v>
      </c>
      <c r="E59" s="85">
        <f t="shared" si="14"/>
        <v>-0.14790636095903392</v>
      </c>
      <c r="F59" s="85">
        <f t="shared" si="14"/>
        <v>-0.17795034942865159</v>
      </c>
      <c r="G59" s="85">
        <f t="shared" si="14"/>
        <v>0.62256078510621238</v>
      </c>
      <c r="H59" s="85">
        <f t="shared" si="14"/>
        <v>1.0000000000000002</v>
      </c>
      <c r="I59" s="85">
        <f t="shared" si="14"/>
        <v>-2.112909565090829E-2</v>
      </c>
      <c r="J59" s="85">
        <f t="shared" si="14"/>
        <v>0.10752416988791115</v>
      </c>
      <c r="K59" s="85">
        <f t="shared" si="14"/>
        <v>0.20295433792511605</v>
      </c>
      <c r="L59" s="85">
        <f t="shared" si="14"/>
        <v>4.5147160132187378E-2</v>
      </c>
      <c r="M59" s="85">
        <f t="shared" si="14"/>
        <v>-5.2949107915995365E-2</v>
      </c>
      <c r="N59" s="85">
        <f t="shared" si="14"/>
        <v>-2.8213437972145271E-2</v>
      </c>
      <c r="O59" s="4"/>
      <c r="P59" s="4" t="s">
        <v>54</v>
      </c>
      <c r="Q59" s="85">
        <v>3.4546833884238568</v>
      </c>
      <c r="R59" s="85">
        <v>0.82415065611075933</v>
      </c>
      <c r="S59" s="85">
        <v>-7.231492719949284E-2</v>
      </c>
      <c r="T59" s="85">
        <v>-1.5948051736743213E-2</v>
      </c>
      <c r="U59" s="85">
        <v>0.95813139887963106</v>
      </c>
      <c r="V59" s="85">
        <v>7.7192522029733091E-2</v>
      </c>
      <c r="W59" s="85">
        <v>0.38765349538139149</v>
      </c>
      <c r="X59" s="85">
        <v>-0.78291802765360974</v>
      </c>
      <c r="Y59" s="85">
        <v>-0.4626530569299262</v>
      </c>
      <c r="Z59" s="85">
        <v>0.11030346742986477</v>
      </c>
      <c r="AA59" s="85">
        <v>5.8284699394282324E-2</v>
      </c>
      <c r="AB59" s="85">
        <v>-4.5833898269113632E-2</v>
      </c>
      <c r="AC59" s="85">
        <v>-1.5017451836937257E-3</v>
      </c>
    </row>
    <row r="60" spans="1:29">
      <c r="A60" s="57" t="s">
        <v>18</v>
      </c>
      <c r="B60" s="85">
        <f>CORREL($I$28:$I$47,B28:B47)</f>
        <v>0.4012718423198347</v>
      </c>
      <c r="C60" s="85">
        <f t="shared" ref="C60:N60" si="15">CORREL($I$28:$I$47,C28:C47)</f>
        <v>0.12037000398941029</v>
      </c>
      <c r="D60" s="85">
        <f t="shared" si="15"/>
        <v>9.5955583799588157E-2</v>
      </c>
      <c r="E60" s="85">
        <f t="shared" si="15"/>
        <v>0.43234639751916304</v>
      </c>
      <c r="F60" s="85">
        <f t="shared" si="15"/>
        <v>0.47103022523676991</v>
      </c>
      <c r="G60" s="85">
        <f t="shared" si="15"/>
        <v>0.45264348333366539</v>
      </c>
      <c r="H60" s="85">
        <f t="shared" si="15"/>
        <v>-2.112909565090829E-2</v>
      </c>
      <c r="I60" s="85">
        <f t="shared" si="15"/>
        <v>1.0000000000000002</v>
      </c>
      <c r="J60" s="85">
        <f t="shared" si="15"/>
        <v>0.43064969815678356</v>
      </c>
      <c r="K60" s="85">
        <f t="shared" si="15"/>
        <v>3.8862833841291952E-2</v>
      </c>
      <c r="L60" s="85">
        <f t="shared" si="15"/>
        <v>0.74805419147716334</v>
      </c>
      <c r="M60" s="85">
        <f t="shared" si="15"/>
        <v>0.42880411116319145</v>
      </c>
      <c r="N60" s="85">
        <f t="shared" si="15"/>
        <v>0.5974804319057555</v>
      </c>
      <c r="O60" s="4"/>
      <c r="P60" s="4" t="s">
        <v>55</v>
      </c>
      <c r="Q60" s="85">
        <v>2.2459951388570931</v>
      </c>
      <c r="R60" s="85">
        <v>-0.83566963997404609</v>
      </c>
      <c r="S60" s="85">
        <v>1.0389382092763015</v>
      </c>
      <c r="T60" s="85">
        <v>0.63768738758704446</v>
      </c>
      <c r="U60" s="85">
        <v>-1.6383000039112492</v>
      </c>
      <c r="V60" s="85">
        <v>6.1706532279108529E-2</v>
      </c>
      <c r="W60" s="85">
        <v>-1.1821181828546072</v>
      </c>
      <c r="X60" s="85">
        <v>5.0205785012978003E-2</v>
      </c>
      <c r="Y60" s="85">
        <v>-5.3771080509916386E-2</v>
      </c>
      <c r="Z60" s="85">
        <v>0.29327426480109325</v>
      </c>
      <c r="AA60" s="85">
        <v>-5.6175030101123069E-2</v>
      </c>
      <c r="AB60" s="85">
        <v>-1.7815261795542436E-2</v>
      </c>
      <c r="AC60" s="85">
        <v>-1.3739773775236497E-3</v>
      </c>
    </row>
    <row r="61" spans="1:29">
      <c r="A61" s="57" t="s">
        <v>19</v>
      </c>
      <c r="B61" s="85">
        <f>CORREL($J$28:$J$47,B28:B47)</f>
        <v>0.22670431910582678</v>
      </c>
      <c r="C61" s="85">
        <f t="shared" ref="C61:N61" si="16">CORREL($J$28:$J$47,C28:C47)</f>
        <v>0.11667838659419251</v>
      </c>
      <c r="D61" s="85">
        <f t="shared" si="16"/>
        <v>-2.5218615182191689E-2</v>
      </c>
      <c r="E61" s="85">
        <f t="shared" si="16"/>
        <v>0.63269161205071889</v>
      </c>
      <c r="F61" s="85">
        <f t="shared" si="16"/>
        <v>0.67920743339808487</v>
      </c>
      <c r="G61" s="85">
        <f t="shared" si="16"/>
        <v>0.42646374816388344</v>
      </c>
      <c r="H61" s="85">
        <f t="shared" si="16"/>
        <v>0.10752416988791115</v>
      </c>
      <c r="I61" s="85">
        <f t="shared" si="16"/>
        <v>0.43064969815678356</v>
      </c>
      <c r="J61" s="85">
        <f t="shared" si="16"/>
        <v>0.99999999999999989</v>
      </c>
      <c r="K61" s="85">
        <f t="shared" si="16"/>
        <v>-0.42089014252335372</v>
      </c>
      <c r="L61" s="85">
        <f t="shared" si="16"/>
        <v>5.4702714350529655E-3</v>
      </c>
      <c r="M61" s="85">
        <f t="shared" si="16"/>
        <v>0.466056672574508</v>
      </c>
      <c r="N61" s="85">
        <f t="shared" si="16"/>
        <v>0.38953239896770808</v>
      </c>
      <c r="O61" s="4"/>
      <c r="P61" s="4" t="s">
        <v>56</v>
      </c>
      <c r="Q61" s="85">
        <v>0.97801429651782534</v>
      </c>
      <c r="R61" s="85">
        <v>3.0053683099479267</v>
      </c>
      <c r="S61" s="85">
        <v>-0.76864340064901648</v>
      </c>
      <c r="T61" s="85">
        <v>-0.14742023069560056</v>
      </c>
      <c r="U61" s="85">
        <v>0.32551590172840172</v>
      </c>
      <c r="V61" s="85">
        <v>-0.31653616603732926</v>
      </c>
      <c r="W61" s="85">
        <v>0.15753325473759194</v>
      </c>
      <c r="X61" s="85">
        <v>0.79075308229040464</v>
      </c>
      <c r="Y61" s="85">
        <v>-0.54685284886459096</v>
      </c>
      <c r="Z61" s="85">
        <v>0.16449875354825844</v>
      </c>
      <c r="AA61" s="85">
        <v>2.7905917292717523E-2</v>
      </c>
      <c r="AB61" s="85">
        <v>-0.10090310999825283</v>
      </c>
      <c r="AC61" s="85">
        <v>9.39103491363176E-4</v>
      </c>
    </row>
    <row r="62" spans="1:29">
      <c r="A62" s="57" t="s">
        <v>20</v>
      </c>
      <c r="B62" s="85">
        <f>CORREL($K$28:$K$47,B28:B47)</f>
        <v>0.20829005632815187</v>
      </c>
      <c r="C62" s="85">
        <f t="shared" ref="C62:N62" si="17">CORREL($K$28:$K$47,C28:C47)</f>
        <v>0.39978530712158811</v>
      </c>
      <c r="D62" s="85">
        <f t="shared" si="17"/>
        <v>1.2642191927509757E-2</v>
      </c>
      <c r="E62" s="85">
        <f t="shared" si="17"/>
        <v>-0.37082236542018882</v>
      </c>
      <c r="F62" s="85">
        <f t="shared" si="17"/>
        <v>-0.38910440932546742</v>
      </c>
      <c r="G62" s="85">
        <f t="shared" si="17"/>
        <v>-2.1616153994174034E-2</v>
      </c>
      <c r="H62" s="85">
        <f t="shared" si="17"/>
        <v>0.20295433792511605</v>
      </c>
      <c r="I62" s="85">
        <f t="shared" si="17"/>
        <v>3.8862833841291952E-2</v>
      </c>
      <c r="J62" s="85">
        <f t="shared" si="17"/>
        <v>-0.42089014252335372</v>
      </c>
      <c r="K62" s="85">
        <f t="shared" si="17"/>
        <v>1.0000000000000002</v>
      </c>
      <c r="L62" s="85">
        <f t="shared" si="17"/>
        <v>0.65355292816485211</v>
      </c>
      <c r="M62" s="85">
        <f t="shared" si="17"/>
        <v>-1.8392702928175523E-2</v>
      </c>
      <c r="N62" s="85">
        <f t="shared" si="17"/>
        <v>0.19638830199908655</v>
      </c>
      <c r="O62" s="4"/>
      <c r="P62" s="4" t="s">
        <v>57</v>
      </c>
      <c r="Q62" s="85">
        <v>-1.8789102148008987</v>
      </c>
      <c r="R62" s="85">
        <v>1.0547995952870315</v>
      </c>
      <c r="S62" s="85">
        <v>-0.19964030793977586</v>
      </c>
      <c r="T62" s="85">
        <v>-0.6376202975056473</v>
      </c>
      <c r="U62" s="85">
        <v>0.85364358958596509</v>
      </c>
      <c r="V62" s="85">
        <v>-0.42543418188347332</v>
      </c>
      <c r="W62" s="85">
        <v>-3.3824228501347205E-2</v>
      </c>
      <c r="X62" s="85">
        <v>0.791979941886365</v>
      </c>
      <c r="Y62" s="85">
        <v>0.24750677349120842</v>
      </c>
      <c r="Z62" s="85">
        <v>0.10290363010281287</v>
      </c>
      <c r="AA62" s="85">
        <v>-8.221270771420397E-2</v>
      </c>
      <c r="AB62" s="85">
        <v>5.1043091053298933E-2</v>
      </c>
      <c r="AC62" s="85">
        <v>-4.2876187848261971E-5</v>
      </c>
    </row>
    <row r="63" spans="1:29">
      <c r="A63" s="57" t="s">
        <v>21</v>
      </c>
      <c r="B63" s="85">
        <f>CORREL($L$28:$L$47,B28:B47)</f>
        <v>0.24288212019075456</v>
      </c>
      <c r="C63" s="85">
        <f t="shared" ref="C63:N63" si="18">CORREL($L$28:$L$47,C28:C47)</f>
        <v>0.26964669711771316</v>
      </c>
      <c r="D63" s="85">
        <f t="shared" si="18"/>
        <v>1.8699301331100673E-2</v>
      </c>
      <c r="E63" s="85">
        <f t="shared" si="18"/>
        <v>0.13717420963325375</v>
      </c>
      <c r="F63" s="85">
        <f t="shared" si="18"/>
        <v>8.7349527873384819E-2</v>
      </c>
      <c r="G63" s="85">
        <f t="shared" si="18"/>
        <v>0.248409700385266</v>
      </c>
      <c r="H63" s="85">
        <f t="shared" si="18"/>
        <v>4.5147160132187378E-2</v>
      </c>
      <c r="I63" s="85">
        <f t="shared" si="18"/>
        <v>0.74805419147716334</v>
      </c>
      <c r="J63" s="85">
        <f t="shared" si="18"/>
        <v>5.4702714350529655E-3</v>
      </c>
      <c r="K63" s="85">
        <f t="shared" si="18"/>
        <v>0.65355292816485211</v>
      </c>
      <c r="L63" s="85">
        <f t="shared" si="18"/>
        <v>1.0000000000000002</v>
      </c>
      <c r="M63" s="85">
        <f t="shared" si="18"/>
        <v>0.38889739071473423</v>
      </c>
      <c r="N63" s="85">
        <f t="shared" si="18"/>
        <v>0.64589857066519685</v>
      </c>
      <c r="O63" s="4"/>
      <c r="P63" s="4" t="s">
        <v>58</v>
      </c>
      <c r="Q63" s="85">
        <v>-3.1552461637620994</v>
      </c>
      <c r="R63" s="85">
        <v>-0.67595510277063131</v>
      </c>
      <c r="S63" s="85">
        <v>-0.30990415310942587</v>
      </c>
      <c r="T63" s="85">
        <v>-7.0511821960309126E-2</v>
      </c>
      <c r="U63" s="85">
        <v>-0.68328942063727804</v>
      </c>
      <c r="V63" s="85">
        <v>-1.3855059160039795E-2</v>
      </c>
      <c r="W63" s="85">
        <v>-0.14085326596766942</v>
      </c>
      <c r="X63" s="85">
        <v>-0.23701950569979655</v>
      </c>
      <c r="Y63" s="85">
        <v>0.15040744674623857</v>
      </c>
      <c r="Z63" s="85">
        <v>-0.37294828935046559</v>
      </c>
      <c r="AA63" s="85">
        <v>5.1069973432925075E-3</v>
      </c>
      <c r="AB63" s="85">
        <v>-2.5042895442436763E-2</v>
      </c>
      <c r="AC63" s="85">
        <v>1.4683228592886621E-3</v>
      </c>
    </row>
    <row r="64" spans="1:29">
      <c r="A64" s="57" t="s">
        <v>22</v>
      </c>
      <c r="B64" s="85">
        <f>CORREL($M$28:$M$47,B28:B47)</f>
        <v>-0.1707401542127415</v>
      </c>
      <c r="C64" s="85">
        <f t="shared" ref="C64:N64" si="19">CORREL($M$28:$M$47,C28:C47)</f>
        <v>0.15125075409526026</v>
      </c>
      <c r="D64" s="85">
        <f t="shared" si="19"/>
        <v>-0.3444898702522744</v>
      </c>
      <c r="E64" s="85">
        <f t="shared" si="19"/>
        <v>0.90194045370391784</v>
      </c>
      <c r="F64" s="85">
        <f t="shared" si="19"/>
        <v>0.72019069152979875</v>
      </c>
      <c r="G64" s="85">
        <f t="shared" si="19"/>
        <v>0.25556955079691296</v>
      </c>
      <c r="H64" s="85">
        <f t="shared" si="19"/>
        <v>-5.2949107915995365E-2</v>
      </c>
      <c r="I64" s="85">
        <f t="shared" si="19"/>
        <v>0.42880411116319145</v>
      </c>
      <c r="J64" s="85">
        <f t="shared" si="19"/>
        <v>0.466056672574508</v>
      </c>
      <c r="K64" s="85">
        <f t="shared" si="19"/>
        <v>-1.8392702928175523E-2</v>
      </c>
      <c r="L64" s="85">
        <f t="shared" si="19"/>
        <v>0.38889739071473423</v>
      </c>
      <c r="M64" s="85">
        <f t="shared" si="19"/>
        <v>0.99999999999999989</v>
      </c>
      <c r="N64" s="85">
        <f t="shared" si="19"/>
        <v>0.95449693785884804</v>
      </c>
      <c r="O64" s="4"/>
      <c r="P64" s="4" t="s">
        <v>59</v>
      </c>
      <c r="Q64" s="85">
        <v>-2.4995075415599612</v>
      </c>
      <c r="R64" s="85">
        <v>-2.5422614538792505</v>
      </c>
      <c r="S64" s="85">
        <v>-0.4386565583062001</v>
      </c>
      <c r="T64" s="85">
        <v>0.98512658488918614</v>
      </c>
      <c r="U64" s="85">
        <v>7.2532775278542155E-2</v>
      </c>
      <c r="V64" s="85">
        <v>-3.7435736052641229E-2</v>
      </c>
      <c r="W64" s="85">
        <v>0.96268065500706568</v>
      </c>
      <c r="X64" s="85">
        <v>-0.12933894763360226</v>
      </c>
      <c r="Y64" s="85">
        <v>3.0142249603084953E-3</v>
      </c>
      <c r="Z64" s="85">
        <v>7.3753930086431524E-2</v>
      </c>
      <c r="AA64" s="85">
        <v>-9.1003162732204046E-2</v>
      </c>
      <c r="AB64" s="85">
        <v>-0.12097876100273419</v>
      </c>
      <c r="AC64" s="85">
        <v>-2.5627907777450165E-3</v>
      </c>
    </row>
    <row r="65" spans="1:29">
      <c r="A65" s="57" t="s">
        <v>23</v>
      </c>
      <c r="B65" s="85">
        <f>CORREL($N$28:$N$47,B28:B47)</f>
        <v>-6.21157327455511E-2</v>
      </c>
      <c r="C65" s="85">
        <f t="shared" ref="C65:N65" si="20">CORREL($N$28:$N$47,C28:C47)</f>
        <v>0.21193144438907846</v>
      </c>
      <c r="D65" s="85">
        <f t="shared" si="20"/>
        <v>-0.27841770555024042</v>
      </c>
      <c r="E65" s="85">
        <f t="shared" si="20"/>
        <v>0.79213603593773096</v>
      </c>
      <c r="F65" s="85">
        <f t="shared" si="20"/>
        <v>0.62516569785480602</v>
      </c>
      <c r="G65" s="85">
        <f t="shared" si="20"/>
        <v>0.29191287199794724</v>
      </c>
      <c r="H65" s="85">
        <f t="shared" si="20"/>
        <v>-2.8213437972145271E-2</v>
      </c>
      <c r="I65" s="85">
        <f t="shared" si="20"/>
        <v>0.5974804319057555</v>
      </c>
      <c r="J65" s="85">
        <f t="shared" si="20"/>
        <v>0.38953239896770808</v>
      </c>
      <c r="K65" s="85">
        <f t="shared" si="20"/>
        <v>0.19638830199908655</v>
      </c>
      <c r="L65" s="85">
        <f t="shared" si="20"/>
        <v>0.64589857066519685</v>
      </c>
      <c r="M65" s="85">
        <f t="shared" si="20"/>
        <v>0.95449693785884804</v>
      </c>
      <c r="N65" s="85">
        <f t="shared" si="20"/>
        <v>1.0000000000000002</v>
      </c>
      <c r="O65" s="4"/>
      <c r="P65" s="4" t="s">
        <v>60</v>
      </c>
      <c r="Q65" s="85">
        <v>-2.554911080338806</v>
      </c>
      <c r="R65" s="85">
        <v>2.6572898245446082</v>
      </c>
      <c r="S65" s="85">
        <v>-1.375980215766754</v>
      </c>
      <c r="T65" s="85">
        <v>-1.3069757435530471</v>
      </c>
      <c r="U65" s="85">
        <v>2.2379948779188474E-2</v>
      </c>
      <c r="V65" s="85">
        <v>1.1917872175644624</v>
      </c>
      <c r="W65" s="85">
        <v>-0.31748891682558955</v>
      </c>
      <c r="X65" s="85">
        <v>-0.24906555227519475</v>
      </c>
      <c r="Y65" s="85">
        <v>-0.50158162403201378</v>
      </c>
      <c r="Z65" s="85">
        <v>-0.20121558874619289</v>
      </c>
      <c r="AA65" s="85">
        <v>-3.1389902520526869E-2</v>
      </c>
      <c r="AB65" s="85">
        <v>5.8463407928755762E-2</v>
      </c>
      <c r="AC65" s="85">
        <v>-2.2295932924025763E-3</v>
      </c>
    </row>
    <row r="66" spans="1:29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 t="s">
        <v>61</v>
      </c>
      <c r="Q66" s="85">
        <v>-1.9249441153624658</v>
      </c>
      <c r="R66" s="85">
        <v>-2.0721273575503578</v>
      </c>
      <c r="S66" s="85">
        <v>-0.13846016477201883</v>
      </c>
      <c r="T66" s="85">
        <v>0.45468180702522248</v>
      </c>
      <c r="U66" s="85">
        <v>-0.27518616165945353</v>
      </c>
      <c r="V66" s="85">
        <v>0.41256424279506232</v>
      </c>
      <c r="W66" s="85">
        <v>0.13484712140627025</v>
      </c>
      <c r="X66" s="85">
        <v>0.22595960928397724</v>
      </c>
      <c r="Y66" s="85">
        <v>-0.33449709789111221</v>
      </c>
      <c r="Z66" s="85">
        <v>-0.27938333089959821</v>
      </c>
      <c r="AA66" s="85">
        <v>5.115782940025454E-2</v>
      </c>
      <c r="AB66" s="85">
        <v>-3.3388276778085493E-2</v>
      </c>
      <c r="AC66" s="85">
        <v>3.5512338130889165E-3</v>
      </c>
    </row>
    <row r="67" spans="1:29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 t="s">
        <v>62</v>
      </c>
      <c r="Q67" s="85">
        <v>0.41471103669906423</v>
      </c>
      <c r="R67" s="85">
        <v>-2.5510512316286267</v>
      </c>
      <c r="S67" s="85">
        <v>-0.47275258820614657</v>
      </c>
      <c r="T67" s="85">
        <v>-1.3329056076788535</v>
      </c>
      <c r="U67" s="85">
        <v>0.70719811568091429</v>
      </c>
      <c r="V67" s="85">
        <v>-1.6411266687318948</v>
      </c>
      <c r="W67" s="85">
        <v>-0.46033322446980318</v>
      </c>
      <c r="X67" s="85">
        <v>-2.2646791287286937E-2</v>
      </c>
      <c r="Y67" s="85">
        <v>-0.16746987951854439</v>
      </c>
      <c r="Z67" s="85">
        <v>-0.12025975505920533</v>
      </c>
      <c r="AA67" s="85">
        <v>9.8121767904546242E-2</v>
      </c>
      <c r="AB67" s="85">
        <v>2.428840687999087E-2</v>
      </c>
      <c r="AC67" s="85">
        <v>6.6579815248884316E-4</v>
      </c>
    </row>
    <row r="68" spans="1:29">
      <c r="O68" s="4"/>
      <c r="P68" s="4" t="s">
        <v>63</v>
      </c>
      <c r="Q68" s="85">
        <v>0.77804843830739334</v>
      </c>
      <c r="R68" s="85">
        <v>2.1922173359689792</v>
      </c>
      <c r="S68" s="85">
        <v>-3.5647656934057195</v>
      </c>
      <c r="T68" s="85">
        <v>8.0704904917048084E-2</v>
      </c>
      <c r="U68" s="85">
        <v>-1.597176615296783</v>
      </c>
      <c r="V68" s="85">
        <v>-0.77177162405019195</v>
      </c>
      <c r="W68" s="85">
        <v>-1.6461379448670006E-2</v>
      </c>
      <c r="X68" s="85">
        <v>-0.38317272490212601</v>
      </c>
      <c r="Y68" s="85">
        <v>0.56626328405146764</v>
      </c>
      <c r="Z68" s="85">
        <v>5.1820808943133234E-3</v>
      </c>
      <c r="AA68" s="85">
        <v>6.3206561469792907E-3</v>
      </c>
      <c r="AB68" s="85">
        <v>-1.3033609794060218E-2</v>
      </c>
      <c r="AC68" s="85">
        <v>3.0330052578461664E-4</v>
      </c>
    </row>
    <row r="69" spans="1:29">
      <c r="A69" s="57"/>
      <c r="B69" s="57"/>
      <c r="O69" s="4"/>
      <c r="P69" s="4" t="s">
        <v>64</v>
      </c>
      <c r="Q69" s="85">
        <v>3.7027690276183094</v>
      </c>
      <c r="R69" s="85">
        <v>-2.7050512408939649</v>
      </c>
      <c r="S69" s="85">
        <v>0.24893580405615506</v>
      </c>
      <c r="T69" s="85">
        <v>-1.5193340790006844</v>
      </c>
      <c r="U69" s="85">
        <v>-1.4940194734683589</v>
      </c>
      <c r="V69" s="85">
        <v>0.33727573939061384</v>
      </c>
      <c r="W69" s="85">
        <v>0.4498525123806868</v>
      </c>
      <c r="X69" s="85">
        <v>0.15712874849843861</v>
      </c>
      <c r="Y69" s="85">
        <v>-0.29761863418123763</v>
      </c>
      <c r="Z69" s="85">
        <v>-9.8683321244933064E-2</v>
      </c>
      <c r="AA69" s="85">
        <v>-8.3498725620541336E-2</v>
      </c>
      <c r="AB69" s="85">
        <v>5.575687998171347E-2</v>
      </c>
      <c r="AC69" s="85">
        <v>3.1999081435385435E-4</v>
      </c>
    </row>
    <row r="70" spans="1:29">
      <c r="A70" s="57"/>
      <c r="O70" s="4"/>
      <c r="P70" s="4" t="s">
        <v>65</v>
      </c>
      <c r="Q70" s="85">
        <v>-0.80902538172527994</v>
      </c>
      <c r="R70" s="85">
        <v>-1.015294143554299</v>
      </c>
      <c r="S70" s="85">
        <v>-0.99080160456649946</v>
      </c>
      <c r="T70" s="85">
        <v>0.46047517933163401</v>
      </c>
      <c r="U70" s="85">
        <v>-0.27939274021400162</v>
      </c>
      <c r="V70" s="85">
        <v>0.59403226245430052</v>
      </c>
      <c r="W70" s="85">
        <v>-0.60934044389352549</v>
      </c>
      <c r="X70" s="85">
        <v>0.21664800300905521</v>
      </c>
      <c r="Y70" s="85">
        <v>1.2128122437424498E-2</v>
      </c>
      <c r="Z70" s="85">
        <v>0.33419722783837907</v>
      </c>
      <c r="AA70" s="85">
        <v>3.3987357691478426E-2</v>
      </c>
      <c r="AB70" s="85">
        <v>-1.4388284392029257E-2</v>
      </c>
      <c r="AC70" s="85">
        <v>2.1688493034371925E-3</v>
      </c>
    </row>
    <row r="71" spans="1:29">
      <c r="A71" s="57"/>
      <c r="B71" s="57"/>
      <c r="C71" s="57"/>
      <c r="O71" s="4"/>
      <c r="P71" s="4" t="s">
        <v>66</v>
      </c>
      <c r="Q71" s="85">
        <v>1.9899520230587797</v>
      </c>
      <c r="R71" s="85">
        <v>-1.322496309767029</v>
      </c>
      <c r="S71" s="85">
        <v>-0.58115605139251558</v>
      </c>
      <c r="T71" s="85">
        <v>0.97077136082632765</v>
      </c>
      <c r="U71" s="85">
        <v>1.1236436459461221</v>
      </c>
      <c r="V71" s="85">
        <v>0.74850197941452445</v>
      </c>
      <c r="W71" s="85">
        <v>0.19148460413426852</v>
      </c>
      <c r="X71" s="85">
        <v>0.46096750457218527</v>
      </c>
      <c r="Y71" s="85">
        <v>0.37273458922929364</v>
      </c>
      <c r="Z71" s="85">
        <v>-9.2475090766951734E-2</v>
      </c>
      <c r="AA71" s="85">
        <v>8.8090372303035583E-2</v>
      </c>
      <c r="AB71" s="85">
        <v>5.2538221716315031E-2</v>
      </c>
      <c r="AC71" s="85">
        <v>-3.367346308882746E-3</v>
      </c>
    </row>
    <row r="72" spans="1:29">
      <c r="A72" s="57"/>
      <c r="B72" s="57"/>
      <c r="C72" s="57"/>
      <c r="D72" s="57"/>
      <c r="E72" s="57"/>
      <c r="O72" s="4"/>
      <c r="P72" s="4" t="s">
        <v>67</v>
      </c>
      <c r="Q72" s="85">
        <v>-1.0041354291507141</v>
      </c>
      <c r="R72" s="85">
        <v>-1.5276797863631968</v>
      </c>
      <c r="S72" s="85">
        <v>-1.5898999390775355</v>
      </c>
      <c r="T72" s="85">
        <v>0.83782215628388612</v>
      </c>
      <c r="U72" s="85">
        <v>1.1717652078504504</v>
      </c>
      <c r="V72" s="85">
        <v>0.28705761219551951</v>
      </c>
      <c r="W72" s="85">
        <v>-0.49735699928900506</v>
      </c>
      <c r="X72" s="85">
        <v>-0.26365732641156286</v>
      </c>
      <c r="Y72" s="85">
        <v>3.3512115321029004E-2</v>
      </c>
      <c r="Z72" s="85">
        <v>0.19971941279130953</v>
      </c>
      <c r="AA72" s="85">
        <v>-3.7914294491372957E-3</v>
      </c>
      <c r="AB72" s="85">
        <v>5.9013096573903273E-2</v>
      </c>
      <c r="AC72" s="85">
        <v>-1.4443846794005566E-3</v>
      </c>
    </row>
    <row r="73" spans="1:29">
      <c r="A73" s="57"/>
      <c r="B73" s="57"/>
      <c r="C73" s="57"/>
      <c r="D73" s="57"/>
      <c r="E73" s="57"/>
      <c r="O73" s="4"/>
      <c r="P73" s="11" t="s">
        <v>388</v>
      </c>
      <c r="Q73" s="85">
        <f>_xlfn.VAR.S(Q53:Q72)</f>
        <v>4.6700912028048522</v>
      </c>
      <c r="R73" s="85">
        <f t="shared" ref="R73:AC73" si="21">_xlfn.VAR.S(R53:R72)</f>
        <v>3.1692810392746749</v>
      </c>
      <c r="S73" s="85">
        <f t="shared" si="21"/>
        <v>2.0958903336135224</v>
      </c>
      <c r="T73" s="85">
        <f t="shared" si="21"/>
        <v>1.0173647816033</v>
      </c>
      <c r="U73" s="85">
        <f t="shared" si="21"/>
        <v>0.96269230740305289</v>
      </c>
      <c r="V73" s="85">
        <f t="shared" si="21"/>
        <v>0.43402262607917047</v>
      </c>
      <c r="W73" s="85">
        <f t="shared" si="21"/>
        <v>0.32605065981073394</v>
      </c>
      <c r="X73" s="85">
        <f t="shared" si="21"/>
        <v>0.1503969936870769</v>
      </c>
      <c r="Y73" s="85">
        <f t="shared" si="21"/>
        <v>0.11451186419431991</v>
      </c>
      <c r="Z73" s="85">
        <f t="shared" si="21"/>
        <v>5.2075181941017262E-2</v>
      </c>
      <c r="AA73" s="85">
        <f t="shared" si="21"/>
        <v>4.1745971410546085E-3</v>
      </c>
      <c r="AB73" s="85">
        <f t="shared" si="21"/>
        <v>3.4428615534996339E-3</v>
      </c>
      <c r="AC73" s="85">
        <f t="shared" si="21"/>
        <v>5.5508937075827568E-6</v>
      </c>
    </row>
    <row r="74" spans="1:29">
      <c r="A74" s="57"/>
      <c r="B74" s="57"/>
      <c r="C74" s="57"/>
      <c r="D74" s="57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</row>
    <row r="75" spans="1:29">
      <c r="A75" s="57"/>
      <c r="B75" s="57"/>
      <c r="C75" s="57"/>
      <c r="O75" s="4"/>
    </row>
    <row r="76" spans="1:29">
      <c r="A76" s="57"/>
      <c r="B76" s="57"/>
      <c r="C76" s="57"/>
      <c r="O76" s="4"/>
      <c r="P76" s="120" t="s">
        <v>390</v>
      </c>
      <c r="Q76" s="120"/>
      <c r="R76" s="120"/>
      <c r="S76" s="120"/>
      <c r="T76" s="120"/>
      <c r="U76" s="120"/>
      <c r="V76" s="120"/>
      <c r="W76" s="120"/>
      <c r="X76" s="120"/>
      <c r="Y76" s="120"/>
      <c r="Z76" s="120"/>
      <c r="AA76" s="120"/>
      <c r="AB76" s="120"/>
      <c r="AC76" s="120"/>
    </row>
    <row r="77" spans="1:29">
      <c r="A77" s="57"/>
      <c r="B77" s="57"/>
      <c r="C77" s="57"/>
      <c r="O77" s="4"/>
      <c r="P77" s="4"/>
      <c r="Q77" s="9" t="s">
        <v>193</v>
      </c>
      <c r="R77" s="9" t="s">
        <v>194</v>
      </c>
      <c r="S77" s="9" t="s">
        <v>195</v>
      </c>
      <c r="T77" s="9" t="s">
        <v>378</v>
      </c>
      <c r="U77" s="9" t="s">
        <v>379</v>
      </c>
      <c r="V77" s="9" t="s">
        <v>380</v>
      </c>
      <c r="W77" s="9" t="s">
        <v>381</v>
      </c>
      <c r="X77" s="9" t="s">
        <v>382</v>
      </c>
      <c r="Y77" s="9" t="s">
        <v>383</v>
      </c>
      <c r="Z77" s="4" t="s">
        <v>384</v>
      </c>
      <c r="AA77" s="4" t="s">
        <v>385</v>
      </c>
      <c r="AB77" s="4" t="s">
        <v>386</v>
      </c>
      <c r="AC77" s="4" t="s">
        <v>387</v>
      </c>
    </row>
    <row r="78" spans="1:29">
      <c r="A78" s="57"/>
      <c r="B78" s="57"/>
      <c r="O78" s="4"/>
      <c r="P78" s="57" t="s">
        <v>11</v>
      </c>
      <c r="Q78" s="85">
        <f>CORREL($B$28:$B$47,Q53:Q72)</f>
        <v>0.16924517256466504</v>
      </c>
      <c r="R78" s="85">
        <f t="shared" ref="R78:AC78" si="22">CORREL($B$28:$B$47,R53:R72)</f>
        <v>0.71726492446958456</v>
      </c>
      <c r="S78" s="85">
        <f t="shared" si="22"/>
        <v>-0.16808961217234214</v>
      </c>
      <c r="T78" s="85">
        <f t="shared" si="22"/>
        <v>6.2714821922279194E-3</v>
      </c>
      <c r="U78" s="85">
        <f t="shared" si="22"/>
        <v>0.53507041030324431</v>
      </c>
      <c r="V78" s="85">
        <f t="shared" si="22"/>
        <v>-0.3141715725593604</v>
      </c>
      <c r="W78" s="85">
        <f t="shared" si="22"/>
        <v>-0.16810968658290817</v>
      </c>
      <c r="X78" s="85">
        <f t="shared" si="22"/>
        <v>-4.6439966340274232E-2</v>
      </c>
      <c r="Y78" s="85">
        <f t="shared" si="22"/>
        <v>-9.7745861452996297E-2</v>
      </c>
      <c r="Z78" s="85">
        <f t="shared" si="22"/>
        <v>-5.8868953580265442E-2</v>
      </c>
      <c r="AA78" s="85">
        <f t="shared" si="22"/>
        <v>-6.2711688092553196E-3</v>
      </c>
      <c r="AB78" s="85">
        <f t="shared" si="22"/>
        <v>1.0623444734614542E-2</v>
      </c>
      <c r="AC78" s="85">
        <f t="shared" si="22"/>
        <v>-5.2200664329228259E-6</v>
      </c>
    </row>
    <row r="79" spans="1:29">
      <c r="A79" s="57"/>
      <c r="B79" s="57"/>
      <c r="O79" s="4"/>
      <c r="P79" s="57" t="s">
        <v>373</v>
      </c>
      <c r="Q79" s="85">
        <f>CORREL($C$28:$C$47,Q53:Q72)</f>
        <v>0.2346679601617154</v>
      </c>
      <c r="R79" s="85">
        <f t="shared" ref="R79:AC79" si="23">CORREL($C$28:$C$47,R53:R72)</f>
        <v>0.53067212130572106</v>
      </c>
      <c r="S79" s="85">
        <f t="shared" si="23"/>
        <v>0.19929281193272338</v>
      </c>
      <c r="T79" s="85">
        <f t="shared" si="23"/>
        <v>0.67440585850018087</v>
      </c>
      <c r="U79" s="85">
        <f t="shared" si="23"/>
        <v>0.24086146838914638</v>
      </c>
      <c r="V79" s="85">
        <f t="shared" si="23"/>
        <v>0.31516337536052441</v>
      </c>
      <c r="W79" s="85">
        <f t="shared" si="23"/>
        <v>1.09928413826641E-2</v>
      </c>
      <c r="X79" s="85">
        <f t="shared" si="23"/>
        <v>7.7983033247247258E-2</v>
      </c>
      <c r="Y79" s="85">
        <f t="shared" si="23"/>
        <v>4.2714079040615888E-2</v>
      </c>
      <c r="Z79" s="85">
        <f t="shared" si="23"/>
        <v>-5.7527771055929461E-2</v>
      </c>
      <c r="AA79" s="85">
        <f t="shared" si="23"/>
        <v>9.6948585745994659E-3</v>
      </c>
      <c r="AB79" s="85">
        <f t="shared" si="23"/>
        <v>-2.199479734226832E-3</v>
      </c>
      <c r="AC79" s="85">
        <f t="shared" si="23"/>
        <v>-8.784990126227207E-6</v>
      </c>
    </row>
    <row r="80" spans="1:29">
      <c r="A80" s="57"/>
      <c r="B80" s="57"/>
      <c r="O80" s="4"/>
      <c r="P80" s="57" t="s">
        <v>374</v>
      </c>
      <c r="Q80" s="85">
        <f>CORREL($D$28:$D$47,Q53:Q72)</f>
        <v>-0.20801966029286317</v>
      </c>
      <c r="R80" s="85">
        <f t="shared" ref="R80:AC80" si="24">CORREL($D$28:$D$47,R53:R72)</f>
        <v>0.72970921624963014</v>
      </c>
      <c r="S80" s="85">
        <f t="shared" si="24"/>
        <v>-0.39931731742916771</v>
      </c>
      <c r="T80" s="85">
        <f t="shared" si="24"/>
        <v>-0.31762532235850155</v>
      </c>
      <c r="U80" s="85">
        <f t="shared" si="24"/>
        <v>-0.31256523850113754</v>
      </c>
      <c r="V80" s="85">
        <f t="shared" si="24"/>
        <v>0.14597229876474818</v>
      </c>
      <c r="W80" s="85">
        <f t="shared" si="24"/>
        <v>-3.1259507592280494E-2</v>
      </c>
      <c r="X80" s="85">
        <f t="shared" si="24"/>
        <v>-0.13790260365777401</v>
      </c>
      <c r="Y80" s="85">
        <f t="shared" si="24"/>
        <v>0.10615242769627618</v>
      </c>
      <c r="Z80" s="85">
        <f t="shared" si="24"/>
        <v>-0.11667407852310943</v>
      </c>
      <c r="AA80" s="85">
        <f t="shared" si="24"/>
        <v>5.6309969557274192E-3</v>
      </c>
      <c r="AB80" s="85">
        <f t="shared" si="24"/>
        <v>5.6173074092757577E-5</v>
      </c>
      <c r="AC80" s="85">
        <f t="shared" si="24"/>
        <v>-1.6976580331317193E-5</v>
      </c>
    </row>
    <row r="81" spans="1:34">
      <c r="A81" s="57"/>
      <c r="O81" s="4"/>
      <c r="P81" s="57" t="s">
        <v>14</v>
      </c>
      <c r="Q81" s="85">
        <f>CORREL($E$28:$E$47,Q53:Q72)</f>
        <v>0.88131808051655169</v>
      </c>
      <c r="R81" s="85">
        <f t="shared" ref="R81:AC81" si="25">CORREL($E$28:$E$47,R53:R72)</f>
        <v>-0.3769026668300749</v>
      </c>
      <c r="S81" s="85">
        <f t="shared" si="25"/>
        <v>-0.17368188842005877</v>
      </c>
      <c r="T81" s="85">
        <f t="shared" si="25"/>
        <v>3.1381143245133483E-2</v>
      </c>
      <c r="U81" s="85">
        <f t="shared" si="25"/>
        <v>-0.1367820990674842</v>
      </c>
      <c r="V81" s="85">
        <f t="shared" si="25"/>
        <v>-0.10802774387521911</v>
      </c>
      <c r="W81" s="85">
        <f t="shared" si="25"/>
        <v>-0.10166370520770349</v>
      </c>
      <c r="X81" s="85">
        <f t="shared" si="25"/>
        <v>-7.1953752841636669E-3</v>
      </c>
      <c r="Y81" s="85">
        <f t="shared" si="25"/>
        <v>-7.3584541850610974E-2</v>
      </c>
      <c r="Z81" s="85">
        <f t="shared" si="25"/>
        <v>-3.678044610695521E-2</v>
      </c>
      <c r="AA81" s="85">
        <f t="shared" si="25"/>
        <v>4.7663645857183586E-2</v>
      </c>
      <c r="AB81" s="85">
        <f t="shared" si="25"/>
        <v>-1.6331487093794363E-2</v>
      </c>
      <c r="AC81" s="85">
        <f t="shared" si="25"/>
        <v>-3.319518869121813E-5</v>
      </c>
    </row>
    <row r="82" spans="1:34">
      <c r="O82" s="4"/>
      <c r="P82" s="57" t="s">
        <v>15</v>
      </c>
      <c r="Q82" s="85">
        <f>CORREL($F$28:$F$47,Q53:Q72)</f>
        <v>0.83825940132096954</v>
      </c>
      <c r="R82" s="85">
        <f t="shared" ref="R82:AC82" si="26">CORREL($F$28:$F$47,R53:R72)</f>
        <v>-0.2855117816636798</v>
      </c>
      <c r="S82" s="85">
        <f t="shared" si="26"/>
        <v>-0.26027944218994187</v>
      </c>
      <c r="T82" s="85">
        <f t="shared" si="26"/>
        <v>8.9355505740694632E-2</v>
      </c>
      <c r="U82" s="85">
        <f t="shared" si="26"/>
        <v>0.18892618208915854</v>
      </c>
      <c r="V82" s="85">
        <f t="shared" si="26"/>
        <v>-9.9461403967916209E-2</v>
      </c>
      <c r="W82" s="85">
        <f t="shared" si="26"/>
        <v>-0.1534192132255304</v>
      </c>
      <c r="X82" s="85">
        <f t="shared" si="26"/>
        <v>-4.9212562133271756E-2</v>
      </c>
      <c r="Y82" s="85">
        <f t="shared" si="26"/>
        <v>0.25649599962819081</v>
      </c>
      <c r="Z82" s="85">
        <f t="shared" si="26"/>
        <v>5.2018221319527679E-2</v>
      </c>
      <c r="AA82" s="85">
        <f t="shared" si="26"/>
        <v>-3.664277069746205E-3</v>
      </c>
      <c r="AB82" s="85">
        <f t="shared" si="26"/>
        <v>4.458659915779462E-3</v>
      </c>
      <c r="AC82" s="85">
        <f t="shared" si="26"/>
        <v>4.2577240982779749E-6</v>
      </c>
    </row>
    <row r="83" spans="1:34">
      <c r="P83" s="57" t="s">
        <v>16</v>
      </c>
      <c r="Q83" s="85">
        <f>CORREL($G$28:$G$47,Q53:Q72)</f>
        <v>0.46017543678931644</v>
      </c>
      <c r="R83" s="85">
        <f t="shared" ref="R83:AC83" si="27">CORREL($G$28:$G$47,R53:R72)</f>
        <v>0.72564347862952405</v>
      </c>
      <c r="S83" s="85">
        <f t="shared" si="27"/>
        <v>-0.37956238364442713</v>
      </c>
      <c r="T83" s="85">
        <f t="shared" si="27"/>
        <v>3.6905723762013939E-2</v>
      </c>
      <c r="U83" s="85">
        <f t="shared" si="27"/>
        <v>-0.12978919543021439</v>
      </c>
      <c r="V83" s="85">
        <f t="shared" si="27"/>
        <v>0.2097740376012108</v>
      </c>
      <c r="W83" s="85">
        <f t="shared" si="27"/>
        <v>-0.12279232282334486</v>
      </c>
      <c r="X83" s="85">
        <f t="shared" si="27"/>
        <v>-9.5629101847536965E-2</v>
      </c>
      <c r="Y83" s="85">
        <f t="shared" si="27"/>
        <v>-0.1011715628717742</v>
      </c>
      <c r="Z83" s="85">
        <f t="shared" si="27"/>
        <v>0.14469942682725953</v>
      </c>
      <c r="AA83" s="85">
        <f t="shared" si="27"/>
        <v>-1.0805911397803079E-3</v>
      </c>
      <c r="AB83" s="85">
        <f t="shared" si="27"/>
        <v>-1.5603688040993749E-3</v>
      </c>
      <c r="AC83" s="85">
        <f t="shared" si="27"/>
        <v>1.7407467851709113E-5</v>
      </c>
    </row>
    <row r="84" spans="1:34">
      <c r="P84" s="57" t="s">
        <v>17</v>
      </c>
      <c r="Q84" s="85">
        <f>CORREL($H$28:$H$47,Q53:Q72)</f>
        <v>-1.0399437177176973E-3</v>
      </c>
      <c r="R84" s="85">
        <f t="shared" ref="R84:AC84" si="28">CORREL($H$28:$H$47,R53:R72)</f>
        <v>0.74639738474099626</v>
      </c>
      <c r="S84" s="85">
        <f t="shared" si="28"/>
        <v>-0.29944155051028887</v>
      </c>
      <c r="T84" s="85">
        <f t="shared" si="28"/>
        <v>0.17569163507434141</v>
      </c>
      <c r="U84" s="85">
        <f t="shared" si="28"/>
        <v>-0.42251612199153726</v>
      </c>
      <c r="V84" s="85">
        <f t="shared" si="28"/>
        <v>-0.29781183950683759</v>
      </c>
      <c r="W84" s="85">
        <f t="shared" si="28"/>
        <v>6.9761275475192563E-2</v>
      </c>
      <c r="X84" s="85">
        <f t="shared" si="28"/>
        <v>0.21739160793682979</v>
      </c>
      <c r="Y84" s="85">
        <f t="shared" si="28"/>
        <v>4.9922526769013223E-2</v>
      </c>
      <c r="Z84" s="85">
        <f t="shared" si="28"/>
        <v>2.2941973769886687E-2</v>
      </c>
      <c r="AA84" s="85">
        <f t="shared" si="28"/>
        <v>3.0923201007881044E-5</v>
      </c>
      <c r="AB84" s="85">
        <f t="shared" si="28"/>
        <v>-9.8190044362295149E-4</v>
      </c>
      <c r="AC84" s="85">
        <f t="shared" si="28"/>
        <v>8.1623138522272429E-7</v>
      </c>
    </row>
    <row r="85" spans="1:34">
      <c r="P85" s="57" t="s">
        <v>18</v>
      </c>
      <c r="Q85" s="85">
        <f>CORREL($I$28:$I$47,Q53:Q72)</f>
        <v>0.72076882207737614</v>
      </c>
      <c r="R85" s="85">
        <f t="shared" ref="R85:AC85" si="29">CORREL($I$28:$I$47,R53:R72)</f>
        <v>0.29660914946398631</v>
      </c>
      <c r="S85" s="85">
        <f t="shared" si="29"/>
        <v>0.12667039258123797</v>
      </c>
      <c r="T85" s="85">
        <f t="shared" si="29"/>
        <v>-0.51539317190280853</v>
      </c>
      <c r="U85" s="85">
        <f t="shared" si="29"/>
        <v>0.26362514356089273</v>
      </c>
      <c r="V85" s="85">
        <f t="shared" si="29"/>
        <v>0.12493573477798259</v>
      </c>
      <c r="W85" s="85">
        <f t="shared" si="29"/>
        <v>1.4354476649387786E-2</v>
      </c>
      <c r="X85" s="85">
        <f t="shared" si="29"/>
        <v>0.15536733422202173</v>
      </c>
      <c r="Y85" s="85">
        <f t="shared" si="29"/>
        <v>1.3817958704630751E-2</v>
      </c>
      <c r="Z85" s="85">
        <f t="shared" si="29"/>
        <v>-8.3287630471311005E-3</v>
      </c>
      <c r="AA85" s="85">
        <f t="shared" si="29"/>
        <v>-1.2188121002711787E-2</v>
      </c>
      <c r="AB85" s="85">
        <f t="shared" si="29"/>
        <v>-3.1284801532260841E-2</v>
      </c>
      <c r="AC85" s="85">
        <f t="shared" si="29"/>
        <v>2.2878729102347561E-5</v>
      </c>
    </row>
    <row r="86" spans="1:34">
      <c r="P86" s="57" t="s">
        <v>19</v>
      </c>
      <c r="Q86" s="85">
        <f>CORREL($J$28:$J$47,Q53:Q72)</f>
        <v>0.68395268472203707</v>
      </c>
      <c r="R86" s="85">
        <f t="shared" ref="R86:AC86" si="30">CORREL($J$28:$J$47,R53:R72)</f>
        <v>-1.0587100608493718E-2</v>
      </c>
      <c r="S86" s="85">
        <f t="shared" si="30"/>
        <v>-0.51737346418594532</v>
      </c>
      <c r="T86" s="85">
        <f t="shared" si="30"/>
        <v>5.4692920850562328E-2</v>
      </c>
      <c r="U86" s="85">
        <f t="shared" si="30"/>
        <v>0.17344760200028253</v>
      </c>
      <c r="V86" s="85">
        <f t="shared" si="30"/>
        <v>-3.7519264706767246E-2</v>
      </c>
      <c r="W86" s="85">
        <f t="shared" si="30"/>
        <v>0.47178081364209284</v>
      </c>
      <c r="X86" s="85">
        <f t="shared" si="30"/>
        <v>-8.3640128930814725E-2</v>
      </c>
      <c r="Y86" s="85">
        <f t="shared" si="30"/>
        <v>-1.8523976749082276E-2</v>
      </c>
      <c r="Z86" s="85">
        <f t="shared" si="30"/>
        <v>-3.7577553539513402E-3</v>
      </c>
      <c r="AA86" s="85">
        <f t="shared" si="30"/>
        <v>-1.7965502053208554E-3</v>
      </c>
      <c r="AB86" s="85">
        <f t="shared" si="30"/>
        <v>2.2275772629328037E-3</v>
      </c>
      <c r="AC86" s="85">
        <f t="shared" si="30"/>
        <v>-6.0299013149165548E-6</v>
      </c>
    </row>
    <row r="87" spans="1:34">
      <c r="P87" s="57" t="s">
        <v>20</v>
      </c>
      <c r="Q87" s="85">
        <f>CORREL($K$28:$K$47,Q53:Q72)</f>
        <v>-8.4692548929163447E-2</v>
      </c>
      <c r="R87" s="85">
        <f t="shared" ref="R87:AC87" si="31">CORREL($K$28:$K$47,R53:R72)</f>
        <v>0.47865887510269228</v>
      </c>
      <c r="S87" s="85">
        <f t="shared" si="31"/>
        <v>0.80746522406582433</v>
      </c>
      <c r="T87" s="85">
        <f t="shared" si="31"/>
        <v>0.14642719826067002</v>
      </c>
      <c r="U87" s="85">
        <f t="shared" si="31"/>
        <v>-6.9379349348739433E-2</v>
      </c>
      <c r="V87" s="85">
        <f t="shared" si="31"/>
        <v>-0.20608476343979923</v>
      </c>
      <c r="W87" s="85">
        <f t="shared" si="31"/>
        <v>8.9973496877522346E-2</v>
      </c>
      <c r="X87" s="85">
        <f t="shared" si="31"/>
        <v>-0.17632993233158073</v>
      </c>
      <c r="Y87" s="85">
        <f t="shared" si="31"/>
        <v>4.6742404814056747E-2</v>
      </c>
      <c r="Z87" s="85">
        <f t="shared" si="31"/>
        <v>2.9027032511545824E-2</v>
      </c>
      <c r="AA87" s="85">
        <f t="shared" si="31"/>
        <v>1.1053550556868858E-3</v>
      </c>
      <c r="AB87" s="85">
        <f t="shared" si="31"/>
        <v>-2.7772270967177961E-2</v>
      </c>
      <c r="AC87" s="85">
        <f t="shared" si="31"/>
        <v>8.9435294473785651E-6</v>
      </c>
    </row>
    <row r="88" spans="1:34">
      <c r="P88" s="57" t="s">
        <v>21</v>
      </c>
      <c r="Q88" s="85">
        <f>CORREL($L$28:$L$47,Q53:Q72)</f>
        <v>0.4975111894351551</v>
      </c>
      <c r="R88" s="85">
        <f t="shared" ref="R88:AC88" si="32">CORREL($L$28:$L$47,R53:R72)</f>
        <v>0.41193985572077058</v>
      </c>
      <c r="S88" s="85">
        <f t="shared" si="32"/>
        <v>0.6814678458651765</v>
      </c>
      <c r="T88" s="85">
        <f t="shared" si="32"/>
        <v>-0.32404190808462102</v>
      </c>
      <c r="U88" s="85">
        <f t="shared" si="32"/>
        <v>1.8188845140897605E-2</v>
      </c>
      <c r="V88" s="85">
        <f t="shared" si="32"/>
        <v>2.9624314811741957E-2</v>
      </c>
      <c r="W88" s="85">
        <f t="shared" si="32"/>
        <v>8.7551934405820458E-2</v>
      </c>
      <c r="X88" s="85">
        <f t="shared" si="32"/>
        <v>3.4581006856297308E-2</v>
      </c>
      <c r="Y88" s="85">
        <f t="shared" si="32"/>
        <v>2.8353851859605643E-2</v>
      </c>
      <c r="Z88" s="85">
        <f t="shared" si="32"/>
        <v>2.9809469395543839E-2</v>
      </c>
      <c r="AA88" s="85">
        <f t="shared" si="32"/>
        <v>2.2354549866053057E-2</v>
      </c>
      <c r="AB88" s="85">
        <f t="shared" si="32"/>
        <v>3.3531148847250294E-2</v>
      </c>
      <c r="AC88" s="85">
        <f t="shared" si="32"/>
        <v>-5.9828935703176754E-4</v>
      </c>
    </row>
    <row r="89" spans="1:34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P89" s="57" t="s">
        <v>22</v>
      </c>
      <c r="Q89" s="85">
        <f>CORREL($M$28:$M$47,Q53:Q72)</f>
        <v>0.89308088296249677</v>
      </c>
      <c r="R89" s="85">
        <f t="shared" ref="R89:AC89" si="33">CORREL($M$28:$M$47,R53:R72)</f>
        <v>-0.21176706876323234</v>
      </c>
      <c r="S89" s="85">
        <f t="shared" si="33"/>
        <v>0.14516352374270355</v>
      </c>
      <c r="T89" s="85">
        <f t="shared" si="33"/>
        <v>0.15725592333484156</v>
      </c>
      <c r="U89" s="85">
        <f t="shared" si="33"/>
        <v>-0.31665465309325852</v>
      </c>
      <c r="V89" s="85">
        <f t="shared" si="33"/>
        <v>-7.4687690407688363E-3</v>
      </c>
      <c r="W89" s="85">
        <f t="shared" si="33"/>
        <v>-6.2261478080457108E-2</v>
      </c>
      <c r="X89" s="85">
        <f t="shared" si="33"/>
        <v>-2.6570961563810482E-2</v>
      </c>
      <c r="Y89" s="85">
        <f t="shared" si="33"/>
        <v>-5.5572522470567091E-2</v>
      </c>
      <c r="Z89" s="85">
        <f t="shared" si="33"/>
        <v>-5.398757067865536E-2</v>
      </c>
      <c r="AA89" s="85">
        <f t="shared" si="33"/>
        <v>-2.9067258029889076E-2</v>
      </c>
      <c r="AB89" s="85">
        <f t="shared" si="33"/>
        <v>9.8272596365496924E-4</v>
      </c>
      <c r="AC89" s="85">
        <f t="shared" si="33"/>
        <v>-1.4412668962931806E-3</v>
      </c>
    </row>
    <row r="90" spans="1:34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P90" s="57" t="s">
        <v>23</v>
      </c>
      <c r="Q90" s="85">
        <f>CORREL($N$28:$N$47,Q53:Q72)</f>
        <v>0.90131043593780646</v>
      </c>
      <c r="R90" s="85">
        <f t="shared" ref="R90:AC90" si="34">CORREL($N$28:$N$47,R53:R72)</f>
        <v>-4.1717932930173403E-2</v>
      </c>
      <c r="S90" s="85">
        <f t="shared" si="34"/>
        <v>0.34004262661472306</v>
      </c>
      <c r="T90" s="85">
        <f t="shared" si="34"/>
        <v>2.4952592009145402E-2</v>
      </c>
      <c r="U90" s="85">
        <f t="shared" si="34"/>
        <v>-0.25674179668192915</v>
      </c>
      <c r="V90" s="85">
        <f t="shared" si="34"/>
        <v>1.5606606636760171E-3</v>
      </c>
      <c r="W90" s="85">
        <f t="shared" si="34"/>
        <v>-2.130703019121781E-2</v>
      </c>
      <c r="X90" s="85">
        <f t="shared" si="34"/>
        <v>-1.1634811735794469E-2</v>
      </c>
      <c r="Y90" s="85">
        <f t="shared" si="34"/>
        <v>-3.6342559036184351E-2</v>
      </c>
      <c r="Z90" s="85">
        <f t="shared" si="34"/>
        <v>-3.788229751194723E-2</v>
      </c>
      <c r="AA90" s="85">
        <f t="shared" si="34"/>
        <v>-1.5017369673775028E-2</v>
      </c>
      <c r="AB90" s="85">
        <f t="shared" si="34"/>
        <v>1.2444415427958414E-2</v>
      </c>
      <c r="AC90" s="85">
        <f t="shared" si="34"/>
        <v>1.7644367771814558E-3</v>
      </c>
    </row>
    <row r="91" spans="1:34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Q91" s="4"/>
      <c r="R91" s="4"/>
      <c r="S91" s="4"/>
    </row>
    <row r="92" spans="1:34">
      <c r="Q92" s="4"/>
      <c r="R92" s="4"/>
      <c r="S92" s="4"/>
    </row>
    <row r="93" spans="1:34">
      <c r="A93" s="120" t="s">
        <v>201</v>
      </c>
      <c r="B93" s="120"/>
      <c r="C93" s="120"/>
      <c r="D93" s="120"/>
      <c r="E93" s="120"/>
      <c r="F93" s="120"/>
      <c r="G93" s="120"/>
      <c r="H93" s="120"/>
      <c r="I93" s="120"/>
      <c r="J93" s="120"/>
      <c r="K93" s="120"/>
      <c r="L93" s="120"/>
      <c r="M93" s="120"/>
      <c r="N93" s="120"/>
    </row>
    <row r="94" spans="1:34">
      <c r="A94" s="4" t="s">
        <v>2</v>
      </c>
      <c r="B94" s="57" t="s">
        <v>11</v>
      </c>
      <c r="C94" s="57" t="s">
        <v>373</v>
      </c>
      <c r="D94" s="57" t="s">
        <v>374</v>
      </c>
      <c r="E94" s="57" t="s">
        <v>14</v>
      </c>
      <c r="F94" s="57" t="s">
        <v>15</v>
      </c>
      <c r="G94" s="57" t="s">
        <v>16</v>
      </c>
      <c r="H94" s="57" t="s">
        <v>17</v>
      </c>
      <c r="I94" s="57" t="s">
        <v>18</v>
      </c>
      <c r="J94" s="57" t="s">
        <v>19</v>
      </c>
      <c r="K94" s="57" t="s">
        <v>20</v>
      </c>
      <c r="L94" s="57" t="s">
        <v>21</v>
      </c>
      <c r="M94" s="57" t="s">
        <v>22</v>
      </c>
      <c r="N94" s="57" t="s">
        <v>23</v>
      </c>
    </row>
    <row r="95" spans="1:34">
      <c r="A95" s="4" t="s">
        <v>48</v>
      </c>
      <c r="B95" s="4">
        <f>B28</f>
        <v>0.61590349520791399</v>
      </c>
      <c r="C95" s="4">
        <f t="shared" ref="C95:N95" si="35">C28</f>
        <v>0.64662489868942508</v>
      </c>
      <c r="D95" s="4">
        <f t="shared" si="35"/>
        <v>-0.63538492031851512</v>
      </c>
      <c r="E95" s="4">
        <f t="shared" si="35"/>
        <v>-1.2703321044085139</v>
      </c>
      <c r="F95" s="4">
        <f t="shared" si="35"/>
        <v>-1.0593234889578875</v>
      </c>
      <c r="G95" s="4">
        <f t="shared" si="35"/>
        <v>-0.60700554401515383</v>
      </c>
      <c r="H95" s="4">
        <f t="shared" si="35"/>
        <v>-0.53931834185411431</v>
      </c>
      <c r="I95" s="4">
        <f t="shared" si="35"/>
        <v>-0.80226629025302032</v>
      </c>
      <c r="J95" s="4">
        <f t="shared" si="35"/>
        <v>-1.8137677493409201</v>
      </c>
      <c r="K95" s="4">
        <f t="shared" si="35"/>
        <v>2.0634911099667343</v>
      </c>
      <c r="L95" s="4">
        <f t="shared" si="35"/>
        <v>0.62001830401125879</v>
      </c>
      <c r="M95" s="4">
        <f t="shared" si="35"/>
        <v>-0.70361611043623284</v>
      </c>
      <c r="N95" s="4">
        <f t="shared" si="35"/>
        <v>-0.38374241392365177</v>
      </c>
    </row>
    <row r="96" spans="1:34">
      <c r="A96" s="4" t="s">
        <v>49</v>
      </c>
      <c r="B96" s="4">
        <f t="shared" ref="B96:N96" si="36">B29</f>
        <v>0.67718742507934815</v>
      </c>
      <c r="C96" s="4">
        <f t="shared" si="36"/>
        <v>1.4809796066757803</v>
      </c>
      <c r="D96" s="4">
        <f t="shared" si="36"/>
        <v>-0.19718842354712546</v>
      </c>
      <c r="E96" s="4">
        <f t="shared" si="36"/>
        <v>-4.4931360606088974E-2</v>
      </c>
      <c r="F96" s="4">
        <f t="shared" si="36"/>
        <v>-0.47887226213164769</v>
      </c>
      <c r="G96" s="4">
        <f t="shared" si="36"/>
        <v>-9.1970536971993005E-2</v>
      </c>
      <c r="H96" s="4">
        <f t="shared" si="36"/>
        <v>1.239876187973892</v>
      </c>
      <c r="I96" s="4">
        <f t="shared" si="36"/>
        <v>-0.4757625674756284</v>
      </c>
      <c r="J96" s="4">
        <f t="shared" si="36"/>
        <v>-0.7723699985231669</v>
      </c>
      <c r="K96" s="4">
        <f t="shared" si="36"/>
        <v>1.8338954370914369</v>
      </c>
      <c r="L96" s="4">
        <f t="shared" si="36"/>
        <v>0.76133301717621815</v>
      </c>
      <c r="M96" s="4">
        <f t="shared" si="36"/>
        <v>0.75357701768614349</v>
      </c>
      <c r="N96" s="4">
        <f t="shared" si="36"/>
        <v>0.8704681743125674</v>
      </c>
      <c r="AB96" s="9"/>
      <c r="AC96" s="57"/>
      <c r="AD96" s="57"/>
      <c r="AE96" s="57"/>
      <c r="AF96" s="57"/>
      <c r="AG96" s="57"/>
      <c r="AH96" s="57"/>
    </row>
    <row r="97" spans="1:33">
      <c r="A97" s="4" t="s">
        <v>50</v>
      </c>
      <c r="B97" s="4">
        <f t="shared" ref="B97:N97" si="37">B30</f>
        <v>-1.5290340502922815</v>
      </c>
      <c r="C97" s="4">
        <f t="shared" si="37"/>
        <v>-0.60490716329010774</v>
      </c>
      <c r="D97" s="4">
        <f t="shared" si="37"/>
        <v>0.67920456999565393</v>
      </c>
      <c r="E97" s="4">
        <f t="shared" si="37"/>
        <v>-1.4337188702488373</v>
      </c>
      <c r="F97" s="4">
        <f t="shared" si="37"/>
        <v>-1.7641571215326073</v>
      </c>
      <c r="G97" s="4">
        <f t="shared" si="37"/>
        <v>-0.60700554401515383</v>
      </c>
      <c r="H97" s="4">
        <f t="shared" si="37"/>
        <v>0.23907926494563839</v>
      </c>
      <c r="I97" s="4">
        <f t="shared" si="37"/>
        <v>-0.1959022336664353</v>
      </c>
      <c r="J97" s="4">
        <f t="shared" si="37"/>
        <v>-1.3364604468827832</v>
      </c>
      <c r="K97" s="4">
        <f t="shared" si="37"/>
        <v>1.6616986824349635</v>
      </c>
      <c r="L97" s="4">
        <f t="shared" si="37"/>
        <v>1.3619205481272951</v>
      </c>
      <c r="M97" s="4">
        <f t="shared" si="37"/>
        <v>-0.77300625939444123</v>
      </c>
      <c r="N97" s="4">
        <f t="shared" si="37"/>
        <v>-0.19963810739356436</v>
      </c>
      <c r="AB97" s="9"/>
      <c r="AC97" s="57"/>
      <c r="AD97" s="57"/>
      <c r="AE97" s="57"/>
      <c r="AF97" s="57"/>
      <c r="AG97" s="57"/>
    </row>
    <row r="98" spans="1:33">
      <c r="A98" s="4" t="s">
        <v>51</v>
      </c>
      <c r="B98" s="4">
        <f t="shared" ref="B98:N98" si="38">B31</f>
        <v>0.4320517055936115</v>
      </c>
      <c r="C98" s="4">
        <f t="shared" si="38"/>
        <v>1.759097842671232</v>
      </c>
      <c r="D98" s="4">
        <f t="shared" si="38"/>
        <v>-0.19718842354712546</v>
      </c>
      <c r="E98" s="4">
        <f t="shared" si="38"/>
        <v>0.28184217107455767</v>
      </c>
      <c r="F98" s="4">
        <f t="shared" si="38"/>
        <v>0.39180457810771196</v>
      </c>
      <c r="G98" s="4">
        <f t="shared" si="38"/>
        <v>0.79094661795913979</v>
      </c>
      <c r="H98" s="4">
        <f t="shared" si="38"/>
        <v>0.90627721363114078</v>
      </c>
      <c r="I98" s="4">
        <f t="shared" si="38"/>
        <v>-5.5972066761838753E-2</v>
      </c>
      <c r="J98" s="4">
        <f t="shared" si="38"/>
        <v>1.4839917949152985</v>
      </c>
      <c r="K98" s="4">
        <f t="shared" si="38"/>
        <v>0.7433159909337731</v>
      </c>
      <c r="L98" s="4">
        <f t="shared" si="38"/>
        <v>0.44337491255505962</v>
      </c>
      <c r="M98" s="4">
        <f t="shared" si="38"/>
        <v>0.78133307726942691</v>
      </c>
      <c r="N98" s="4">
        <f t="shared" si="38"/>
        <v>0.80142905936378461</v>
      </c>
      <c r="AB98" s="9"/>
      <c r="AC98" s="57"/>
      <c r="AD98" s="57"/>
      <c r="AE98" s="57"/>
    </row>
    <row r="99" spans="1:33">
      <c r="A99" s="4" t="s">
        <v>52</v>
      </c>
      <c r="B99" s="4">
        <f t="shared" ref="B99:N99" si="39">B32</f>
        <v>0.55461956533647983</v>
      </c>
      <c r="C99" s="4">
        <f t="shared" si="39"/>
        <v>-0.88302539928555945</v>
      </c>
      <c r="D99" s="4">
        <f t="shared" si="39"/>
        <v>-0.19718842354712546</v>
      </c>
      <c r="E99" s="4">
        <f t="shared" si="39"/>
        <v>-0.53509165812705894</v>
      </c>
      <c r="F99" s="4">
        <f t="shared" si="39"/>
        <v>1.8657360862272113E-2</v>
      </c>
      <c r="G99" s="4">
        <f t="shared" si="39"/>
        <v>-0.68058197359274819</v>
      </c>
      <c r="H99" s="4">
        <f t="shared" si="39"/>
        <v>-0.53931834185411431</v>
      </c>
      <c r="I99" s="4">
        <f t="shared" si="39"/>
        <v>0.78360893466574055</v>
      </c>
      <c r="J99" s="4">
        <f t="shared" si="39"/>
        <v>0.26902775229458636</v>
      </c>
      <c r="K99" s="4">
        <f t="shared" si="39"/>
        <v>0.57111923627729999</v>
      </c>
      <c r="L99" s="4">
        <f t="shared" si="39"/>
        <v>0.79666169546745791</v>
      </c>
      <c r="M99" s="4">
        <f t="shared" si="39"/>
        <v>-0.67586005085294942</v>
      </c>
      <c r="N99" s="4">
        <f t="shared" si="39"/>
        <v>-0.30319677981673854</v>
      </c>
      <c r="AB99" s="9"/>
      <c r="AC99" s="57"/>
      <c r="AD99" s="57"/>
    </row>
    <row r="100" spans="1:33">
      <c r="A100" s="4" t="s">
        <v>53</v>
      </c>
      <c r="B100" s="4">
        <f t="shared" ref="B100:N100" si="40">B33</f>
        <v>0.61590349520791399</v>
      </c>
      <c r="C100" s="4">
        <f t="shared" si="40"/>
        <v>0.92474313468487679</v>
      </c>
      <c r="D100" s="4">
        <f t="shared" si="40"/>
        <v>0.24100807322426426</v>
      </c>
      <c r="E100" s="4">
        <f t="shared" si="40"/>
        <v>0.44522893691488102</v>
      </c>
      <c r="F100" s="4">
        <f t="shared" si="40"/>
        <v>1.2624814183470716</v>
      </c>
      <c r="G100" s="4">
        <f t="shared" si="40"/>
        <v>0.42306447007116782</v>
      </c>
      <c r="H100" s="4">
        <f t="shared" si="40"/>
        <v>-0.98411697431111589</v>
      </c>
      <c r="I100" s="4">
        <f t="shared" si="40"/>
        <v>2.1362672147435071</v>
      </c>
      <c r="J100" s="4">
        <f t="shared" si="40"/>
        <v>8.678314590148067E-3</v>
      </c>
      <c r="K100" s="4">
        <f t="shared" si="40"/>
        <v>0.45632139983965431</v>
      </c>
      <c r="L100" s="4">
        <f t="shared" si="40"/>
        <v>1.6798786527484537</v>
      </c>
      <c r="M100" s="4">
        <f t="shared" si="40"/>
        <v>0.67030883893629334</v>
      </c>
      <c r="N100" s="4">
        <f t="shared" si="40"/>
        <v>1.1005985574751767</v>
      </c>
      <c r="AB100" s="9"/>
      <c r="AC100" s="57"/>
    </row>
    <row r="101" spans="1:33">
      <c r="A101" s="4" t="s">
        <v>54</v>
      </c>
      <c r="B101" s="4">
        <f t="shared" ref="B101:N101" si="41">B34</f>
        <v>1.1674588640508214</v>
      </c>
      <c r="C101" s="4">
        <f t="shared" si="41"/>
        <v>0.64662489868942508</v>
      </c>
      <c r="D101" s="4">
        <f t="shared" si="41"/>
        <v>-0.19718842354712546</v>
      </c>
      <c r="E101" s="4">
        <f t="shared" si="41"/>
        <v>1.180469383196336</v>
      </c>
      <c r="F101" s="4">
        <f t="shared" si="41"/>
        <v>1.0551774087662718</v>
      </c>
      <c r="G101" s="4">
        <f t="shared" si="41"/>
        <v>1.3059816250023006</v>
      </c>
      <c r="H101" s="4">
        <f t="shared" si="41"/>
        <v>-0.53931834185411431</v>
      </c>
      <c r="I101" s="4">
        <f t="shared" si="41"/>
        <v>1.2500428243477291</v>
      </c>
      <c r="J101" s="4">
        <f t="shared" si="41"/>
        <v>1.7877328055704766</v>
      </c>
      <c r="K101" s="4">
        <f t="shared" si="41"/>
        <v>0.34152356340200551</v>
      </c>
      <c r="L101" s="4">
        <f t="shared" si="41"/>
        <v>0.93797640863241727</v>
      </c>
      <c r="M101" s="4">
        <f t="shared" si="41"/>
        <v>1.045015643310619</v>
      </c>
      <c r="N101" s="4">
        <f t="shared" si="41"/>
        <v>1.1696376724239594</v>
      </c>
    </row>
    <row r="102" spans="1:33">
      <c r="A102" s="4" t="s">
        <v>55</v>
      </c>
      <c r="B102" s="4">
        <f t="shared" ref="B102:N102" si="42">B35</f>
        <v>-0.91619475157793995</v>
      </c>
      <c r="C102" s="4">
        <f t="shared" si="42"/>
        <v>9.0388426698521623E-2</v>
      </c>
      <c r="D102" s="4">
        <f t="shared" si="42"/>
        <v>-0.63538492031851512</v>
      </c>
      <c r="E102" s="4">
        <f t="shared" si="42"/>
        <v>1.3438561490366594</v>
      </c>
      <c r="F102" s="4">
        <f t="shared" si="42"/>
        <v>0.88933420110163175</v>
      </c>
      <c r="G102" s="4">
        <f t="shared" si="42"/>
        <v>0.5702173292263566</v>
      </c>
      <c r="H102" s="4">
        <f t="shared" si="42"/>
        <v>0.12787960683138799</v>
      </c>
      <c r="I102" s="4">
        <f t="shared" si="42"/>
        <v>-5.5972066761838753E-2</v>
      </c>
      <c r="J102" s="4">
        <f t="shared" si="42"/>
        <v>-0.902544717375386</v>
      </c>
      <c r="K102" s="4">
        <f t="shared" si="42"/>
        <v>0.28412464518318109</v>
      </c>
      <c r="L102" s="4">
        <f t="shared" si="42"/>
        <v>0.40804623426381981</v>
      </c>
      <c r="M102" s="4">
        <f t="shared" si="42"/>
        <v>1.8499413712258375</v>
      </c>
      <c r="N102" s="4">
        <f t="shared" si="42"/>
        <v>1.6529114770654389</v>
      </c>
    </row>
    <row r="103" spans="1:33">
      <c r="A103" s="4" t="s">
        <v>56</v>
      </c>
      <c r="B103" s="4">
        <f t="shared" ref="B103:N103" si="43">B36</f>
        <v>1.6577303030222947</v>
      </c>
      <c r="C103" s="4">
        <f t="shared" si="43"/>
        <v>0.78568401668715093</v>
      </c>
      <c r="D103" s="4">
        <f t="shared" si="43"/>
        <v>0.67920456999565393</v>
      </c>
      <c r="E103" s="4">
        <f t="shared" si="43"/>
        <v>-4.4931360606088974E-2</v>
      </c>
      <c r="F103" s="4">
        <f t="shared" si="43"/>
        <v>-0.39595065829932774</v>
      </c>
      <c r="G103" s="4">
        <f t="shared" si="43"/>
        <v>1.5267109137350838</v>
      </c>
      <c r="H103" s="4">
        <f t="shared" si="43"/>
        <v>1.7958744785451437</v>
      </c>
      <c r="I103" s="4">
        <f t="shared" si="43"/>
        <v>1.2033994353795303</v>
      </c>
      <c r="J103" s="4">
        <f t="shared" si="43"/>
        <v>0.61616033590050412</v>
      </c>
      <c r="K103" s="4">
        <f t="shared" si="43"/>
        <v>5.4528972307883498E-2</v>
      </c>
      <c r="L103" s="4">
        <f t="shared" si="43"/>
        <v>0.62001830401125879</v>
      </c>
      <c r="M103" s="4">
        <f t="shared" si="43"/>
        <v>-0.19012900814549014</v>
      </c>
      <c r="N103" s="4">
        <f t="shared" si="43"/>
        <v>4.1998794927175363E-2</v>
      </c>
    </row>
    <row r="104" spans="1:33">
      <c r="A104" s="4" t="s">
        <v>57</v>
      </c>
      <c r="B104" s="4">
        <f t="shared" ref="B104:N104" si="44">B37</f>
        <v>0.79975528482221647</v>
      </c>
      <c r="C104" s="4">
        <f t="shared" si="44"/>
        <v>-0.18772980929693012</v>
      </c>
      <c r="D104" s="4">
        <f t="shared" si="44"/>
        <v>0.24100807322426426</v>
      </c>
      <c r="E104" s="4">
        <f t="shared" si="44"/>
        <v>-1.1886387214883523</v>
      </c>
      <c r="F104" s="4">
        <f t="shared" si="44"/>
        <v>-0.56179386596396763</v>
      </c>
      <c r="G104" s="4">
        <f t="shared" si="44"/>
        <v>-0.38627625528237064</v>
      </c>
      <c r="H104" s="4">
        <f t="shared" si="44"/>
        <v>0.68387789740263993</v>
      </c>
      <c r="I104" s="4">
        <f t="shared" si="44"/>
        <v>0.31717504498375204</v>
      </c>
      <c r="J104" s="4">
        <f t="shared" si="44"/>
        <v>-0.598803706720208</v>
      </c>
      <c r="K104" s="4">
        <f t="shared" si="44"/>
        <v>-0.11766778234858971</v>
      </c>
      <c r="L104" s="4">
        <f t="shared" si="44"/>
        <v>1.9430773060183669E-2</v>
      </c>
      <c r="M104" s="4">
        <f t="shared" si="44"/>
        <v>-1.3697615404350334</v>
      </c>
      <c r="N104" s="4">
        <f t="shared" si="44"/>
        <v>-1.131666159202132</v>
      </c>
    </row>
    <row r="105" spans="1:33">
      <c r="A105" s="4" t="s">
        <v>58</v>
      </c>
      <c r="B105" s="4">
        <f t="shared" ref="B105:N105" si="45">B38</f>
        <v>-0.73234296196363746</v>
      </c>
      <c r="C105" s="4">
        <f t="shared" si="45"/>
        <v>-0.7439662812878336</v>
      </c>
      <c r="D105" s="4">
        <f t="shared" si="45"/>
        <v>0.67920456999565393</v>
      </c>
      <c r="E105" s="4">
        <f t="shared" si="45"/>
        <v>-0.94355857272786725</v>
      </c>
      <c r="F105" s="4">
        <f t="shared" si="45"/>
        <v>-1.1007842908740475</v>
      </c>
      <c r="G105" s="4">
        <f t="shared" si="45"/>
        <v>-0.97488769190312585</v>
      </c>
      <c r="H105" s="4">
        <f t="shared" si="45"/>
        <v>-9.4519709397112794E-2</v>
      </c>
      <c r="I105" s="4">
        <f t="shared" si="45"/>
        <v>-1.4086303468396053</v>
      </c>
      <c r="J105" s="4">
        <f t="shared" si="45"/>
        <v>-1.076111009178345</v>
      </c>
      <c r="K105" s="4">
        <f t="shared" si="45"/>
        <v>-0.11766778234858971</v>
      </c>
      <c r="L105" s="4">
        <f t="shared" si="45"/>
        <v>-1.1110869322594907</v>
      </c>
      <c r="M105" s="4">
        <f t="shared" si="45"/>
        <v>-0.95342064668578252</v>
      </c>
      <c r="N105" s="4">
        <f t="shared" si="45"/>
        <v>-1.1431726783602623</v>
      </c>
    </row>
    <row r="106" spans="1:33">
      <c r="A106" s="4" t="s">
        <v>59</v>
      </c>
      <c r="B106" s="4">
        <f t="shared" ref="B106:N106" si="46">B39</f>
        <v>-1.4064661905494131</v>
      </c>
      <c r="C106" s="4">
        <f t="shared" si="46"/>
        <v>-0.46584804529238188</v>
      </c>
      <c r="D106" s="4">
        <f t="shared" si="46"/>
        <v>-1.073581417089905</v>
      </c>
      <c r="E106" s="4">
        <f t="shared" si="46"/>
        <v>-0.61678504104722065</v>
      </c>
      <c r="F106" s="4">
        <f t="shared" si="46"/>
        <v>-0.60325466788012772</v>
      </c>
      <c r="G106" s="4">
        <f t="shared" si="46"/>
        <v>-1.5634991285238811</v>
      </c>
      <c r="H106" s="4">
        <f t="shared" si="46"/>
        <v>-0.76171765808261516</v>
      </c>
      <c r="I106" s="4">
        <f t="shared" si="46"/>
        <v>-1.7351340696169975</v>
      </c>
      <c r="J106" s="4">
        <f t="shared" si="46"/>
        <v>0.26902775229458636</v>
      </c>
      <c r="K106" s="4">
        <f t="shared" si="46"/>
        <v>-0.40466237344271172</v>
      </c>
      <c r="L106" s="4">
        <f t="shared" si="46"/>
        <v>-1.6410171066280883</v>
      </c>
      <c r="M106" s="4">
        <f t="shared" si="46"/>
        <v>-0.7174941402278745</v>
      </c>
      <c r="N106" s="4">
        <f t="shared" si="46"/>
        <v>-1.131666159202132</v>
      </c>
    </row>
    <row r="107" spans="1:33">
      <c r="A107" s="4" t="s">
        <v>60</v>
      </c>
      <c r="B107" s="4">
        <f t="shared" ref="B107:N107" si="47">B40</f>
        <v>0.79975528482221647</v>
      </c>
      <c r="C107" s="4">
        <f t="shared" si="47"/>
        <v>-4.8670691299204254E-2</v>
      </c>
      <c r="D107" s="4">
        <f t="shared" si="47"/>
        <v>2.4319905570812126</v>
      </c>
      <c r="E107" s="4">
        <f t="shared" si="47"/>
        <v>-1.5154122531689989</v>
      </c>
      <c r="F107" s="4">
        <f t="shared" si="47"/>
        <v>-1.7641571215326073</v>
      </c>
      <c r="G107" s="4">
        <f t="shared" si="47"/>
        <v>1.3795580545798951</v>
      </c>
      <c r="H107" s="4">
        <f t="shared" si="47"/>
        <v>0.35027892305988878</v>
      </c>
      <c r="I107" s="4">
        <f t="shared" si="47"/>
        <v>0.22388826704735434</v>
      </c>
      <c r="J107" s="4">
        <f t="shared" si="47"/>
        <v>-0.64219527967094769</v>
      </c>
      <c r="K107" s="4">
        <f t="shared" si="47"/>
        <v>-0.57685912809918494</v>
      </c>
      <c r="L107" s="4">
        <f t="shared" si="47"/>
        <v>-0.26319865326973496</v>
      </c>
      <c r="M107" s="4">
        <f t="shared" si="47"/>
        <v>-1.5362978979347337</v>
      </c>
      <c r="N107" s="4">
        <f t="shared" si="47"/>
        <v>-1.3617965423647398</v>
      </c>
    </row>
    <row r="108" spans="1:33">
      <c r="A108" s="4" t="s">
        <v>61</v>
      </c>
      <c r="B108" s="4">
        <f t="shared" ref="B108:N108" si="48">B41</f>
        <v>-1.2226144009351108</v>
      </c>
      <c r="C108" s="4">
        <f t="shared" si="48"/>
        <v>-0.32678892729465597</v>
      </c>
      <c r="D108" s="4">
        <f t="shared" si="48"/>
        <v>-0.63538492031851512</v>
      </c>
      <c r="E108" s="4">
        <f t="shared" si="48"/>
        <v>-0.20831812644641232</v>
      </c>
      <c r="F108" s="4">
        <f t="shared" si="48"/>
        <v>-0.85201947937708755</v>
      </c>
      <c r="G108" s="4">
        <f t="shared" si="48"/>
        <v>-1.1956169806359092</v>
      </c>
      <c r="H108" s="4">
        <f t="shared" si="48"/>
        <v>-0.76171765808261516</v>
      </c>
      <c r="I108" s="4">
        <f t="shared" si="48"/>
        <v>-1.1287700130304124</v>
      </c>
      <c r="J108" s="4">
        <f t="shared" si="48"/>
        <v>-0.5120205608187286</v>
      </c>
      <c r="K108" s="4">
        <f t="shared" si="48"/>
        <v>-0.74905588275565815</v>
      </c>
      <c r="L108" s="4">
        <f t="shared" si="48"/>
        <v>-1.1464156105507306</v>
      </c>
      <c r="M108" s="4">
        <f t="shared" si="48"/>
        <v>-0.34278733585354876</v>
      </c>
      <c r="N108" s="4">
        <f t="shared" si="48"/>
        <v>-0.64839235456065247</v>
      </c>
    </row>
    <row r="109" spans="1:33">
      <c r="A109" s="4" t="s">
        <v>62</v>
      </c>
      <c r="B109" s="4">
        <f t="shared" ref="B109:N109" si="49">B42</f>
        <v>0.4320517055936115</v>
      </c>
      <c r="C109" s="4">
        <f t="shared" si="49"/>
        <v>-2.2736165792628182</v>
      </c>
      <c r="D109" s="4">
        <f t="shared" si="49"/>
        <v>-1.073581417089905</v>
      </c>
      <c r="E109" s="4">
        <f t="shared" si="49"/>
        <v>1.0987760002761744</v>
      </c>
      <c r="F109" s="4">
        <f t="shared" si="49"/>
        <v>0.88933420110163175</v>
      </c>
      <c r="G109" s="4">
        <f t="shared" si="49"/>
        <v>-1.4163462693686923</v>
      </c>
      <c r="H109" s="4">
        <f t="shared" si="49"/>
        <v>-0.87291731619686552</v>
      </c>
      <c r="I109" s="4">
        <f t="shared" si="49"/>
        <v>0.17724487807915551</v>
      </c>
      <c r="J109" s="4">
        <f t="shared" si="49"/>
        <v>9.5461460491627501E-2</v>
      </c>
      <c r="K109" s="4">
        <f t="shared" si="49"/>
        <v>-0.80645480097448252</v>
      </c>
      <c r="L109" s="4">
        <f t="shared" si="49"/>
        <v>-0.40451336643469427</v>
      </c>
      <c r="M109" s="4">
        <f t="shared" si="49"/>
        <v>7.355355789570206E-2</v>
      </c>
      <c r="N109" s="4">
        <f t="shared" si="49"/>
        <v>-6.155987749599881E-2</v>
      </c>
    </row>
    <row r="110" spans="1:33">
      <c r="A110" s="4" t="s">
        <v>63</v>
      </c>
      <c r="B110" s="4">
        <f t="shared" ref="B110:N110" si="50">B43</f>
        <v>0.73847135495078231</v>
      </c>
      <c r="C110" s="4">
        <f t="shared" si="50"/>
        <v>-0.46584804529238188</v>
      </c>
      <c r="D110" s="4">
        <f t="shared" si="50"/>
        <v>2.4319905570812126</v>
      </c>
      <c r="E110" s="4">
        <f t="shared" si="50"/>
        <v>0.52692231983504267</v>
      </c>
      <c r="F110" s="4">
        <f t="shared" si="50"/>
        <v>0.88933420110163175</v>
      </c>
      <c r="G110" s="4">
        <f t="shared" si="50"/>
        <v>1.894593061623056</v>
      </c>
      <c r="H110" s="4">
        <f t="shared" si="50"/>
        <v>2.5742720853448966</v>
      </c>
      <c r="I110" s="4">
        <f t="shared" si="50"/>
        <v>-0.42911917850742953</v>
      </c>
      <c r="J110" s="4">
        <f t="shared" si="50"/>
        <v>1.3104255031123397</v>
      </c>
      <c r="K110" s="4">
        <f t="shared" si="50"/>
        <v>-0.80645480097448252</v>
      </c>
      <c r="L110" s="4">
        <f t="shared" si="50"/>
        <v>-1.0757582539682511</v>
      </c>
      <c r="M110" s="4">
        <f t="shared" si="50"/>
        <v>0.17069976643719392</v>
      </c>
      <c r="N110" s="4">
        <f t="shared" si="50"/>
        <v>-0.19963810739356436</v>
      </c>
    </row>
    <row r="111" spans="1:33">
      <c r="A111" s="4" t="s">
        <v>64</v>
      </c>
      <c r="B111" s="4">
        <f t="shared" ref="B111:N111" si="51">B44</f>
        <v>-1.8354536996494524</v>
      </c>
      <c r="C111" s="4">
        <f t="shared" si="51"/>
        <v>-1.5783209892741887</v>
      </c>
      <c r="D111" s="4">
        <f t="shared" si="51"/>
        <v>-0.63538492031851512</v>
      </c>
      <c r="E111" s="4">
        <f t="shared" si="51"/>
        <v>2.0790965953181142</v>
      </c>
      <c r="F111" s="4">
        <f t="shared" si="51"/>
        <v>0.97225580493395181</v>
      </c>
      <c r="G111" s="4">
        <f t="shared" si="51"/>
        <v>-0.23912339612718181</v>
      </c>
      <c r="H111" s="4">
        <f t="shared" si="51"/>
        <v>-0.87291731619686552</v>
      </c>
      <c r="I111" s="4">
        <f t="shared" si="51"/>
        <v>1.2966862133159278</v>
      </c>
      <c r="J111" s="4">
        <f t="shared" si="51"/>
        <v>1.093467638358641</v>
      </c>
      <c r="K111" s="4">
        <f t="shared" si="51"/>
        <v>-1.0360504738497802</v>
      </c>
      <c r="L111" s="4">
        <f t="shared" si="51"/>
        <v>0.86731905204993753</v>
      </c>
      <c r="M111" s="4">
        <f t="shared" si="51"/>
        <v>2.1691360564335964</v>
      </c>
      <c r="N111" s="4">
        <f t="shared" si="51"/>
        <v>2.0786526859162646</v>
      </c>
    </row>
    <row r="112" spans="1:33">
      <c r="A112" s="4" t="s">
        <v>65</v>
      </c>
      <c r="B112" s="4">
        <f t="shared" ref="B112:N112" si="52">B45</f>
        <v>-0.73234296196363746</v>
      </c>
      <c r="C112" s="4">
        <f t="shared" si="52"/>
        <v>-4.8670691299204254E-2</v>
      </c>
      <c r="D112" s="4">
        <f t="shared" si="52"/>
        <v>-0.19718842354712546</v>
      </c>
      <c r="E112" s="4">
        <f t="shared" si="52"/>
        <v>3.676202231407269E-2</v>
      </c>
      <c r="F112" s="4">
        <f t="shared" si="52"/>
        <v>0.14303976661075207</v>
      </c>
      <c r="G112" s="4">
        <f t="shared" si="52"/>
        <v>0.2023351813383846</v>
      </c>
      <c r="H112" s="4">
        <f t="shared" si="52"/>
        <v>-0.20571936751136319</v>
      </c>
      <c r="I112" s="4">
        <f t="shared" si="52"/>
        <v>-0.66233612334842384</v>
      </c>
      <c r="J112" s="4">
        <f t="shared" si="52"/>
        <v>-0.5120205608187286</v>
      </c>
      <c r="K112" s="4">
        <f t="shared" si="52"/>
        <v>-1.0360504738497802</v>
      </c>
      <c r="L112" s="4">
        <f t="shared" si="52"/>
        <v>-1.0404295756770112</v>
      </c>
      <c r="M112" s="4">
        <f t="shared" si="52"/>
        <v>-0.20400703793713182</v>
      </c>
      <c r="N112" s="4">
        <f t="shared" si="52"/>
        <v>-0.5103141246630869</v>
      </c>
    </row>
    <row r="113" spans="1:30">
      <c r="A113" s="4" t="s">
        <v>66</v>
      </c>
      <c r="B113" s="4">
        <f t="shared" ref="B113:N113" si="53">B46</f>
        <v>-0.24207152299216422</v>
      </c>
      <c r="C113" s="4">
        <f t="shared" si="53"/>
        <v>1.2028613706803286</v>
      </c>
      <c r="D113" s="4">
        <f t="shared" si="53"/>
        <v>-1.073581417089905</v>
      </c>
      <c r="E113" s="4">
        <f t="shared" si="53"/>
        <v>0.85369585151568939</v>
      </c>
      <c r="F113" s="4">
        <f t="shared" si="53"/>
        <v>1.4283246260117115</v>
      </c>
      <c r="G113" s="4">
        <f t="shared" si="53"/>
        <v>-0.16554696654958742</v>
      </c>
      <c r="H113" s="4">
        <f t="shared" si="53"/>
        <v>-0.76171765808261516</v>
      </c>
      <c r="I113" s="4">
        <f t="shared" si="53"/>
        <v>0.50374860085654749</v>
      </c>
      <c r="J113" s="4">
        <f t="shared" si="53"/>
        <v>1.093467638358641</v>
      </c>
      <c r="K113" s="4">
        <f t="shared" si="53"/>
        <v>-1.0934493920686046</v>
      </c>
      <c r="L113" s="4">
        <f t="shared" si="53"/>
        <v>-0.22786997497849512</v>
      </c>
      <c r="M113" s="4">
        <f t="shared" si="53"/>
        <v>0.57316263039480153</v>
      </c>
      <c r="N113" s="4">
        <f t="shared" si="53"/>
        <v>0.39870088882921845</v>
      </c>
    </row>
    <row r="114" spans="1:30">
      <c r="A114" s="4" t="s">
        <v>67</v>
      </c>
      <c r="B114" s="4">
        <f t="shared" ref="B114:N114" si="54">B47</f>
        <v>0.12563205623644072</v>
      </c>
      <c r="C114" s="4">
        <f t="shared" si="54"/>
        <v>9.0388426698521623E-2</v>
      </c>
      <c r="D114" s="4">
        <f t="shared" si="54"/>
        <v>-0.63538492031851512</v>
      </c>
      <c r="E114" s="4">
        <f t="shared" si="54"/>
        <v>-4.4931360606088974E-2</v>
      </c>
      <c r="F114" s="4">
        <f t="shared" si="54"/>
        <v>0.64056938960467191</v>
      </c>
      <c r="G114" s="4">
        <f t="shared" si="54"/>
        <v>-0.16554696654958742</v>
      </c>
      <c r="H114" s="4">
        <f t="shared" si="54"/>
        <v>-0.98411697431111589</v>
      </c>
      <c r="I114" s="4">
        <f t="shared" si="54"/>
        <v>-0.94219645715761691</v>
      </c>
      <c r="J114" s="4">
        <f t="shared" si="54"/>
        <v>0.13885303344236721</v>
      </c>
      <c r="K114" s="4">
        <f t="shared" si="54"/>
        <v>-1.2656461467250777</v>
      </c>
      <c r="L114" s="4">
        <f t="shared" si="54"/>
        <v>-1.6056884283368484</v>
      </c>
      <c r="M114" s="4">
        <f t="shared" si="54"/>
        <v>-0.62034793168638269</v>
      </c>
      <c r="N114" s="4">
        <f t="shared" si="54"/>
        <v>-1.0396140059370882</v>
      </c>
      <c r="O114" s="4"/>
    </row>
    <row r="115" spans="1:30" s="4" customFormat="1"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</row>
    <row r="116" spans="1:30">
      <c r="A116" s="120" t="s">
        <v>463</v>
      </c>
      <c r="B116" s="120"/>
      <c r="C116" s="120"/>
      <c r="D116" s="120"/>
      <c r="E116" s="120"/>
      <c r="F116" s="120"/>
      <c r="G116" s="120"/>
      <c r="H116" s="120"/>
      <c r="I116" s="120"/>
      <c r="J116" s="120"/>
      <c r="K116" s="120"/>
      <c r="L116" s="120"/>
      <c r="M116" s="120"/>
      <c r="N116" s="120"/>
      <c r="O116" s="120"/>
      <c r="P116" s="120"/>
      <c r="Q116" s="120"/>
      <c r="R116" s="120"/>
      <c r="S116" s="120"/>
      <c r="T116" s="120"/>
      <c r="U116" s="120"/>
    </row>
    <row r="117" spans="1:30">
      <c r="A117" s="11" t="s">
        <v>462</v>
      </c>
      <c r="B117" s="11" t="s">
        <v>48</v>
      </c>
      <c r="C117" s="11" t="s">
        <v>49</v>
      </c>
      <c r="D117" s="11" t="s">
        <v>50</v>
      </c>
      <c r="E117" s="11" t="s">
        <v>51</v>
      </c>
      <c r="F117" s="11" t="s">
        <v>52</v>
      </c>
      <c r="G117" s="11" t="s">
        <v>53</v>
      </c>
      <c r="H117" s="11" t="s">
        <v>54</v>
      </c>
      <c r="I117" s="11" t="s">
        <v>55</v>
      </c>
      <c r="J117" s="11" t="s">
        <v>56</v>
      </c>
      <c r="K117" s="11" t="s">
        <v>57</v>
      </c>
      <c r="L117" s="11" t="s">
        <v>58</v>
      </c>
      <c r="M117" s="11" t="s">
        <v>59</v>
      </c>
      <c r="N117" s="11" t="s">
        <v>60</v>
      </c>
      <c r="O117" s="11" t="s">
        <v>61</v>
      </c>
      <c r="P117" s="11" t="s">
        <v>62</v>
      </c>
      <c r="Q117" s="11" t="s">
        <v>63</v>
      </c>
      <c r="R117" s="11" t="s">
        <v>64</v>
      </c>
      <c r="S117" s="11" t="s">
        <v>65</v>
      </c>
      <c r="T117" s="11" t="s">
        <v>66</v>
      </c>
      <c r="U117" s="11" t="s">
        <v>67</v>
      </c>
    </row>
    <row r="118" spans="1:30">
      <c r="A118" s="11" t="s">
        <v>11</v>
      </c>
      <c r="B118" s="85">
        <f t="array" ref="B118:U130">TRANSPOSE(B95:N114)</f>
        <v>0.61590349520791399</v>
      </c>
      <c r="C118" s="85">
        <v>0.67718742507934815</v>
      </c>
      <c r="D118" s="85">
        <v>-1.5290340502922815</v>
      </c>
      <c r="E118" s="85">
        <v>0.4320517055936115</v>
      </c>
      <c r="F118" s="85">
        <v>0.55461956533647983</v>
      </c>
      <c r="G118" s="85">
        <v>0.61590349520791399</v>
      </c>
      <c r="H118" s="85">
        <v>1.1674588640508214</v>
      </c>
      <c r="I118" s="85">
        <v>-0.91619475157793995</v>
      </c>
      <c r="J118" s="85">
        <v>1.6577303030222947</v>
      </c>
      <c r="K118" s="85">
        <v>0.79975528482221647</v>
      </c>
      <c r="L118" s="85">
        <v>-0.73234296196363746</v>
      </c>
      <c r="M118" s="85">
        <v>-1.4064661905494131</v>
      </c>
      <c r="N118" s="85">
        <v>0.79975528482221647</v>
      </c>
      <c r="O118" s="85">
        <v>-1.2226144009351108</v>
      </c>
      <c r="P118" s="85">
        <v>0.4320517055936115</v>
      </c>
      <c r="Q118" s="85">
        <v>0.73847135495078231</v>
      </c>
      <c r="R118" s="85">
        <v>-1.8354536996494524</v>
      </c>
      <c r="S118" s="85">
        <v>-0.73234296196363746</v>
      </c>
      <c r="T118" s="85">
        <v>-0.24207152299216422</v>
      </c>
      <c r="U118" s="85">
        <v>0.12563205623644072</v>
      </c>
    </row>
    <row r="119" spans="1:30">
      <c r="A119" s="11" t="s">
        <v>191</v>
      </c>
      <c r="B119" s="85">
        <v>0.64662489868942508</v>
      </c>
      <c r="C119" s="85">
        <v>1.4809796066757803</v>
      </c>
      <c r="D119" s="85">
        <v>-0.60490716329010774</v>
      </c>
      <c r="E119" s="85">
        <v>1.759097842671232</v>
      </c>
      <c r="F119" s="85">
        <v>-0.88302539928555945</v>
      </c>
      <c r="G119" s="85">
        <v>0.92474313468487679</v>
      </c>
      <c r="H119" s="85">
        <v>0.64662489868942508</v>
      </c>
      <c r="I119" s="85">
        <v>9.0388426698521623E-2</v>
      </c>
      <c r="J119" s="85">
        <v>0.78568401668715093</v>
      </c>
      <c r="K119" s="85">
        <v>-0.18772980929693012</v>
      </c>
      <c r="L119" s="85">
        <v>-0.7439662812878336</v>
      </c>
      <c r="M119" s="85">
        <v>-0.46584804529238188</v>
      </c>
      <c r="N119" s="85">
        <v>-4.8670691299204254E-2</v>
      </c>
      <c r="O119" s="85">
        <v>-0.32678892729465597</v>
      </c>
      <c r="P119" s="85">
        <v>-2.2736165792628182</v>
      </c>
      <c r="Q119" s="85">
        <v>-0.46584804529238188</v>
      </c>
      <c r="R119" s="85">
        <v>-1.5783209892741887</v>
      </c>
      <c r="S119" s="85">
        <v>-4.8670691299204254E-2</v>
      </c>
      <c r="T119" s="85">
        <v>1.2028613706803286</v>
      </c>
      <c r="U119" s="85">
        <v>9.0388426698521623E-2</v>
      </c>
    </row>
    <row r="120" spans="1:30">
      <c r="A120" s="11" t="s">
        <v>192</v>
      </c>
      <c r="B120" s="85">
        <v>-0.63538492031851512</v>
      </c>
      <c r="C120" s="85">
        <v>-0.19718842354712546</v>
      </c>
      <c r="D120" s="85">
        <v>0.67920456999565393</v>
      </c>
      <c r="E120" s="85">
        <v>-0.19718842354712546</v>
      </c>
      <c r="F120" s="85">
        <v>-0.19718842354712546</v>
      </c>
      <c r="G120" s="85">
        <v>0.24100807322426426</v>
      </c>
      <c r="H120" s="85">
        <v>-0.19718842354712546</v>
      </c>
      <c r="I120" s="85">
        <v>-0.63538492031851512</v>
      </c>
      <c r="J120" s="85">
        <v>0.67920456999565393</v>
      </c>
      <c r="K120" s="85">
        <v>0.24100807322426426</v>
      </c>
      <c r="L120" s="85">
        <v>0.67920456999565393</v>
      </c>
      <c r="M120" s="85">
        <v>-1.073581417089905</v>
      </c>
      <c r="N120" s="85">
        <v>2.4319905570812126</v>
      </c>
      <c r="O120" s="85">
        <v>-0.63538492031851512</v>
      </c>
      <c r="P120" s="85">
        <v>-1.073581417089905</v>
      </c>
      <c r="Q120" s="85">
        <v>2.4319905570812126</v>
      </c>
      <c r="R120" s="85">
        <v>-0.63538492031851512</v>
      </c>
      <c r="S120" s="85">
        <v>-0.19718842354712546</v>
      </c>
      <c r="T120" s="85">
        <v>-1.073581417089905</v>
      </c>
      <c r="U120" s="85">
        <v>-0.63538492031851512</v>
      </c>
    </row>
    <row r="121" spans="1:30">
      <c r="A121" s="11" t="s">
        <v>14</v>
      </c>
      <c r="B121" s="85">
        <v>-1.2703321044085139</v>
      </c>
      <c r="C121" s="85">
        <v>-4.4931360606088974E-2</v>
      </c>
      <c r="D121" s="85">
        <v>-1.4337188702488373</v>
      </c>
      <c r="E121" s="85">
        <v>0.28184217107455767</v>
      </c>
      <c r="F121" s="85">
        <v>-0.53509165812705894</v>
      </c>
      <c r="G121" s="85">
        <v>0.44522893691488102</v>
      </c>
      <c r="H121" s="85">
        <v>1.180469383196336</v>
      </c>
      <c r="I121" s="85">
        <v>1.3438561490366594</v>
      </c>
      <c r="J121" s="85">
        <v>-4.4931360606088974E-2</v>
      </c>
      <c r="K121" s="85">
        <v>-1.1886387214883523</v>
      </c>
      <c r="L121" s="85">
        <v>-0.94355857272786725</v>
      </c>
      <c r="M121" s="85">
        <v>-0.61678504104722065</v>
      </c>
      <c r="N121" s="85">
        <v>-1.5154122531689989</v>
      </c>
      <c r="O121" s="85">
        <v>-0.20831812644641232</v>
      </c>
      <c r="P121" s="85">
        <v>1.0987760002761744</v>
      </c>
      <c r="Q121" s="85">
        <v>0.52692231983504267</v>
      </c>
      <c r="R121" s="85">
        <v>2.0790965953181142</v>
      </c>
      <c r="S121" s="85">
        <v>3.676202231407269E-2</v>
      </c>
      <c r="T121" s="85">
        <v>0.85369585151568939</v>
      </c>
      <c r="U121" s="85">
        <v>-4.4931360606088974E-2</v>
      </c>
    </row>
    <row r="122" spans="1:30">
      <c r="A122" s="11" t="s">
        <v>15</v>
      </c>
      <c r="B122" s="85">
        <v>-1.0593234889578875</v>
      </c>
      <c r="C122" s="85">
        <v>-0.47887226213164769</v>
      </c>
      <c r="D122" s="85">
        <v>-1.7641571215326073</v>
      </c>
      <c r="E122" s="85">
        <v>0.39180457810771196</v>
      </c>
      <c r="F122" s="85">
        <v>1.8657360862272113E-2</v>
      </c>
      <c r="G122" s="85">
        <v>1.2624814183470716</v>
      </c>
      <c r="H122" s="85">
        <v>1.0551774087662718</v>
      </c>
      <c r="I122" s="85">
        <v>0.88933420110163175</v>
      </c>
      <c r="J122" s="85">
        <v>-0.39595065829932774</v>
      </c>
      <c r="K122" s="85">
        <v>-0.56179386596396763</v>
      </c>
      <c r="L122" s="85">
        <v>-1.1007842908740475</v>
      </c>
      <c r="M122" s="85">
        <v>-0.60325466788012772</v>
      </c>
      <c r="N122" s="85">
        <v>-1.7641571215326073</v>
      </c>
      <c r="O122" s="85">
        <v>-0.85201947937708755</v>
      </c>
      <c r="P122" s="85">
        <v>0.88933420110163175</v>
      </c>
      <c r="Q122" s="85">
        <v>0.88933420110163175</v>
      </c>
      <c r="R122" s="85">
        <v>0.97225580493395181</v>
      </c>
      <c r="S122" s="85">
        <v>0.14303976661075207</v>
      </c>
      <c r="T122" s="85">
        <v>1.4283246260117115</v>
      </c>
      <c r="U122" s="85">
        <v>0.64056938960467191</v>
      </c>
    </row>
    <row r="123" spans="1:30">
      <c r="A123" s="11" t="s">
        <v>16</v>
      </c>
      <c r="B123" s="85">
        <v>-0.60700554401515383</v>
      </c>
      <c r="C123" s="85">
        <v>-9.1970536971993005E-2</v>
      </c>
      <c r="D123" s="85">
        <v>-0.60700554401515383</v>
      </c>
      <c r="E123" s="85">
        <v>0.79094661795913979</v>
      </c>
      <c r="F123" s="85">
        <v>-0.68058197359274819</v>
      </c>
      <c r="G123" s="85">
        <v>0.42306447007116782</v>
      </c>
      <c r="H123" s="85">
        <v>1.3059816250023006</v>
      </c>
      <c r="I123" s="85">
        <v>0.5702173292263566</v>
      </c>
      <c r="J123" s="85">
        <v>1.5267109137350838</v>
      </c>
      <c r="K123" s="85">
        <v>-0.38627625528237064</v>
      </c>
      <c r="L123" s="85">
        <v>-0.97488769190312585</v>
      </c>
      <c r="M123" s="85">
        <v>-1.5634991285238811</v>
      </c>
      <c r="N123" s="85">
        <v>1.3795580545798951</v>
      </c>
      <c r="O123" s="85">
        <v>-1.1956169806359092</v>
      </c>
      <c r="P123" s="85">
        <v>-1.4163462693686923</v>
      </c>
      <c r="Q123" s="85">
        <v>1.894593061623056</v>
      </c>
      <c r="R123" s="85">
        <v>-0.23912339612718181</v>
      </c>
      <c r="S123" s="85">
        <v>0.2023351813383846</v>
      </c>
      <c r="T123" s="85">
        <v>-0.16554696654958742</v>
      </c>
      <c r="U123" s="85">
        <v>-0.16554696654958742</v>
      </c>
    </row>
    <row r="124" spans="1:30">
      <c r="A124" s="11" t="s">
        <v>17</v>
      </c>
      <c r="B124" s="85">
        <v>-0.53931834185411431</v>
      </c>
      <c r="C124" s="85">
        <v>1.239876187973892</v>
      </c>
      <c r="D124" s="85">
        <v>0.23907926494563839</v>
      </c>
      <c r="E124" s="85">
        <v>0.90627721363114078</v>
      </c>
      <c r="F124" s="85">
        <v>-0.53931834185411431</v>
      </c>
      <c r="G124" s="85">
        <v>-0.98411697431111589</v>
      </c>
      <c r="H124" s="85">
        <v>-0.53931834185411431</v>
      </c>
      <c r="I124" s="85">
        <v>0.12787960683138799</v>
      </c>
      <c r="J124" s="85">
        <v>1.7958744785451437</v>
      </c>
      <c r="K124" s="85">
        <v>0.68387789740263993</v>
      </c>
      <c r="L124" s="85">
        <v>-9.4519709397112794E-2</v>
      </c>
      <c r="M124" s="85">
        <v>-0.76171765808261516</v>
      </c>
      <c r="N124" s="85">
        <v>0.35027892305988878</v>
      </c>
      <c r="O124" s="85">
        <v>-0.76171765808261516</v>
      </c>
      <c r="P124" s="85">
        <v>-0.87291731619686552</v>
      </c>
      <c r="Q124" s="85">
        <v>2.5742720853448966</v>
      </c>
      <c r="R124" s="85">
        <v>-0.87291731619686552</v>
      </c>
      <c r="S124" s="85">
        <v>-0.20571936751136319</v>
      </c>
      <c r="T124" s="85">
        <v>-0.76171765808261516</v>
      </c>
      <c r="U124" s="85">
        <v>-0.98411697431111589</v>
      </c>
    </row>
    <row r="125" spans="1:30">
      <c r="A125" s="11" t="s">
        <v>18</v>
      </c>
      <c r="B125" s="85">
        <v>-0.80226629025302032</v>
      </c>
      <c r="C125" s="85">
        <v>-0.4757625674756284</v>
      </c>
      <c r="D125" s="85">
        <v>-0.1959022336664353</v>
      </c>
      <c r="E125" s="85">
        <v>-5.5972066761838753E-2</v>
      </c>
      <c r="F125" s="85">
        <v>0.78360893466574055</v>
      </c>
      <c r="G125" s="85">
        <v>2.1362672147435071</v>
      </c>
      <c r="H125" s="85">
        <v>1.2500428243477291</v>
      </c>
      <c r="I125" s="85">
        <v>-5.5972066761838753E-2</v>
      </c>
      <c r="J125" s="85">
        <v>1.2033994353795303</v>
      </c>
      <c r="K125" s="85">
        <v>0.31717504498375204</v>
      </c>
      <c r="L125" s="85">
        <v>-1.4086303468396053</v>
      </c>
      <c r="M125" s="85">
        <v>-1.7351340696169975</v>
      </c>
      <c r="N125" s="85">
        <v>0.22388826704735434</v>
      </c>
      <c r="O125" s="85">
        <v>-1.1287700130304124</v>
      </c>
      <c r="P125" s="85">
        <v>0.17724487807915551</v>
      </c>
      <c r="Q125" s="85">
        <v>-0.42911917850742953</v>
      </c>
      <c r="R125" s="85">
        <v>1.2966862133159278</v>
      </c>
      <c r="S125" s="85">
        <v>-0.66233612334842384</v>
      </c>
      <c r="T125" s="85">
        <v>0.50374860085654749</v>
      </c>
      <c r="U125" s="85">
        <v>-0.94219645715761691</v>
      </c>
    </row>
    <row r="126" spans="1:30">
      <c r="A126" s="11" t="s">
        <v>19</v>
      </c>
      <c r="B126" s="85">
        <v>-1.8137677493409201</v>
      </c>
      <c r="C126" s="85">
        <v>-0.7723699985231669</v>
      </c>
      <c r="D126" s="85">
        <v>-1.3364604468827832</v>
      </c>
      <c r="E126" s="85">
        <v>1.4839917949152985</v>
      </c>
      <c r="F126" s="85">
        <v>0.26902775229458636</v>
      </c>
      <c r="G126" s="85">
        <v>8.678314590148067E-3</v>
      </c>
      <c r="H126" s="85">
        <v>1.7877328055704766</v>
      </c>
      <c r="I126" s="85">
        <v>-0.902544717375386</v>
      </c>
      <c r="J126" s="85">
        <v>0.61616033590050412</v>
      </c>
      <c r="K126" s="85">
        <v>-0.598803706720208</v>
      </c>
      <c r="L126" s="85">
        <v>-1.076111009178345</v>
      </c>
      <c r="M126" s="85">
        <v>0.26902775229458636</v>
      </c>
      <c r="N126" s="85">
        <v>-0.64219527967094769</v>
      </c>
      <c r="O126" s="85">
        <v>-0.5120205608187286</v>
      </c>
      <c r="P126" s="85">
        <v>9.5461460491627501E-2</v>
      </c>
      <c r="Q126" s="85">
        <v>1.3104255031123397</v>
      </c>
      <c r="R126" s="85">
        <v>1.093467638358641</v>
      </c>
      <c r="S126" s="85">
        <v>-0.5120205608187286</v>
      </c>
      <c r="T126" s="85">
        <v>1.093467638358641</v>
      </c>
      <c r="U126" s="85">
        <v>0.13885303344236721</v>
      </c>
    </row>
    <row r="127" spans="1:30">
      <c r="A127" s="11" t="s">
        <v>20</v>
      </c>
      <c r="B127" s="85">
        <v>2.0634911099667343</v>
      </c>
      <c r="C127" s="85">
        <v>1.8338954370914369</v>
      </c>
      <c r="D127" s="85">
        <v>1.6616986824349635</v>
      </c>
      <c r="E127" s="85">
        <v>0.7433159909337731</v>
      </c>
      <c r="F127" s="85">
        <v>0.57111923627729999</v>
      </c>
      <c r="G127" s="85">
        <v>0.45632139983965431</v>
      </c>
      <c r="H127" s="85">
        <v>0.34152356340200551</v>
      </c>
      <c r="I127" s="85">
        <v>0.28412464518318109</v>
      </c>
      <c r="J127" s="85">
        <v>5.4528972307883498E-2</v>
      </c>
      <c r="K127" s="85">
        <v>-0.11766778234858971</v>
      </c>
      <c r="L127" s="85">
        <v>-0.11766778234858971</v>
      </c>
      <c r="M127" s="85">
        <v>-0.40466237344271172</v>
      </c>
      <c r="N127" s="85">
        <v>-0.57685912809918494</v>
      </c>
      <c r="O127" s="85">
        <v>-0.74905588275565815</v>
      </c>
      <c r="P127" s="85">
        <v>-0.80645480097448252</v>
      </c>
      <c r="Q127" s="85">
        <v>-0.80645480097448252</v>
      </c>
      <c r="R127" s="85">
        <v>-1.0360504738497802</v>
      </c>
      <c r="S127" s="85">
        <v>-1.0360504738497802</v>
      </c>
      <c r="T127" s="85">
        <v>-1.0934493920686046</v>
      </c>
      <c r="U127" s="85">
        <v>-1.2656461467250777</v>
      </c>
    </row>
    <row r="128" spans="1:30">
      <c r="A128" s="11" t="s">
        <v>21</v>
      </c>
      <c r="B128" s="85">
        <v>0.62001830401125879</v>
      </c>
      <c r="C128" s="85">
        <v>0.76133301717621815</v>
      </c>
      <c r="D128" s="85">
        <v>1.3619205481272951</v>
      </c>
      <c r="E128" s="85">
        <v>0.44337491255505962</v>
      </c>
      <c r="F128" s="85">
        <v>0.79666169546745791</v>
      </c>
      <c r="G128" s="85">
        <v>1.6798786527484537</v>
      </c>
      <c r="H128" s="85">
        <v>0.93797640863241727</v>
      </c>
      <c r="I128" s="85">
        <v>0.40804623426381981</v>
      </c>
      <c r="J128" s="85">
        <v>0.62001830401125879</v>
      </c>
      <c r="K128" s="85">
        <v>1.9430773060183669E-2</v>
      </c>
      <c r="L128" s="85">
        <v>-1.1110869322594907</v>
      </c>
      <c r="M128" s="85">
        <v>-1.6410171066280883</v>
      </c>
      <c r="N128" s="85">
        <v>-0.26319865326973496</v>
      </c>
      <c r="O128" s="85">
        <v>-1.1464156105507306</v>
      </c>
      <c r="P128" s="85">
        <v>-0.40451336643469427</v>
      </c>
      <c r="Q128" s="85">
        <v>-1.0757582539682511</v>
      </c>
      <c r="R128" s="85">
        <v>0.86731905204993753</v>
      </c>
      <c r="S128" s="85">
        <v>-1.0404295756770112</v>
      </c>
      <c r="T128" s="85">
        <v>-0.22786997497849512</v>
      </c>
      <c r="U128" s="85">
        <v>-1.6056884283368484</v>
      </c>
    </row>
    <row r="129" spans="1:21">
      <c r="A129" s="11" t="s">
        <v>22</v>
      </c>
      <c r="B129" s="85">
        <v>-0.70361611043623284</v>
      </c>
      <c r="C129" s="85">
        <v>0.75357701768614349</v>
      </c>
      <c r="D129" s="85">
        <v>-0.77300625939444123</v>
      </c>
      <c r="E129" s="85">
        <v>0.78133307726942691</v>
      </c>
      <c r="F129" s="85">
        <v>-0.67586005085294942</v>
      </c>
      <c r="G129" s="85">
        <v>0.67030883893629334</v>
      </c>
      <c r="H129" s="85">
        <v>1.045015643310619</v>
      </c>
      <c r="I129" s="85">
        <v>1.8499413712258375</v>
      </c>
      <c r="J129" s="85">
        <v>-0.19012900814549014</v>
      </c>
      <c r="K129" s="85">
        <v>-1.3697615404350334</v>
      </c>
      <c r="L129" s="85">
        <v>-0.95342064668578252</v>
      </c>
      <c r="M129" s="85">
        <v>-0.7174941402278745</v>
      </c>
      <c r="N129" s="85">
        <v>-1.5362978979347337</v>
      </c>
      <c r="O129" s="85">
        <v>-0.34278733585354876</v>
      </c>
      <c r="P129" s="85">
        <v>7.355355789570206E-2</v>
      </c>
      <c r="Q129" s="85">
        <v>0.17069976643719392</v>
      </c>
      <c r="R129" s="85">
        <v>2.1691360564335964</v>
      </c>
      <c r="S129" s="85">
        <v>-0.20400703793713182</v>
      </c>
      <c r="T129" s="85">
        <v>0.57316263039480153</v>
      </c>
      <c r="U129" s="85">
        <v>-0.62034793168638269</v>
      </c>
    </row>
    <row r="130" spans="1:21">
      <c r="A130" s="11" t="s">
        <v>23</v>
      </c>
      <c r="B130" s="85">
        <v>-0.38374241392365177</v>
      </c>
      <c r="C130" s="85">
        <v>0.8704681743125674</v>
      </c>
      <c r="D130" s="85">
        <v>-0.19963810739356436</v>
      </c>
      <c r="E130" s="85">
        <v>0.80142905936378461</v>
      </c>
      <c r="F130" s="85">
        <v>-0.30319677981673854</v>
      </c>
      <c r="G130" s="85">
        <v>1.1005985574751767</v>
      </c>
      <c r="H130" s="85">
        <v>1.1696376724239594</v>
      </c>
      <c r="I130" s="85">
        <v>1.6529114770654389</v>
      </c>
      <c r="J130" s="85">
        <v>4.1998794927175363E-2</v>
      </c>
      <c r="K130" s="85">
        <v>-1.131666159202132</v>
      </c>
      <c r="L130" s="85">
        <v>-1.1431726783602623</v>
      </c>
      <c r="M130" s="85">
        <v>-1.131666159202132</v>
      </c>
      <c r="N130" s="85">
        <v>-1.3617965423647398</v>
      </c>
      <c r="O130" s="85">
        <v>-0.64839235456065247</v>
      </c>
      <c r="P130" s="85">
        <v>-6.155987749599881E-2</v>
      </c>
      <c r="Q130" s="85">
        <v>-0.19963810739356436</v>
      </c>
      <c r="R130" s="85">
        <v>2.0786526859162646</v>
      </c>
      <c r="S130" s="85">
        <v>-0.5103141246630869</v>
      </c>
      <c r="T130" s="85">
        <v>0.39870088882921845</v>
      </c>
      <c r="U130" s="85">
        <v>-1.0396140059370882</v>
      </c>
    </row>
    <row r="132" spans="1:21">
      <c r="A132" s="120" t="s">
        <v>464</v>
      </c>
      <c r="B132" s="120"/>
      <c r="C132" s="120"/>
      <c r="D132" s="120"/>
      <c r="E132" s="120"/>
      <c r="F132" s="120"/>
      <c r="G132" s="120"/>
      <c r="H132" s="120"/>
      <c r="I132" s="120"/>
      <c r="J132" s="120"/>
      <c r="K132" s="120"/>
      <c r="L132" s="120"/>
      <c r="M132" s="120"/>
      <c r="N132" s="120"/>
    </row>
    <row r="133" spans="1:21">
      <c r="A133" s="4"/>
      <c r="B133" s="57" t="s">
        <v>11</v>
      </c>
      <c r="C133" s="57" t="s">
        <v>373</v>
      </c>
      <c r="D133" s="57" t="s">
        <v>374</v>
      </c>
      <c r="E133" s="57" t="s">
        <v>14</v>
      </c>
      <c r="F133" s="57" t="s">
        <v>15</v>
      </c>
      <c r="G133" s="57" t="s">
        <v>16</v>
      </c>
      <c r="H133" s="57" t="s">
        <v>17</v>
      </c>
      <c r="I133" s="57" t="s">
        <v>18</v>
      </c>
      <c r="J133" s="57" t="s">
        <v>19</v>
      </c>
      <c r="K133" s="57" t="s">
        <v>20</v>
      </c>
      <c r="L133" s="57" t="s">
        <v>21</v>
      </c>
      <c r="M133" s="57" t="s">
        <v>22</v>
      </c>
      <c r="N133" s="57" t="s">
        <v>23</v>
      </c>
    </row>
    <row r="134" spans="1:21">
      <c r="A134" s="57" t="s">
        <v>11</v>
      </c>
      <c r="B134" s="85">
        <f t="array" ref="B134:N146">MMULT(B118:U130,B28:N47)/19</f>
        <v>1</v>
      </c>
      <c r="C134" s="85">
        <v>0.41459964130007526</v>
      </c>
      <c r="D134" s="85">
        <v>0.3483298796062857</v>
      </c>
      <c r="E134" s="85">
        <v>-0.10472789823598268</v>
      </c>
      <c r="F134" s="85">
        <v>0.11374453841943369</v>
      </c>
      <c r="G134" s="85">
        <v>0.55348622511452239</v>
      </c>
      <c r="H134" s="85">
        <v>0.42604753800625023</v>
      </c>
      <c r="I134" s="85">
        <v>0.40127184231983476</v>
      </c>
      <c r="J134" s="85">
        <v>0.22670431910582661</v>
      </c>
      <c r="K134" s="85">
        <v>0.20829005632815184</v>
      </c>
      <c r="L134" s="85">
        <v>0.24288212019075459</v>
      </c>
      <c r="M134" s="85">
        <v>-0.17074015421274014</v>
      </c>
      <c r="N134" s="85">
        <v>-6.2115732745551024E-2</v>
      </c>
    </row>
    <row r="135" spans="1:21">
      <c r="A135" s="57" t="s">
        <v>373</v>
      </c>
      <c r="B135" s="85">
        <v>0.41459964130007526</v>
      </c>
      <c r="C135" s="85">
        <v>1.0000000000000009</v>
      </c>
      <c r="D135" s="85">
        <v>1.5554516263210796E-2</v>
      </c>
      <c r="E135" s="85">
        <v>-7.5844347893421468E-2</v>
      </c>
      <c r="F135" s="85">
        <v>7.0141890183891886E-2</v>
      </c>
      <c r="G135" s="85">
        <v>0.45570444036054991</v>
      </c>
      <c r="H135" s="85">
        <v>0.27756670850334286</v>
      </c>
      <c r="I135" s="85">
        <v>0.12037000398941038</v>
      </c>
      <c r="J135" s="85">
        <v>0.11667838659419245</v>
      </c>
      <c r="K135" s="85">
        <v>0.39978530712158827</v>
      </c>
      <c r="L135" s="85">
        <v>0.26964669711771327</v>
      </c>
      <c r="M135" s="85">
        <v>0.1512507540952592</v>
      </c>
      <c r="N135" s="85">
        <v>0.21193144438907843</v>
      </c>
    </row>
    <row r="136" spans="1:21">
      <c r="A136" s="57" t="s">
        <v>374</v>
      </c>
      <c r="B136" s="85">
        <v>0.3483298796062857</v>
      </c>
      <c r="C136" s="85">
        <v>1.5554516263210796E-2</v>
      </c>
      <c r="D136" s="85">
        <v>0.99999999999999978</v>
      </c>
      <c r="E136" s="85">
        <v>-0.37107198371991573</v>
      </c>
      <c r="F136" s="85">
        <v>-0.34801240256747912</v>
      </c>
      <c r="G136" s="85">
        <v>0.63421310342557702</v>
      </c>
      <c r="H136" s="85">
        <v>0.6676922483399127</v>
      </c>
      <c r="I136" s="85">
        <v>9.5955583799588143E-2</v>
      </c>
      <c r="J136" s="85">
        <v>-2.5218615182191657E-2</v>
      </c>
      <c r="K136" s="85">
        <v>1.2642191927509734E-2</v>
      </c>
      <c r="L136" s="85">
        <v>1.8699301331100659E-2</v>
      </c>
      <c r="M136" s="85">
        <v>-0.34448987025227168</v>
      </c>
      <c r="N136" s="85">
        <v>-0.27841770555024031</v>
      </c>
    </row>
    <row r="137" spans="1:21">
      <c r="A137" s="57" t="s">
        <v>14</v>
      </c>
      <c r="B137" s="85">
        <v>-0.10472789823598268</v>
      </c>
      <c r="C137" s="85">
        <v>-7.5844347893421468E-2</v>
      </c>
      <c r="D137" s="85">
        <v>-0.37107198371991573</v>
      </c>
      <c r="E137" s="85">
        <v>0.99999999999999967</v>
      </c>
      <c r="F137" s="85">
        <v>0.87421249778251942</v>
      </c>
      <c r="G137" s="85">
        <v>0.20950478942530984</v>
      </c>
      <c r="H137" s="85">
        <v>-0.14790636095903389</v>
      </c>
      <c r="I137" s="85">
        <v>0.43234639751916298</v>
      </c>
      <c r="J137" s="85">
        <v>0.63269161205071822</v>
      </c>
      <c r="K137" s="85">
        <v>-0.3708223654201887</v>
      </c>
      <c r="L137" s="85">
        <v>0.13717420963325377</v>
      </c>
      <c r="M137" s="85">
        <v>0.90194045370391074</v>
      </c>
      <c r="N137" s="85">
        <v>0.79213603593773063</v>
      </c>
    </row>
    <row r="138" spans="1:21">
      <c r="A138" s="57" t="s">
        <v>15</v>
      </c>
      <c r="B138" s="85">
        <v>0.11374453841943369</v>
      </c>
      <c r="C138" s="85">
        <v>7.0141890183891886E-2</v>
      </c>
      <c r="D138" s="85">
        <v>-0.34801240256747912</v>
      </c>
      <c r="E138" s="85">
        <v>0.87421249778251942</v>
      </c>
      <c r="F138" s="85">
        <v>0.99999999999999889</v>
      </c>
      <c r="G138" s="85">
        <v>0.24039040419727709</v>
      </c>
      <c r="H138" s="85">
        <v>-0.17795034942865146</v>
      </c>
      <c r="I138" s="85">
        <v>0.47103022523676957</v>
      </c>
      <c r="J138" s="85">
        <v>0.67920743339808409</v>
      </c>
      <c r="K138" s="85">
        <v>-0.38910440932546725</v>
      </c>
      <c r="L138" s="85">
        <v>8.7349527873384819E-2</v>
      </c>
      <c r="M138" s="85">
        <v>0.72019069152979254</v>
      </c>
      <c r="N138" s="85">
        <v>0.62516569785480558</v>
      </c>
    </row>
    <row r="139" spans="1:21">
      <c r="A139" s="57" t="s">
        <v>16</v>
      </c>
      <c r="B139" s="85">
        <v>0.55348622511452239</v>
      </c>
      <c r="C139" s="85">
        <v>0.45570444036054991</v>
      </c>
      <c r="D139" s="85">
        <v>0.63421310342557702</v>
      </c>
      <c r="E139" s="85">
        <v>0.20950478942530984</v>
      </c>
      <c r="F139" s="85">
        <v>0.24039040419727709</v>
      </c>
      <c r="G139" s="85">
        <v>1</v>
      </c>
      <c r="H139" s="85">
        <v>0.62256078510621238</v>
      </c>
      <c r="I139" s="85">
        <v>0.45264348333366522</v>
      </c>
      <c r="J139" s="85">
        <v>0.42646374816388316</v>
      </c>
      <c r="K139" s="85">
        <v>-2.161615399417403E-2</v>
      </c>
      <c r="L139" s="85">
        <v>0.24840970038526597</v>
      </c>
      <c r="M139" s="85">
        <v>0.25556955079691096</v>
      </c>
      <c r="N139" s="85">
        <v>0.29191287199794719</v>
      </c>
    </row>
    <row r="140" spans="1:21">
      <c r="A140" s="57" t="s">
        <v>17</v>
      </c>
      <c r="B140" s="85">
        <v>0.42604753800625023</v>
      </c>
      <c r="C140" s="85">
        <v>0.27756670850334286</v>
      </c>
      <c r="D140" s="85">
        <v>0.6676922483399127</v>
      </c>
      <c r="E140" s="85">
        <v>-0.14790636095903389</v>
      </c>
      <c r="F140" s="85">
        <v>-0.17795034942865146</v>
      </c>
      <c r="G140" s="85">
        <v>0.62256078510621238</v>
      </c>
      <c r="H140" s="85">
        <v>0.99999999999999978</v>
      </c>
      <c r="I140" s="85">
        <v>-2.1129095650908251E-2</v>
      </c>
      <c r="J140" s="85">
        <v>0.10752416988791114</v>
      </c>
      <c r="K140" s="85">
        <v>0.20295433792511608</v>
      </c>
      <c r="L140" s="85">
        <v>4.5147160132187419E-2</v>
      </c>
      <c r="M140" s="85">
        <v>-5.2949107915994963E-2</v>
      </c>
      <c r="N140" s="85">
        <v>-2.8213437972145271E-2</v>
      </c>
    </row>
    <row r="141" spans="1:21">
      <c r="A141" s="57" t="s">
        <v>18</v>
      </c>
      <c r="B141" s="85">
        <v>0.40127184231983476</v>
      </c>
      <c r="C141" s="85">
        <v>0.12037000398941038</v>
      </c>
      <c r="D141" s="85">
        <v>9.5955583799588143E-2</v>
      </c>
      <c r="E141" s="85">
        <v>0.43234639751916298</v>
      </c>
      <c r="F141" s="85">
        <v>0.47103022523676957</v>
      </c>
      <c r="G141" s="85">
        <v>0.45264348333366522</v>
      </c>
      <c r="H141" s="85">
        <v>-2.1129095650908251E-2</v>
      </c>
      <c r="I141" s="85">
        <v>1</v>
      </c>
      <c r="J141" s="85">
        <v>0.43064969815678333</v>
      </c>
      <c r="K141" s="85">
        <v>3.8862833841291924E-2</v>
      </c>
      <c r="L141" s="85">
        <v>0.74805419147716334</v>
      </c>
      <c r="M141" s="85">
        <v>0.42880411116318823</v>
      </c>
      <c r="N141" s="85">
        <v>0.59748043190575562</v>
      </c>
    </row>
    <row r="142" spans="1:21">
      <c r="A142" s="57" t="s">
        <v>19</v>
      </c>
      <c r="B142" s="85">
        <v>0.22670431910582661</v>
      </c>
      <c r="C142" s="85">
        <v>0.11667838659419245</v>
      </c>
      <c r="D142" s="85">
        <v>-2.5218615182191657E-2</v>
      </c>
      <c r="E142" s="85">
        <v>0.63269161205071822</v>
      </c>
      <c r="F142" s="85">
        <v>0.67920743339808409</v>
      </c>
      <c r="G142" s="85">
        <v>0.42646374816388316</v>
      </c>
      <c r="H142" s="85">
        <v>0.10752416988791114</v>
      </c>
      <c r="I142" s="85">
        <v>0.43064969815678333</v>
      </c>
      <c r="J142" s="85">
        <v>0.99999999999999867</v>
      </c>
      <c r="K142" s="85">
        <v>-0.42089014252335361</v>
      </c>
      <c r="L142" s="85">
        <v>5.470271435052995E-3</v>
      </c>
      <c r="M142" s="85">
        <v>0.46605667257450417</v>
      </c>
      <c r="N142" s="85">
        <v>0.3895323989677078</v>
      </c>
    </row>
    <row r="143" spans="1:21">
      <c r="A143" s="57" t="s">
        <v>20</v>
      </c>
      <c r="B143" s="85">
        <v>0.20829005632815184</v>
      </c>
      <c r="C143" s="85">
        <v>0.39978530712158827</v>
      </c>
      <c r="D143" s="85">
        <v>1.2642191927509734E-2</v>
      </c>
      <c r="E143" s="85">
        <v>-0.3708223654201887</v>
      </c>
      <c r="F143" s="85">
        <v>-0.38910440932546725</v>
      </c>
      <c r="G143" s="85">
        <v>-2.161615399417403E-2</v>
      </c>
      <c r="H143" s="85">
        <v>0.20295433792511608</v>
      </c>
      <c r="I143" s="85">
        <v>3.8862833841291924E-2</v>
      </c>
      <c r="J143" s="85">
        <v>-0.42089014252335361</v>
      </c>
      <c r="K143" s="85">
        <v>1.0000000000000002</v>
      </c>
      <c r="L143" s="85">
        <v>0.65355292816485222</v>
      </c>
      <c r="M143" s="85">
        <v>-1.8392702928175363E-2</v>
      </c>
      <c r="N143" s="85">
        <v>0.1963883019990865</v>
      </c>
    </row>
    <row r="144" spans="1:21">
      <c r="A144" s="57" t="s">
        <v>21</v>
      </c>
      <c r="B144" s="85">
        <v>0.24288212019075459</v>
      </c>
      <c r="C144" s="85">
        <v>0.26964669711771327</v>
      </c>
      <c r="D144" s="85">
        <v>1.8699301331100659E-2</v>
      </c>
      <c r="E144" s="85">
        <v>0.13717420963325377</v>
      </c>
      <c r="F144" s="85">
        <v>8.7349527873384819E-2</v>
      </c>
      <c r="G144" s="85">
        <v>0.24840970038526597</v>
      </c>
      <c r="H144" s="85">
        <v>4.5147160132187419E-2</v>
      </c>
      <c r="I144" s="85">
        <v>0.74805419147716334</v>
      </c>
      <c r="J144" s="85">
        <v>5.470271435052995E-3</v>
      </c>
      <c r="K144" s="85">
        <v>0.65355292816485222</v>
      </c>
      <c r="L144" s="85">
        <v>1.0000000000000002</v>
      </c>
      <c r="M144" s="85">
        <v>0.38889739071473112</v>
      </c>
      <c r="N144" s="85">
        <v>0.64589857066519674</v>
      </c>
    </row>
    <row r="145" spans="1:14">
      <c r="A145" s="57" t="s">
        <v>22</v>
      </c>
      <c r="B145" s="85">
        <v>-0.17074015421274014</v>
      </c>
      <c r="C145" s="85">
        <v>0.1512507540952592</v>
      </c>
      <c r="D145" s="85">
        <v>-0.34448987025227168</v>
      </c>
      <c r="E145" s="85">
        <v>0.90194045370391074</v>
      </c>
      <c r="F145" s="85">
        <v>0.72019069152979254</v>
      </c>
      <c r="G145" s="85">
        <v>0.25556955079691096</v>
      </c>
      <c r="H145" s="85">
        <v>-5.2949107915994963E-2</v>
      </c>
      <c r="I145" s="85">
        <v>0.42880411116318823</v>
      </c>
      <c r="J145" s="85">
        <v>0.46605667257450417</v>
      </c>
      <c r="K145" s="85">
        <v>-1.8392702928175363E-2</v>
      </c>
      <c r="L145" s="85">
        <v>0.38889739071473112</v>
      </c>
      <c r="M145" s="85">
        <v>0.99999999999998435</v>
      </c>
      <c r="N145" s="85">
        <v>0.9544969378588406</v>
      </c>
    </row>
    <row r="146" spans="1:14">
      <c r="A146" s="57" t="s">
        <v>23</v>
      </c>
      <c r="B146" s="85">
        <v>-6.2115732745551024E-2</v>
      </c>
      <c r="C146" s="85">
        <v>0.21193144438907843</v>
      </c>
      <c r="D146" s="85">
        <v>-0.27841770555024031</v>
      </c>
      <c r="E146" s="85">
        <v>0.79213603593773063</v>
      </c>
      <c r="F146" s="85">
        <v>0.62516569785480558</v>
      </c>
      <c r="G146" s="85">
        <v>0.29191287199794719</v>
      </c>
      <c r="H146" s="85">
        <v>-2.8213437972145271E-2</v>
      </c>
      <c r="I146" s="85">
        <v>0.59748043190575562</v>
      </c>
      <c r="J146" s="85">
        <v>0.3895323989677078</v>
      </c>
      <c r="K146" s="85">
        <v>0.1963883019990865</v>
      </c>
      <c r="L146" s="85">
        <v>0.64589857066519674</v>
      </c>
      <c r="M146" s="85">
        <v>0.9544969378588406</v>
      </c>
      <c r="N146" s="85">
        <v>0.99999999999999967</v>
      </c>
    </row>
  </sheetData>
  <mergeCells count="9">
    <mergeCell ref="A132:N132"/>
    <mergeCell ref="A116:U116"/>
    <mergeCell ref="A93:N93"/>
    <mergeCell ref="A26:N26"/>
    <mergeCell ref="P51:AC51"/>
    <mergeCell ref="A51:N51"/>
    <mergeCell ref="P76:AC76"/>
    <mergeCell ref="P32:AC32"/>
    <mergeCell ref="P26:AC26"/>
  </mergeCells>
  <phoneticPr fontId="1" type="noConversion"/>
  <conditionalFormatting sqref="Q78:AC90">
    <cfRule type="cellIs" dxfId="5" priority="1" operator="lessThanOrEqual">
      <formula>-0.5</formula>
    </cfRule>
    <cfRule type="cellIs" dxfId="4" priority="2" operator="greaterThanOrEqual">
      <formula>0.5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35"/>
  <sheetViews>
    <sheetView zoomScale="55" zoomScaleNormal="55" workbookViewId="0">
      <selection activeCell="X21" sqref="X21"/>
    </sheetView>
  </sheetViews>
  <sheetFormatPr defaultRowHeight="17.399999999999999"/>
  <cols>
    <col min="1" max="1" width="10.69921875" style="3" bestFit="1" customWidth="1"/>
    <col min="2" max="2" width="10.09765625" style="3" bestFit="1" customWidth="1"/>
    <col min="3" max="7" width="8.796875" style="3"/>
    <col min="8" max="24" width="8.796875" style="2"/>
    <col min="25" max="27" width="14.296875" style="2" customWidth="1"/>
    <col min="28" max="16384" width="8.796875" style="2"/>
  </cols>
  <sheetData>
    <row r="1" spans="1:31">
      <c r="A1" s="121" t="s">
        <v>200</v>
      </c>
      <c r="B1" s="121"/>
      <c r="C1" s="121"/>
      <c r="E1" s="121" t="s">
        <v>201</v>
      </c>
      <c r="F1" s="121"/>
      <c r="G1" s="121"/>
      <c r="I1" s="121" t="s">
        <v>202</v>
      </c>
      <c r="J1" s="121"/>
      <c r="K1" s="121"/>
      <c r="M1" s="121" t="s">
        <v>203</v>
      </c>
      <c r="N1" s="121"/>
      <c r="O1" s="121"/>
      <c r="Q1" s="121" t="s">
        <v>204</v>
      </c>
      <c r="R1" s="121"/>
      <c r="U1" s="121" t="s">
        <v>205</v>
      </c>
      <c r="V1" s="121"/>
    </row>
    <row r="2" spans="1:31">
      <c r="B2" s="3" t="s">
        <v>206</v>
      </c>
      <c r="C2" s="3" t="s">
        <v>207</v>
      </c>
      <c r="F2" s="3" t="s">
        <v>206</v>
      </c>
      <c r="G2" s="3" t="s">
        <v>207</v>
      </c>
      <c r="J2" s="2" t="s">
        <v>206</v>
      </c>
      <c r="K2" s="2" t="s">
        <v>207</v>
      </c>
      <c r="L2" s="11"/>
      <c r="M2" s="3"/>
      <c r="N2" s="4" t="s">
        <v>193</v>
      </c>
      <c r="O2" s="4" t="s">
        <v>194</v>
      </c>
      <c r="P2" s="3"/>
      <c r="Q2" s="3"/>
      <c r="R2" s="4" t="s">
        <v>208</v>
      </c>
      <c r="U2" s="2" t="s">
        <v>209</v>
      </c>
      <c r="V2" s="85">
        <f>MAX(R3:R17)</f>
        <v>2.7792310326459071</v>
      </c>
      <c r="AC2" s="3"/>
      <c r="AD2" s="3"/>
      <c r="AE2" s="3"/>
    </row>
    <row r="3" spans="1:31">
      <c r="A3" s="3" t="s">
        <v>210</v>
      </c>
      <c r="B3" s="4">
        <v>25</v>
      </c>
      <c r="C3" s="3">
        <v>72</v>
      </c>
      <c r="E3" s="3" t="s">
        <v>210</v>
      </c>
      <c r="F3" s="85">
        <f t="shared" ref="F3:F17" si="0">(B3-B$18)/B$19</f>
        <v>0.4219749866406094</v>
      </c>
      <c r="G3" s="85">
        <f t="shared" ref="G3:G17" si="1">(C3-C$18)/C$19</f>
        <v>0.55455511967084081</v>
      </c>
      <c r="I3" s="3" t="s">
        <v>206</v>
      </c>
      <c r="J3" s="87">
        <f>CORREL(F3:F17,F3:F17)</f>
        <v>1</v>
      </c>
      <c r="K3" s="87">
        <f>CORREL(F3:F17,G3:G17)</f>
        <v>-0.76956694762113542</v>
      </c>
      <c r="L3" s="11"/>
      <c r="M3" s="3" t="s">
        <v>210</v>
      </c>
      <c r="N3" s="85">
        <f t="array" ref="N3:O17">MMULT(F3:G17,J17:K18)</f>
        <v>7.0474167398008769E-2</v>
      </c>
      <c r="O3" s="85">
        <v>1.4384615341294165</v>
      </c>
      <c r="P3" s="3"/>
      <c r="Q3" s="3" t="s">
        <v>210</v>
      </c>
      <c r="R3" s="85">
        <f>SUMSQ(N3:O3)/2</f>
        <v>1.0370690967201985</v>
      </c>
      <c r="S3" s="3"/>
      <c r="T3" s="3"/>
      <c r="U3" s="3" t="s">
        <v>211</v>
      </c>
      <c r="V3" s="85">
        <f>AVERAGE(R3:R17)</f>
        <v>1</v>
      </c>
      <c r="AC3" s="12"/>
      <c r="AD3" s="13"/>
      <c r="AE3" s="13"/>
    </row>
    <row r="4" spans="1:31">
      <c r="A4" s="3" t="s">
        <v>214</v>
      </c>
      <c r="B4" s="4">
        <v>23.9</v>
      </c>
      <c r="C4" s="3">
        <v>72</v>
      </c>
      <c r="E4" s="3" t="s">
        <v>214</v>
      </c>
      <c r="F4" s="85">
        <f t="shared" si="0"/>
        <v>-0.99896119286347951</v>
      </c>
      <c r="G4" s="85">
        <f t="shared" si="1"/>
        <v>0.55455511967084081</v>
      </c>
      <c r="I4" s="3" t="s">
        <v>207</v>
      </c>
      <c r="J4" s="87">
        <f>CORREL(G3:G17,F3:F17)</f>
        <v>-0.76956694762113542</v>
      </c>
      <c r="K4" s="87">
        <f>CORREL(G3:G17,G3:G17)</f>
        <v>1</v>
      </c>
      <c r="L4" s="11"/>
      <c r="M4" s="3" t="s">
        <v>214</v>
      </c>
      <c r="N4" s="85">
        <v>0.82578562988857707</v>
      </c>
      <c r="O4" s="85">
        <v>-0.65462502148113988</v>
      </c>
      <c r="P4" s="3"/>
      <c r="Q4" s="3" t="s">
        <v>214</v>
      </c>
      <c r="R4" s="85">
        <f t="shared" ref="R4:R17" si="2">SUMSQ(N4:O4)/2</f>
        <v>0.5552279126398284</v>
      </c>
      <c r="S4" s="3"/>
      <c r="T4" s="3"/>
      <c r="U4" s="3" t="s">
        <v>215</v>
      </c>
      <c r="V4" s="87">
        <f>_xlfn.STDEV.S(R3:R17)</f>
        <v>0.69541595492252095</v>
      </c>
      <c r="AC4" s="12"/>
      <c r="AD4" s="13"/>
      <c r="AE4" s="13"/>
    </row>
    <row r="5" spans="1:31">
      <c r="A5" s="3" t="s">
        <v>217</v>
      </c>
      <c r="B5" s="4">
        <v>23.2</v>
      </c>
      <c r="C5" s="3">
        <v>74</v>
      </c>
      <c r="E5" s="3" t="s">
        <v>217</v>
      </c>
      <c r="F5" s="85">
        <f t="shared" si="0"/>
        <v>-1.9031933070933522</v>
      </c>
      <c r="G5" s="85">
        <f t="shared" si="1"/>
        <v>1.3467767192006102</v>
      </c>
      <c r="H5" s="3"/>
      <c r="I5" s="3"/>
      <c r="J5" s="3"/>
      <c r="K5" s="3"/>
      <c r="L5" s="3"/>
      <c r="M5" s="3" t="s">
        <v>217</v>
      </c>
      <c r="N5" s="85">
        <v>1.7275509266484546</v>
      </c>
      <c r="O5" s="85">
        <v>-0.81962025897845536</v>
      </c>
      <c r="P5" s="3"/>
      <c r="Q5" s="3" t="s">
        <v>217</v>
      </c>
      <c r="R5" s="85">
        <f t="shared" si="2"/>
        <v>1.8281047865459223</v>
      </c>
      <c r="S5" s="3"/>
      <c r="T5" s="3"/>
      <c r="U5" s="3"/>
      <c r="V5" s="3"/>
      <c r="AC5" s="12"/>
      <c r="AD5" s="13"/>
      <c r="AE5" s="13"/>
    </row>
    <row r="6" spans="1:31">
      <c r="A6" s="3" t="s">
        <v>220</v>
      </c>
      <c r="B6" s="4">
        <v>24.7</v>
      </c>
      <c r="C6" s="3">
        <v>72</v>
      </c>
      <c r="E6" s="3" t="s">
        <v>220</v>
      </c>
      <c r="F6" s="85">
        <f t="shared" si="0"/>
        <v>3.4446937684948359E-2</v>
      </c>
      <c r="G6" s="85">
        <f t="shared" si="1"/>
        <v>0.55455511967084081</v>
      </c>
      <c r="H6" s="3"/>
      <c r="I6" s="121" t="s">
        <v>549</v>
      </c>
      <c r="J6" s="121"/>
      <c r="K6" s="121"/>
      <c r="L6" s="3"/>
      <c r="M6" s="3" t="s">
        <v>220</v>
      </c>
      <c r="N6" s="85">
        <v>0.27646820262270944</v>
      </c>
      <c r="O6" s="85">
        <v>0.86761974623562776</v>
      </c>
      <c r="P6" s="3"/>
      <c r="Q6" s="3" t="s">
        <v>220</v>
      </c>
      <c r="R6" s="85">
        <f t="shared" si="2"/>
        <v>0.41459934555970335</v>
      </c>
      <c r="S6" s="3"/>
      <c r="T6" s="3"/>
      <c r="U6" s="4"/>
      <c r="V6" s="3"/>
      <c r="AC6" s="12"/>
      <c r="AD6" s="13"/>
      <c r="AE6" s="13"/>
    </row>
    <row r="7" spans="1:31">
      <c r="A7" s="3" t="s">
        <v>222</v>
      </c>
      <c r="B7" s="4">
        <v>24.4</v>
      </c>
      <c r="C7" s="3">
        <v>73</v>
      </c>
      <c r="E7" s="3" t="s">
        <v>222</v>
      </c>
      <c r="F7" s="85">
        <f t="shared" si="0"/>
        <v>-0.35308111127071268</v>
      </c>
      <c r="G7" s="85">
        <f t="shared" si="1"/>
        <v>0.95066591943572543</v>
      </c>
      <c r="H7" s="3"/>
      <c r="I7" s="9"/>
      <c r="J7" s="9" t="s">
        <v>193</v>
      </c>
      <c r="K7" s="9" t="s">
        <v>194</v>
      </c>
      <c r="L7" s="3"/>
      <c r="M7" s="3" t="s">
        <v>222</v>
      </c>
      <c r="N7" s="85">
        <v>0.69301851179853213</v>
      </c>
      <c r="O7" s="85">
        <v>0.88026242546926603</v>
      </c>
      <c r="P7" s="3"/>
      <c r="Q7" s="3" t="s">
        <v>222</v>
      </c>
      <c r="R7" s="85">
        <f t="shared" si="2"/>
        <v>0.62756829769424372</v>
      </c>
      <c r="S7" s="3"/>
      <c r="T7" s="3"/>
      <c r="U7" s="3"/>
      <c r="V7" s="3"/>
    </row>
    <row r="8" spans="1:31">
      <c r="A8" s="3" t="s">
        <v>223</v>
      </c>
      <c r="B8" s="4">
        <v>24</v>
      </c>
      <c r="C8" s="3">
        <v>73</v>
      </c>
      <c r="E8" s="3" t="s">
        <v>223</v>
      </c>
      <c r="F8" s="85">
        <f t="shared" si="0"/>
        <v>-0.86978517654492438</v>
      </c>
      <c r="G8" s="85">
        <f t="shared" si="1"/>
        <v>0.95066591943572543</v>
      </c>
      <c r="I8" s="9" t="s">
        <v>224</v>
      </c>
      <c r="J8" s="86">
        <v>-0.70710678118654757</v>
      </c>
      <c r="K8" s="86">
        <v>0.70710678118654757</v>
      </c>
      <c r="M8" s="3" t="s">
        <v>223</v>
      </c>
      <c r="N8" s="85">
        <v>0.96767722543146473</v>
      </c>
      <c r="O8" s="85">
        <v>0.11914004161088565</v>
      </c>
      <c r="P8" s="3"/>
      <c r="Q8" s="3" t="s">
        <v>223</v>
      </c>
      <c r="R8" s="85">
        <f t="shared" si="2"/>
        <v>0.47529678106689072</v>
      </c>
      <c r="S8" s="3"/>
      <c r="T8" s="3"/>
      <c r="U8" s="3"/>
      <c r="V8" s="3"/>
      <c r="AD8" s="11"/>
      <c r="AE8" s="11"/>
    </row>
    <row r="9" spans="1:31">
      <c r="A9" s="3" t="s">
        <v>225</v>
      </c>
      <c r="B9" s="4">
        <v>24.6</v>
      </c>
      <c r="C9" s="3">
        <v>70</v>
      </c>
      <c r="E9" s="3" t="s">
        <v>225</v>
      </c>
      <c r="F9" s="85">
        <f t="shared" si="0"/>
        <v>-9.4729078633602262E-2</v>
      </c>
      <c r="G9" s="85">
        <f t="shared" si="1"/>
        <v>-0.23766647985892855</v>
      </c>
      <c r="I9" s="9" t="s">
        <v>207</v>
      </c>
      <c r="J9" s="86">
        <v>0.70710678118654757</v>
      </c>
      <c r="K9" s="86">
        <v>0.70710678118654757</v>
      </c>
      <c r="M9" s="3" t="s">
        <v>225</v>
      </c>
      <c r="N9" s="85">
        <v>-7.5979666871302753E-2</v>
      </c>
      <c r="O9" s="85">
        <v>-0.48962978398381785</v>
      </c>
      <c r="P9" s="3"/>
      <c r="Q9" s="3" t="s">
        <v>225</v>
      </c>
      <c r="R9" s="85">
        <f t="shared" si="2"/>
        <v>0.12275511757095714</v>
      </c>
      <c r="S9" s="3"/>
      <c r="T9" s="3"/>
      <c r="U9" s="3"/>
      <c r="V9" s="3"/>
      <c r="AD9" s="11"/>
      <c r="AE9" s="11"/>
    </row>
    <row r="10" spans="1:31">
      <c r="A10" s="3" t="s">
        <v>226</v>
      </c>
      <c r="B10" s="4">
        <v>24</v>
      </c>
      <c r="C10" s="3">
        <v>71</v>
      </c>
      <c r="E10" s="3" t="s">
        <v>226</v>
      </c>
      <c r="F10" s="85">
        <f t="shared" si="0"/>
        <v>-0.86978517654492438</v>
      </c>
      <c r="G10" s="85">
        <f t="shared" si="1"/>
        <v>0.15844431990595612</v>
      </c>
      <c r="M10" s="3" t="s">
        <v>226</v>
      </c>
      <c r="N10" s="85">
        <v>0.54656467752922067</v>
      </c>
      <c r="O10" s="85">
        <v>-1.0478288926439683</v>
      </c>
      <c r="P10" s="3"/>
      <c r="Q10" s="3" t="s">
        <v>226</v>
      </c>
      <c r="R10" s="85">
        <f t="shared" si="2"/>
        <v>0.69833916749105285</v>
      </c>
      <c r="S10" s="3"/>
      <c r="T10" s="3"/>
      <c r="U10" s="3"/>
      <c r="V10" s="3"/>
    </row>
    <row r="11" spans="1:31">
      <c r="A11" s="3" t="s">
        <v>227</v>
      </c>
      <c r="B11" s="4">
        <v>24.2</v>
      </c>
      <c r="C11" s="3">
        <v>70</v>
      </c>
      <c r="E11" s="3" t="s">
        <v>227</v>
      </c>
      <c r="F11" s="85">
        <f t="shared" si="0"/>
        <v>-0.61143314390781855</v>
      </c>
      <c r="G11" s="85">
        <f t="shared" si="1"/>
        <v>-0.23766647985892855</v>
      </c>
      <c r="I11" s="121" t="s">
        <v>548</v>
      </c>
      <c r="J11" s="121"/>
      <c r="K11" s="121"/>
      <c r="M11" s="3" t="s">
        <v>227</v>
      </c>
      <c r="N11" s="85">
        <v>0.19867904676163231</v>
      </c>
      <c r="O11" s="85">
        <v>-1.2507521678422051</v>
      </c>
      <c r="P11" s="3"/>
      <c r="Q11" s="3" t="s">
        <v>227</v>
      </c>
      <c r="R11" s="85">
        <f t="shared" si="2"/>
        <v>0.80192717449204332</v>
      </c>
      <c r="S11" s="3"/>
      <c r="T11" s="3"/>
      <c r="U11" s="3"/>
      <c r="V11" s="3"/>
    </row>
    <row r="12" spans="1:31">
      <c r="A12" s="3" t="s">
        <v>228</v>
      </c>
      <c r="B12" s="4">
        <v>25.2</v>
      </c>
      <c r="C12" s="3">
        <v>71</v>
      </c>
      <c r="E12" s="3" t="s">
        <v>228</v>
      </c>
      <c r="F12" s="85">
        <f t="shared" si="0"/>
        <v>0.68032701927771522</v>
      </c>
      <c r="G12" s="85">
        <f t="shared" si="1"/>
        <v>0.15844431990595612</v>
      </c>
      <c r="I12" s="9"/>
      <c r="J12" s="9" t="s">
        <v>193</v>
      </c>
      <c r="K12" s="9" t="s">
        <v>194</v>
      </c>
      <c r="M12" s="3" t="s">
        <v>228</v>
      </c>
      <c r="N12" s="85">
        <v>-0.27741146336957961</v>
      </c>
      <c r="O12" s="85">
        <v>1.2355382589311796</v>
      </c>
      <c r="P12" s="3"/>
      <c r="Q12" s="3" t="s">
        <v>228</v>
      </c>
      <c r="R12" s="85">
        <f t="shared" si="2"/>
        <v>0.80175595464577121</v>
      </c>
      <c r="S12" s="3"/>
      <c r="T12" s="3"/>
      <c r="U12" s="3"/>
      <c r="V12" s="3"/>
    </row>
    <row r="13" spans="1:31">
      <c r="A13" s="3" t="s">
        <v>229</v>
      </c>
      <c r="B13" s="4">
        <v>24.2</v>
      </c>
      <c r="C13" s="3">
        <v>73</v>
      </c>
      <c r="E13" s="3" t="s">
        <v>229</v>
      </c>
      <c r="F13" s="85">
        <f t="shared" si="0"/>
        <v>-0.61143314390781855</v>
      </c>
      <c r="G13" s="85">
        <f t="shared" si="1"/>
        <v>0.95066591943572543</v>
      </c>
      <c r="I13" s="9" t="s">
        <v>199</v>
      </c>
      <c r="J13" s="86">
        <v>1.7695669476211358</v>
      </c>
      <c r="K13" s="86">
        <v>0.23043305237886447</v>
      </c>
      <c r="M13" s="3" t="s">
        <v>229</v>
      </c>
      <c r="N13" s="85">
        <v>0.83034786861499854</v>
      </c>
      <c r="O13" s="85">
        <v>0.49970123354007578</v>
      </c>
      <c r="P13" s="3"/>
      <c r="Q13" s="3" t="s">
        <v>229</v>
      </c>
      <c r="R13" s="85">
        <f t="shared" si="2"/>
        <v>0.46958945285747211</v>
      </c>
      <c r="S13" s="3"/>
      <c r="T13" s="3"/>
      <c r="U13" s="3"/>
      <c r="V13" s="3"/>
    </row>
    <row r="14" spans="1:31">
      <c r="A14" s="3" t="s">
        <v>230</v>
      </c>
      <c r="B14" s="4">
        <v>25.6</v>
      </c>
      <c r="C14" s="3">
        <v>65</v>
      </c>
      <c r="E14" s="3" t="s">
        <v>230</v>
      </c>
      <c r="F14" s="85">
        <f t="shared" si="0"/>
        <v>1.1970310845519314</v>
      </c>
      <c r="G14" s="85">
        <f t="shared" si="1"/>
        <v>-2.2182204786833517</v>
      </c>
      <c r="M14" s="3" t="s">
        <v>230</v>
      </c>
      <c r="N14" s="85">
        <v>-1.8154078207092468</v>
      </c>
      <c r="O14" s="85">
        <v>-1.5042461599749948</v>
      </c>
      <c r="P14" s="3"/>
      <c r="Q14" s="3" t="s">
        <v>230</v>
      </c>
      <c r="R14" s="85">
        <f t="shared" si="2"/>
        <v>2.7792310326459071</v>
      </c>
      <c r="S14" s="3"/>
      <c r="T14" s="3"/>
      <c r="U14" s="3"/>
      <c r="V14" s="3"/>
      <c r="Z14" s="3"/>
    </row>
    <row r="15" spans="1:31">
      <c r="A15" s="3" t="s">
        <v>231</v>
      </c>
      <c r="B15" s="4">
        <v>25.9</v>
      </c>
      <c r="C15" s="3">
        <v>69</v>
      </c>
      <c r="E15" s="3" t="s">
        <v>231</v>
      </c>
      <c r="F15" s="85">
        <f t="shared" si="0"/>
        <v>1.5845591335075879</v>
      </c>
      <c r="G15" s="85">
        <f t="shared" si="1"/>
        <v>-0.63377727962381325</v>
      </c>
      <c r="I15" s="121" t="s">
        <v>232</v>
      </c>
      <c r="J15" s="121"/>
      <c r="K15" s="121"/>
      <c r="M15" s="3" t="s">
        <v>231</v>
      </c>
      <c r="N15" s="85">
        <v>-1.1791767601294572</v>
      </c>
      <c r="O15" s="85">
        <v>1.4005334964284948</v>
      </c>
      <c r="P15" s="3"/>
      <c r="Q15" s="3" t="s">
        <v>231</v>
      </c>
      <c r="R15" s="85">
        <f t="shared" si="2"/>
        <v>1.6759759531238139</v>
      </c>
      <c r="S15" s="3"/>
      <c r="T15" s="3"/>
      <c r="U15" s="3"/>
      <c r="V15" s="3"/>
      <c r="Y15" s="3"/>
      <c r="Z15" s="3"/>
    </row>
    <row r="16" spans="1:31">
      <c r="A16" s="3" t="s">
        <v>233</v>
      </c>
      <c r="B16" s="4">
        <v>25.2</v>
      </c>
      <c r="C16" s="3">
        <v>67</v>
      </c>
      <c r="E16" s="3" t="s">
        <v>233</v>
      </c>
      <c r="F16" s="85">
        <f t="shared" si="0"/>
        <v>0.68032701927771522</v>
      </c>
      <c r="G16" s="85">
        <f t="shared" si="1"/>
        <v>-1.4259988791535825</v>
      </c>
      <c r="J16" s="11" t="s">
        <v>193</v>
      </c>
      <c r="K16" s="11" t="s">
        <v>194</v>
      </c>
      <c r="M16" s="3" t="s">
        <v>233</v>
      </c>
      <c r="N16" s="85">
        <v>-1.1196365591740678</v>
      </c>
      <c r="O16" s="85">
        <v>-1.0983996095785282</v>
      </c>
      <c r="P16" s="3"/>
      <c r="Q16" s="3" t="s">
        <v>233</v>
      </c>
      <c r="R16" s="85">
        <f t="shared" si="2"/>
        <v>1.2300338634807044</v>
      </c>
      <c r="S16" s="3"/>
      <c r="T16" s="3"/>
      <c r="U16" s="3"/>
      <c r="V16" s="3"/>
      <c r="Y16" s="3"/>
      <c r="Z16" s="3"/>
    </row>
    <row r="17" spans="1:26">
      <c r="A17" s="3" t="s">
        <v>234</v>
      </c>
      <c r="B17" s="4">
        <v>26</v>
      </c>
      <c r="C17" s="3">
        <v>67</v>
      </c>
      <c r="E17" s="3" t="s">
        <v>234</v>
      </c>
      <c r="F17" s="85">
        <f t="shared" si="0"/>
        <v>1.7137351498261431</v>
      </c>
      <c r="G17" s="85">
        <f t="shared" si="1"/>
        <v>-1.4259988791535825</v>
      </c>
      <c r="I17" s="11" t="s">
        <v>224</v>
      </c>
      <c r="J17" s="85">
        <f>J8/SQRT(J$13)</f>
        <v>-0.53155903367466817</v>
      </c>
      <c r="K17" s="85">
        <f>K8/SQRT(K$13)</f>
        <v>1.4730334731437762</v>
      </c>
      <c r="M17" s="3" t="s">
        <v>234</v>
      </c>
      <c r="N17" s="85">
        <v>-1.6689539864399356</v>
      </c>
      <c r="O17" s="85">
        <v>0.42384515813823942</v>
      </c>
      <c r="P17" s="3"/>
      <c r="Q17" s="3" t="s">
        <v>234</v>
      </c>
      <c r="R17" s="85">
        <f t="shared" si="2"/>
        <v>1.4825260634654911</v>
      </c>
      <c r="S17" s="3"/>
      <c r="T17" s="3"/>
      <c r="U17" s="3"/>
      <c r="V17" s="3"/>
      <c r="Y17" s="3"/>
      <c r="Z17" s="3"/>
    </row>
    <row r="18" spans="1:26">
      <c r="A18" s="3" t="s">
        <v>211</v>
      </c>
      <c r="B18" s="85">
        <f>AVERAGE(B3:B17)</f>
        <v>24.673333333333332</v>
      </c>
      <c r="C18" s="87">
        <f>AVERAGE(C3:C17)</f>
        <v>70.599999999999994</v>
      </c>
      <c r="E18" s="3" t="s">
        <v>211</v>
      </c>
      <c r="F18" s="85">
        <f>AVERAGE(F3:F17)</f>
        <v>1.1990408665951691E-15</v>
      </c>
      <c r="G18" s="85">
        <f>AVERAGE(G3:G17)</f>
        <v>2.3092638912203257E-15</v>
      </c>
      <c r="I18" s="11" t="s">
        <v>207</v>
      </c>
      <c r="J18" s="85">
        <f>J9/SQRT(J$13)</f>
        <v>0.53155903367466817</v>
      </c>
      <c r="K18" s="85">
        <f>K9/SQRT(K$13)</f>
        <v>1.4730334731437762</v>
      </c>
      <c r="M18" s="3"/>
      <c r="N18" s="4"/>
      <c r="O18" s="4"/>
      <c r="P18" s="3"/>
      <c r="Q18" s="3"/>
      <c r="R18" s="4"/>
      <c r="S18" s="3"/>
      <c r="T18" s="3"/>
      <c r="U18" s="3"/>
      <c r="V18" s="3"/>
      <c r="Y18" s="3"/>
      <c r="Z18" s="3"/>
    </row>
    <row r="19" spans="1:26">
      <c r="A19" s="3" t="s">
        <v>215</v>
      </c>
      <c r="B19" s="85">
        <f>_xlfn.STDEV.P(B3:B17)</f>
        <v>0.77413751290638877</v>
      </c>
      <c r="C19" s="85">
        <f>_xlfn.STDEV.P(C3:C17)</f>
        <v>2.5245461638348652</v>
      </c>
      <c r="E19" s="3" t="s">
        <v>215</v>
      </c>
      <c r="F19" s="85">
        <f>_xlfn.STDEV.P(F3:F17)</f>
        <v>0.99999999999999989</v>
      </c>
      <c r="G19" s="85">
        <f>_xlfn.STDEV.P(G3:G17)</f>
        <v>0.99999999999999978</v>
      </c>
      <c r="M19" s="3"/>
      <c r="N19" s="4"/>
      <c r="O19" s="4"/>
      <c r="P19" s="3"/>
      <c r="Q19" s="3"/>
      <c r="R19" s="4"/>
      <c r="S19" s="3"/>
      <c r="T19" s="3"/>
      <c r="U19" s="3"/>
      <c r="V19" s="3"/>
      <c r="Y19" s="3"/>
      <c r="Z19" s="3"/>
    </row>
    <row r="20" spans="1:26">
      <c r="M20" s="4"/>
      <c r="N20" s="4"/>
      <c r="O20" s="4"/>
      <c r="P20" s="3"/>
      <c r="Q20" s="3"/>
      <c r="R20" s="4"/>
      <c r="S20" s="4"/>
      <c r="T20" s="4"/>
      <c r="U20" s="3"/>
      <c r="V20" s="3"/>
    </row>
    <row r="21" spans="1:26">
      <c r="A21" s="121" t="s">
        <v>466</v>
      </c>
      <c r="B21" s="121"/>
      <c r="C21" s="121"/>
      <c r="E21" s="121" t="s">
        <v>467</v>
      </c>
      <c r="F21" s="121"/>
      <c r="G21" s="121"/>
      <c r="M21" s="121" t="s">
        <v>203</v>
      </c>
      <c r="N21" s="121"/>
      <c r="O21" s="121"/>
      <c r="Q21" s="121" t="s">
        <v>204</v>
      </c>
      <c r="R21" s="121"/>
      <c r="S21" s="121"/>
      <c r="T21" s="3"/>
      <c r="U21" s="121" t="s">
        <v>467</v>
      </c>
      <c r="V21" s="121"/>
      <c r="W21" s="121"/>
    </row>
    <row r="22" spans="1:26">
      <c r="B22" s="3" t="s">
        <v>206</v>
      </c>
      <c r="C22" s="3" t="s">
        <v>207</v>
      </c>
      <c r="E22" s="4"/>
      <c r="F22" s="3" t="s">
        <v>206</v>
      </c>
      <c r="G22" s="3" t="s">
        <v>207</v>
      </c>
      <c r="M22" s="3"/>
      <c r="N22" s="4" t="s">
        <v>193</v>
      </c>
      <c r="O22" s="4" t="s">
        <v>194</v>
      </c>
      <c r="P22" s="3"/>
      <c r="Q22" s="3"/>
      <c r="R22" s="4" t="s">
        <v>208</v>
      </c>
      <c r="S22" s="4" t="s">
        <v>235</v>
      </c>
      <c r="T22" s="4"/>
      <c r="U22" s="4"/>
      <c r="V22" s="3" t="s">
        <v>206</v>
      </c>
      <c r="W22" s="3" t="s">
        <v>207</v>
      </c>
      <c r="X22" s="4" t="s">
        <v>470</v>
      </c>
      <c r="Y22" s="4" t="s">
        <v>471</v>
      </c>
    </row>
    <row r="23" spans="1:26">
      <c r="A23" s="12" t="s">
        <v>212</v>
      </c>
      <c r="B23" s="4">
        <v>23.3</v>
      </c>
      <c r="C23" s="4">
        <v>62</v>
      </c>
      <c r="E23" s="14" t="s">
        <v>236</v>
      </c>
      <c r="F23" s="85">
        <f t="shared" ref="F23:G26" si="3">(B23-B$18)/B$19</f>
        <v>-1.7740172907747971</v>
      </c>
      <c r="G23" s="85">
        <f t="shared" si="3"/>
        <v>-3.4065528779780059</v>
      </c>
      <c r="M23" s="14" t="s">
        <v>236</v>
      </c>
      <c r="N23" s="85">
        <f t="array" ref="N23:O23">MMULT(F23:G23,$J$17:$K$18)</f>
        <v>-0.86778903917324468</v>
      </c>
      <c r="O23" s="85">
        <v>-7.6311532685429802</v>
      </c>
      <c r="P23" s="3"/>
      <c r="Q23" s="14" t="s">
        <v>236</v>
      </c>
      <c r="R23" s="85">
        <f>SUMSQ(N23:O23)/2</f>
        <v>29.493779012251718</v>
      </c>
      <c r="S23" s="15" t="s">
        <v>213</v>
      </c>
      <c r="U23" s="14" t="s">
        <v>236</v>
      </c>
      <c r="V23" s="4">
        <f>F23</f>
        <v>-1.7740172907747971</v>
      </c>
      <c r="W23" s="4">
        <f t="shared" ref="W23:W26" si="4">G23</f>
        <v>-3.4065528779780059</v>
      </c>
      <c r="X23" s="15" t="s">
        <v>213</v>
      </c>
      <c r="Y23" s="2" t="s">
        <v>468</v>
      </c>
    </row>
    <row r="24" spans="1:26">
      <c r="A24" s="12" t="s">
        <v>216</v>
      </c>
      <c r="B24" s="4">
        <v>26.9</v>
      </c>
      <c r="C24" s="4">
        <v>77</v>
      </c>
      <c r="E24" s="14" t="s">
        <v>237</v>
      </c>
      <c r="F24" s="85">
        <f t="shared" si="3"/>
        <v>2.8763192966931217</v>
      </c>
      <c r="G24" s="85">
        <f t="shared" si="3"/>
        <v>2.5351091184952641</v>
      </c>
      <c r="L24" s="3"/>
      <c r="M24" s="14" t="s">
        <v>237</v>
      </c>
      <c r="N24" s="85">
        <f t="array" ref="N24:O24">MMULT(F24:G24,$J$17:$K$18)</f>
        <v>-0.18137335260281451</v>
      </c>
      <c r="O24" s="85">
        <v>7.9712151930938688</v>
      </c>
      <c r="P24" s="3"/>
      <c r="Q24" s="14" t="s">
        <v>237</v>
      </c>
      <c r="R24" s="85">
        <f>SUMSQ(N24:O24)/2</f>
        <v>31.786583973822452</v>
      </c>
      <c r="S24" s="15" t="s">
        <v>213</v>
      </c>
      <c r="T24" s="3"/>
      <c r="U24" s="14" t="s">
        <v>237</v>
      </c>
      <c r="V24" s="4">
        <f t="shared" ref="V24:V26" si="5">F24</f>
        <v>2.8763192966931217</v>
      </c>
      <c r="W24" s="4">
        <f t="shared" si="4"/>
        <v>2.5351091184952641</v>
      </c>
      <c r="X24" s="15" t="s">
        <v>213</v>
      </c>
      <c r="Y24" s="2" t="s">
        <v>468</v>
      </c>
    </row>
    <row r="25" spans="1:26">
      <c r="A25" s="12" t="s">
        <v>218</v>
      </c>
      <c r="B25" s="4">
        <v>25.1</v>
      </c>
      <c r="C25" s="4">
        <v>71</v>
      </c>
      <c r="E25" s="14" t="s">
        <v>238</v>
      </c>
      <c r="F25" s="85">
        <f t="shared" si="3"/>
        <v>0.55115100295916464</v>
      </c>
      <c r="G25" s="85">
        <f t="shared" si="3"/>
        <v>0.15844431990595612</v>
      </c>
      <c r="L25" s="3"/>
      <c r="M25" s="14" t="s">
        <v>238</v>
      </c>
      <c r="N25" s="85">
        <f t="array" ref="N25:O25">MMULT(F25:G25,$J$17:$K$18)</f>
        <v>-0.20874678496134769</v>
      </c>
      <c r="O25" s="85">
        <v>1.045257662966588</v>
      </c>
      <c r="P25" s="3"/>
      <c r="Q25" s="14" t="s">
        <v>238</v>
      </c>
      <c r="R25" s="85">
        <f>SUMSQ(N25:O25)/2</f>
        <v>0.5680694011110361</v>
      </c>
      <c r="S25" s="16" t="s">
        <v>219</v>
      </c>
      <c r="T25" s="3"/>
      <c r="U25" s="14" t="s">
        <v>238</v>
      </c>
      <c r="V25" s="4">
        <f t="shared" si="5"/>
        <v>0.55115100295916464</v>
      </c>
      <c r="W25" s="4">
        <f t="shared" si="4"/>
        <v>0.15844431990595612</v>
      </c>
      <c r="X25" s="16" t="s">
        <v>219</v>
      </c>
      <c r="Y25" s="3"/>
    </row>
    <row r="26" spans="1:26">
      <c r="A26" s="12" t="s">
        <v>221</v>
      </c>
      <c r="B26" s="4">
        <v>25.6</v>
      </c>
      <c r="C26" s="4">
        <v>73</v>
      </c>
      <c r="E26" s="14" t="s">
        <v>239</v>
      </c>
      <c r="F26" s="85">
        <f t="shared" si="3"/>
        <v>1.1970310845519314</v>
      </c>
      <c r="G26" s="85">
        <f t="shared" si="3"/>
        <v>0.95066591943572543</v>
      </c>
      <c r="L26" s="3"/>
      <c r="M26" s="14" t="s">
        <v>239</v>
      </c>
      <c r="N26" s="85">
        <f t="array" ref="N26:O26">MMULT(F26:G26,$J$17:$K$18)</f>
        <v>-0.13095762910027053</v>
      </c>
      <c r="O26" s="85">
        <v>3.1636295770444205</v>
      </c>
      <c r="P26" s="3"/>
      <c r="Q26" s="14" t="s">
        <v>239</v>
      </c>
      <c r="R26" s="85">
        <f>SUMSQ(N26:O26)/2</f>
        <v>5.0128510006849121</v>
      </c>
      <c r="S26" s="15" t="s">
        <v>213</v>
      </c>
      <c r="T26" s="3"/>
      <c r="U26" s="14" t="s">
        <v>239</v>
      </c>
      <c r="V26" s="4">
        <f t="shared" si="5"/>
        <v>1.1970310845519314</v>
      </c>
      <c r="W26" s="4">
        <f t="shared" si="4"/>
        <v>0.95066591943572543</v>
      </c>
      <c r="X26" s="15" t="s">
        <v>213</v>
      </c>
      <c r="Y26" s="3" t="s">
        <v>469</v>
      </c>
    </row>
    <row r="27" spans="1:26">
      <c r="L27" s="3"/>
      <c r="S27" s="3"/>
      <c r="T27" s="3"/>
      <c r="U27" s="3"/>
    </row>
    <row r="28" spans="1:26">
      <c r="E28" s="3" t="s">
        <v>43</v>
      </c>
      <c r="F28" s="85">
        <f>AVERAGE(F23:F26)</f>
        <v>0.71262102335735511</v>
      </c>
      <c r="G28" s="85">
        <f>AVERAGE(G23:G26)</f>
        <v>5.9416619964734935E-2</v>
      </c>
      <c r="L28" s="3"/>
      <c r="S28" s="3"/>
      <c r="T28" s="3"/>
      <c r="U28" s="3"/>
    </row>
    <row r="29" spans="1:26">
      <c r="E29" s="3" t="s">
        <v>135</v>
      </c>
      <c r="F29" s="85">
        <f>_xlfn.STDEV.P(F23:F26)</f>
        <v>1.6677594249636316</v>
      </c>
      <c r="G29" s="85">
        <f>_xlfn.STDEV.P(G23:G26)</f>
        <v>2.1763576054449882</v>
      </c>
      <c r="L29" s="3"/>
      <c r="M29" s="3"/>
      <c r="N29" s="3"/>
      <c r="O29" s="3"/>
      <c r="P29" s="3"/>
      <c r="Q29" s="3"/>
      <c r="R29" s="3"/>
      <c r="S29" s="3"/>
      <c r="T29" s="3"/>
      <c r="U29" s="3"/>
    </row>
    <row r="30" spans="1:26">
      <c r="A30" s="12"/>
      <c r="B30" s="14"/>
      <c r="C30" s="14"/>
      <c r="L30" s="3"/>
      <c r="M30" s="3"/>
      <c r="N30" s="3"/>
      <c r="O30" s="3"/>
      <c r="P30" s="3"/>
      <c r="Q30" s="3"/>
      <c r="R30" s="3"/>
      <c r="S30" s="3"/>
      <c r="T30" s="3"/>
      <c r="U30" s="3"/>
    </row>
    <row r="31" spans="1:26">
      <c r="B31" s="4"/>
      <c r="C31" s="4"/>
      <c r="F31" s="4"/>
      <c r="G31" s="4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</row>
    <row r="32" spans="1:26">
      <c r="B32" s="4"/>
      <c r="C32" s="4"/>
      <c r="F32" s="4"/>
      <c r="G32" s="4"/>
    </row>
    <row r="35" spans="1:1">
      <c r="A35" s="17"/>
    </row>
  </sheetData>
  <mergeCells count="14">
    <mergeCell ref="U1:V1"/>
    <mergeCell ref="U21:W21"/>
    <mergeCell ref="M21:O21"/>
    <mergeCell ref="Q21:S21"/>
    <mergeCell ref="A1:C1"/>
    <mergeCell ref="E1:G1"/>
    <mergeCell ref="I1:K1"/>
    <mergeCell ref="M1:O1"/>
    <mergeCell ref="Q1:R1"/>
    <mergeCell ref="I6:K6"/>
    <mergeCell ref="I11:K11"/>
    <mergeCell ref="I15:K15"/>
    <mergeCell ref="A21:C21"/>
    <mergeCell ref="E21:G21"/>
  </mergeCells>
  <phoneticPr fontId="1" type="noConversion"/>
  <conditionalFormatting sqref="V23:W26">
    <cfRule type="cellIs" dxfId="3" priority="7" operator="greaterThan">
      <formula>$F$32</formula>
    </cfRule>
    <cfRule type="cellIs" dxfId="2" priority="8" operator="lessThan">
      <formula>$F$31</formula>
    </cfRule>
  </conditionalFormatting>
  <conditionalFormatting sqref="W23:W26">
    <cfRule type="cellIs" dxfId="1" priority="5" operator="greaterThan">
      <formula>$G$32</formula>
    </cfRule>
    <cfRule type="cellIs" dxfId="0" priority="6" operator="lessThan">
      <formula>$G$31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F29"/>
  <sheetViews>
    <sheetView zoomScale="55" zoomScaleNormal="55" workbookViewId="0">
      <selection activeCell="BB37" sqref="A37:BB40"/>
    </sheetView>
  </sheetViews>
  <sheetFormatPr defaultRowHeight="17.399999999999999"/>
  <cols>
    <col min="1" max="5" width="8.796875" style="67"/>
    <col min="6" max="33" width="8.796875" style="67" customWidth="1"/>
    <col min="34" max="47" width="8.796875" style="67"/>
    <col min="48" max="48" width="10.19921875" style="67" bestFit="1" customWidth="1"/>
    <col min="49" max="49" width="9.8984375" style="67" bestFit="1" customWidth="1"/>
    <col min="50" max="50" width="8.796875" style="67"/>
    <col min="51" max="51" width="14.296875" style="67" bestFit="1" customWidth="1"/>
    <col min="52" max="52" width="9.8984375" style="67" bestFit="1" customWidth="1"/>
    <col min="53" max="53" width="8.796875" style="67"/>
    <col min="54" max="56" width="9.19921875" style="67" bestFit="1" customWidth="1"/>
    <col min="57" max="57" width="6.796875" style="67" bestFit="1" customWidth="1"/>
    <col min="58" max="58" width="16.796875" style="67" bestFit="1" customWidth="1"/>
    <col min="59" max="16384" width="8.796875" style="67"/>
  </cols>
  <sheetData>
    <row r="1" spans="1:58">
      <c r="B1" s="120" t="s">
        <v>482</v>
      </c>
      <c r="C1" s="120"/>
      <c r="D1" s="120"/>
      <c r="E1" s="120"/>
      <c r="G1" s="120" t="s">
        <v>240</v>
      </c>
      <c r="H1" s="120"/>
      <c r="I1" s="120"/>
      <c r="W1" s="120" t="s">
        <v>242</v>
      </c>
      <c r="X1" s="120"/>
      <c r="Y1" s="120"/>
      <c r="AD1" s="120" t="s">
        <v>550</v>
      </c>
      <c r="AE1" s="120"/>
      <c r="AF1" s="120"/>
      <c r="AG1" s="120"/>
      <c r="AI1" s="120" t="s">
        <v>467</v>
      </c>
      <c r="AJ1" s="120"/>
      <c r="AK1" s="120"/>
      <c r="AM1" s="120" t="s">
        <v>242</v>
      </c>
      <c r="AN1" s="120"/>
      <c r="AO1" s="120"/>
    </row>
    <row r="2" spans="1:58">
      <c r="B2" s="67" t="s">
        <v>474</v>
      </c>
      <c r="C2" s="67" t="s">
        <v>475</v>
      </c>
      <c r="D2" s="67" t="s">
        <v>476</v>
      </c>
      <c r="E2" s="67" t="s">
        <v>472</v>
      </c>
      <c r="G2" s="67" t="s">
        <v>474</v>
      </c>
      <c r="H2" s="67" t="s">
        <v>475</v>
      </c>
      <c r="I2" s="67" t="s">
        <v>476</v>
      </c>
      <c r="K2" s="120" t="s">
        <v>484</v>
      </c>
      <c r="L2" s="120"/>
      <c r="M2" s="120"/>
      <c r="N2" s="120"/>
      <c r="O2" s="120"/>
      <c r="P2" s="120"/>
      <c r="Q2" s="120"/>
      <c r="R2" s="120"/>
      <c r="S2" s="120"/>
      <c r="T2" s="120"/>
      <c r="U2" s="120"/>
      <c r="W2" s="67" t="s">
        <v>474</v>
      </c>
      <c r="X2" s="67" t="s">
        <v>475</v>
      </c>
      <c r="Y2" s="67" t="s">
        <v>476</v>
      </c>
      <c r="AA2" s="68" t="s">
        <v>243</v>
      </c>
      <c r="AB2" s="66" t="s">
        <v>493</v>
      </c>
      <c r="AD2" s="67" t="s">
        <v>474</v>
      </c>
      <c r="AE2" s="67" t="s">
        <v>475</v>
      </c>
      <c r="AF2" s="67" t="s">
        <v>476</v>
      </c>
      <c r="AG2" s="67" t="s">
        <v>473</v>
      </c>
      <c r="AI2" s="67" t="s">
        <v>474</v>
      </c>
      <c r="AJ2" s="67" t="s">
        <v>475</v>
      </c>
      <c r="AK2" s="67" t="s">
        <v>476</v>
      </c>
      <c r="AM2" s="67" t="s">
        <v>474</v>
      </c>
      <c r="AN2" s="67" t="s">
        <v>475</v>
      </c>
      <c r="AO2" s="67" t="s">
        <v>476</v>
      </c>
      <c r="AQ2" s="68" t="s">
        <v>243</v>
      </c>
      <c r="AR2" s="66" t="s">
        <v>494</v>
      </c>
      <c r="AS2" s="69" t="s">
        <v>492</v>
      </c>
      <c r="AV2" s="68" t="s">
        <v>495</v>
      </c>
      <c r="AW2" s="55" t="s">
        <v>496</v>
      </c>
      <c r="AX2" s="71"/>
      <c r="AY2" s="68" t="s">
        <v>497</v>
      </c>
      <c r="AZ2" s="55" t="s">
        <v>496</v>
      </c>
    </row>
    <row r="3" spans="1:58">
      <c r="B3" s="67">
        <v>5.0999999999999996</v>
      </c>
      <c r="C3" s="67">
        <v>3.5</v>
      </c>
      <c r="D3" s="67">
        <v>1.4</v>
      </c>
      <c r="E3" s="67" t="s">
        <v>477</v>
      </c>
      <c r="G3" s="88">
        <f>(B3-B$13)/B$14</f>
        <v>0.86828952635090662</v>
      </c>
      <c r="H3" s="88">
        <f t="shared" ref="H3:H12" si="0">(C3-C$13)/C$14</f>
        <v>0.65207831190185261</v>
      </c>
      <c r="I3" s="88">
        <f t="shared" ref="I3:I12" si="1">(D3-D$13)/D$14</f>
        <v>-0.48795003647426699</v>
      </c>
      <c r="K3" s="67" t="s">
        <v>474</v>
      </c>
      <c r="L3" s="88">
        <f t="array" ref="L3:U5">TRANSPOSE(G3:I12)</f>
        <v>0.86828952635090662</v>
      </c>
      <c r="M3" s="88">
        <v>0.14471492105848766</v>
      </c>
      <c r="N3" s="88">
        <v>-0.57885968423393452</v>
      </c>
      <c r="O3" s="88">
        <v>-0.94064698688014725</v>
      </c>
      <c r="P3" s="88">
        <v>0.50650222370469711</v>
      </c>
      <c r="Q3" s="88">
        <v>1.9536514342895415</v>
      </c>
      <c r="R3" s="88">
        <v>-0.94064698688014725</v>
      </c>
      <c r="S3" s="88">
        <v>0.50650222370469711</v>
      </c>
      <c r="T3" s="88">
        <v>-1.6642215921725663</v>
      </c>
      <c r="U3" s="88">
        <v>0.14471492105848766</v>
      </c>
      <c r="W3" s="88">
        <f t="array" ref="W3:Y3">MMULT(G3:I3,$R$9:$T$11)</f>
        <v>1.7319526166065908</v>
      </c>
      <c r="X3" s="88">
        <v>0.11178109169565596</v>
      </c>
      <c r="Y3" s="88">
        <v>-1.5855256300269973</v>
      </c>
      <c r="AA3" s="88">
        <f>MMULT(W3:Y3,L3:L5)</f>
        <v>2.3503836317135582</v>
      </c>
      <c r="AB3" s="88">
        <f>AA3/3</f>
        <v>0.78346121057118612</v>
      </c>
      <c r="AD3" s="67">
        <v>5.4</v>
      </c>
      <c r="AE3" s="67">
        <v>3.7</v>
      </c>
      <c r="AF3" s="67">
        <v>1.5</v>
      </c>
      <c r="AG3" s="67" t="s">
        <v>477</v>
      </c>
      <c r="AI3" s="88">
        <f>(AD3-B$13)/B$14</f>
        <v>1.9536514342895415</v>
      </c>
      <c r="AJ3" s="88">
        <f t="shared" ref="AJ3:AJ11" si="2">(AE3-C$13)/C$14</f>
        <v>1.3384765349564334</v>
      </c>
      <c r="AK3" s="88">
        <f t="shared" ref="AK3:AK11" si="3">(AF3-D$13)/D$14</f>
        <v>0.48795003647426699</v>
      </c>
      <c r="AM3" s="88">
        <f t="array" ref="AM3:AO3">MMULT(AI3:AK3,$R$9:$T$11)</f>
        <v>2.8909638622774407</v>
      </c>
      <c r="AN3" s="88">
        <v>-0.3967341603674287</v>
      </c>
      <c r="AO3" s="88">
        <v>-1.0412928655604317</v>
      </c>
      <c r="AQ3" s="88">
        <f>SUMPRODUCT(AI3:AK3,AM3:AO3)</f>
        <v>4.6088174400195019</v>
      </c>
      <c r="AR3" s="88">
        <f>AQ3/3</f>
        <v>1.5362724800065006</v>
      </c>
      <c r="AS3" s="67" t="s">
        <v>486</v>
      </c>
      <c r="AV3" s="71">
        <v>1.5362724800065006</v>
      </c>
      <c r="AW3" s="71" t="s">
        <v>477</v>
      </c>
      <c r="AX3" s="71"/>
      <c r="AY3" s="71">
        <v>90.245482022909471</v>
      </c>
      <c r="AZ3" s="71" t="s">
        <v>490</v>
      </c>
      <c r="BB3" s="69" t="s">
        <v>474</v>
      </c>
      <c r="BC3" s="69" t="s">
        <v>475</v>
      </c>
      <c r="BD3" s="69" t="s">
        <v>476</v>
      </c>
      <c r="BE3" s="69" t="s">
        <v>473</v>
      </c>
      <c r="BF3" s="69" t="s">
        <v>498</v>
      </c>
    </row>
    <row r="4" spans="1:58">
      <c r="B4" s="67">
        <v>4.9000000000000004</v>
      </c>
      <c r="C4" s="67">
        <v>3</v>
      </c>
      <c r="D4" s="67">
        <v>1.4</v>
      </c>
      <c r="E4" s="67" t="s">
        <v>477</v>
      </c>
      <c r="G4" s="88">
        <f t="shared" ref="G4:G12" si="4">(B4-B$13)/B$14</f>
        <v>0.14471492105848766</v>
      </c>
      <c r="H4" s="88">
        <f t="shared" si="0"/>
        <v>-1.063917245734598</v>
      </c>
      <c r="I4" s="88">
        <f t="shared" si="1"/>
        <v>-0.48795003647426699</v>
      </c>
      <c r="K4" s="67" t="s">
        <v>475</v>
      </c>
      <c r="L4" s="88">
        <v>0.65207831190185261</v>
      </c>
      <c r="M4" s="88">
        <v>-1.063917245734598</v>
      </c>
      <c r="N4" s="88">
        <v>-0.37751902268001719</v>
      </c>
      <c r="O4" s="88">
        <v>-0.72071813420730757</v>
      </c>
      <c r="P4" s="88">
        <v>0.99527742342914294</v>
      </c>
      <c r="Q4" s="88">
        <v>2.0248747580110127</v>
      </c>
      <c r="R4" s="88">
        <v>0.30887920037456212</v>
      </c>
      <c r="S4" s="88">
        <v>0.30887920037456212</v>
      </c>
      <c r="T4" s="88">
        <v>-1.4071163572618886</v>
      </c>
      <c r="U4" s="88">
        <v>-0.72071813420730757</v>
      </c>
      <c r="W4" s="88">
        <f t="array" ref="W4:Y4">MMULT(G4:I4,$R$9:$T$11)</f>
        <v>2.9246266925321849</v>
      </c>
      <c r="X4" s="88">
        <v>-3.013831148479944</v>
      </c>
      <c r="Y4" s="88">
        <v>-0.6787622118628005</v>
      </c>
      <c r="AA4" s="88">
        <f>MMULT(W4:Y4,M3:M5)</f>
        <v>3.9609061015710711</v>
      </c>
      <c r="AB4" s="88">
        <f t="shared" ref="AB4:AB12" si="5">AA4/3</f>
        <v>1.3203020338570237</v>
      </c>
      <c r="AD4" s="67">
        <v>4.8</v>
      </c>
      <c r="AE4" s="67">
        <v>3.4</v>
      </c>
      <c r="AF4" s="67">
        <v>1.6</v>
      </c>
      <c r="AG4" s="67" t="s">
        <v>477</v>
      </c>
      <c r="AI4" s="88">
        <f t="shared" ref="AI4:AI11" si="6">(AD4-B$13)/B$14</f>
        <v>-0.21707238158772504</v>
      </c>
      <c r="AJ4" s="88">
        <f t="shared" si="2"/>
        <v>0.30887920037456212</v>
      </c>
      <c r="AK4" s="88">
        <f t="shared" si="3"/>
        <v>1.4638501094228009</v>
      </c>
      <c r="AM4" s="88">
        <f t="array" ref="AM4:AO4">MMULT(AI4:AK4,$R$9:$T$11)</f>
        <v>-2.4297830877874373</v>
      </c>
      <c r="AN4" s="88">
        <v>0.96451113405963507</v>
      </c>
      <c r="AO4" s="88">
        <v>2.4215300531321393</v>
      </c>
      <c r="AQ4" s="88">
        <f t="shared" ref="AQ4:AQ11" si="7">SUMPRODUCT(AI4:AK4,AM4:AO4)</f>
        <v>4.370113262696381</v>
      </c>
      <c r="AR4" s="88">
        <f t="shared" ref="AR4:AR11" si="8">AQ4/3</f>
        <v>1.4567044208987936</v>
      </c>
      <c r="AS4" s="67" t="s">
        <v>486</v>
      </c>
      <c r="AV4" s="71">
        <v>1.4567044208987936</v>
      </c>
      <c r="AW4" s="71" t="s">
        <v>477</v>
      </c>
      <c r="AX4" s="71"/>
      <c r="AY4" s="71">
        <v>63.843313116783122</v>
      </c>
      <c r="AZ4" s="71" t="s">
        <v>490</v>
      </c>
      <c r="BB4" s="67">
        <v>5.4</v>
      </c>
      <c r="BC4" s="67">
        <v>3.7</v>
      </c>
      <c r="BD4" s="67">
        <v>1.5</v>
      </c>
      <c r="BE4" s="67" t="s">
        <v>477</v>
      </c>
      <c r="BF4" s="71" t="s">
        <v>477</v>
      </c>
    </row>
    <row r="5" spans="1:58">
      <c r="B5" s="67">
        <v>4.7</v>
      </c>
      <c r="C5" s="67">
        <v>3.2</v>
      </c>
      <c r="D5" s="67">
        <v>1.3</v>
      </c>
      <c r="E5" s="67" t="s">
        <v>477</v>
      </c>
      <c r="G5" s="88">
        <f t="shared" si="4"/>
        <v>-0.57885968423393452</v>
      </c>
      <c r="H5" s="88">
        <f t="shared" si="0"/>
        <v>-0.37751902268001719</v>
      </c>
      <c r="I5" s="88">
        <f t="shared" si="1"/>
        <v>-1.4638501094227989</v>
      </c>
      <c r="K5" s="67" t="s">
        <v>476</v>
      </c>
      <c r="L5" s="88">
        <v>-0.48795003647426699</v>
      </c>
      <c r="M5" s="88">
        <v>-0.48795003647426699</v>
      </c>
      <c r="N5" s="88">
        <v>-1.4638501094227989</v>
      </c>
      <c r="O5" s="88">
        <v>0.48795003647426699</v>
      </c>
      <c r="P5" s="88">
        <v>-0.48795003647426699</v>
      </c>
      <c r="Q5" s="88">
        <v>2.4397501823713328</v>
      </c>
      <c r="R5" s="88">
        <v>-0.48795003647426699</v>
      </c>
      <c r="S5" s="88">
        <v>0.48795003647426699</v>
      </c>
      <c r="T5" s="88">
        <v>-0.48795003647426699</v>
      </c>
      <c r="U5" s="88">
        <v>0.48795003647426699</v>
      </c>
      <c r="W5" s="88">
        <f t="array" ref="W5:Y5">MMULT(G5:I5,$R$9:$T$11)</f>
        <v>0.15383913426418561</v>
      </c>
      <c r="X5" s="88">
        <v>0.4233487060092499</v>
      </c>
      <c r="Y5" s="88">
        <v>-1.7759634191982832</v>
      </c>
      <c r="AA5" s="88">
        <f>MMULT(W5:Y5,N3:N5)</f>
        <v>2.3508707830958446</v>
      </c>
      <c r="AB5" s="88">
        <f t="shared" si="5"/>
        <v>0.78362359436528151</v>
      </c>
      <c r="AD5" s="67">
        <v>7</v>
      </c>
      <c r="AE5" s="67">
        <v>3.2</v>
      </c>
      <c r="AF5" s="67">
        <v>4.7</v>
      </c>
      <c r="AG5" s="67" t="s">
        <v>478</v>
      </c>
      <c r="AI5" s="88">
        <f t="shared" si="6"/>
        <v>7.7422482766289127</v>
      </c>
      <c r="AJ5" s="88">
        <f t="shared" si="2"/>
        <v>-0.37751902268001719</v>
      </c>
      <c r="AK5" s="88">
        <f t="shared" si="3"/>
        <v>31.716752370827326</v>
      </c>
      <c r="AM5" s="88">
        <f t="array" ref="AM5:AO5">MMULT(AI5:AK5,$R$9:$T$11)</f>
        <v>-0.99540989063280705</v>
      </c>
      <c r="AN5" s="88">
        <v>-22.408737709197123</v>
      </c>
      <c r="AO5" s="88">
        <v>43.94745090655541</v>
      </c>
      <c r="AQ5" s="88">
        <f t="shared" si="7"/>
        <v>1394.6234319814866</v>
      </c>
      <c r="AR5" s="88">
        <f t="shared" si="8"/>
        <v>464.8744773271622</v>
      </c>
      <c r="AS5" s="67" t="s">
        <v>488</v>
      </c>
      <c r="AV5" s="71">
        <v>464.8744773271622</v>
      </c>
      <c r="AW5" s="71" t="s">
        <v>487</v>
      </c>
      <c r="AX5" s="71"/>
      <c r="AY5" s="71">
        <v>1.0706827907120628</v>
      </c>
      <c r="AZ5" s="71" t="s">
        <v>478</v>
      </c>
      <c r="BB5" s="67">
        <v>4.8</v>
      </c>
      <c r="BC5" s="67">
        <v>3.4</v>
      </c>
      <c r="BD5" s="67">
        <v>1.6</v>
      </c>
      <c r="BE5" s="67" t="s">
        <v>477</v>
      </c>
      <c r="BF5" s="71" t="s">
        <v>477</v>
      </c>
    </row>
    <row r="6" spans="1:58">
      <c r="B6" s="67">
        <v>4.5999999999999996</v>
      </c>
      <c r="C6" s="67">
        <v>3.1</v>
      </c>
      <c r="D6" s="67">
        <v>1.5</v>
      </c>
      <c r="E6" s="67" t="s">
        <v>477</v>
      </c>
      <c r="G6" s="88">
        <f t="shared" si="4"/>
        <v>-0.94064698688014725</v>
      </c>
      <c r="H6" s="88">
        <f t="shared" si="0"/>
        <v>-0.72071813420730757</v>
      </c>
      <c r="I6" s="88">
        <f t="shared" si="1"/>
        <v>0.48795003647426699</v>
      </c>
      <c r="W6" s="88">
        <f t="array" ref="W6:Y6">MMULT(G6:I6,$R$9:$T$11)</f>
        <v>-1.815773063940906</v>
      </c>
      <c r="X6" s="88">
        <v>-0.15117061924554764</v>
      </c>
      <c r="Y6" s="88">
        <v>1.6562846250860512</v>
      </c>
      <c r="AA6" s="88">
        <f>MMULT(W6:Y6,O3:O5)</f>
        <v>2.6251370113262666</v>
      </c>
      <c r="AB6" s="88">
        <f t="shared" si="5"/>
        <v>0.87504567044208892</v>
      </c>
      <c r="AD6" s="67">
        <v>6.4</v>
      </c>
      <c r="AE6" s="67">
        <v>3.2</v>
      </c>
      <c r="AF6" s="67">
        <v>4.5</v>
      </c>
      <c r="AG6" s="67" t="s">
        <v>478</v>
      </c>
      <c r="AI6" s="88">
        <f t="shared" si="6"/>
        <v>5.5715244607516494</v>
      </c>
      <c r="AJ6" s="88">
        <f t="shared" si="2"/>
        <v>-0.37751902268001719</v>
      </c>
      <c r="AK6" s="88">
        <f t="shared" si="3"/>
        <v>29.764952224930258</v>
      </c>
      <c r="AM6" s="88">
        <f t="array" ref="AM6:AO6">MMULT(AI6:AK6,$R$9:$T$11)</f>
        <v>-6.0212704476661116</v>
      </c>
      <c r="AN6" s="88">
        <v>-17.749417918835462</v>
      </c>
      <c r="AO6" s="88">
        <v>42.59342075419076</v>
      </c>
      <c r="AQ6" s="88">
        <f t="shared" si="7"/>
        <v>1240.944221166726</v>
      </c>
      <c r="AR6" s="88">
        <f t="shared" si="8"/>
        <v>413.64807372224203</v>
      </c>
      <c r="AS6" s="67" t="s">
        <v>488</v>
      </c>
      <c r="AV6" s="71">
        <v>413.64807372224203</v>
      </c>
      <c r="AW6" s="71" t="s">
        <v>487</v>
      </c>
      <c r="AX6" s="71"/>
      <c r="AY6" s="71">
        <v>0.61836655022668507</v>
      </c>
      <c r="AZ6" s="71" t="s">
        <v>478</v>
      </c>
      <c r="BB6" s="67">
        <v>7</v>
      </c>
      <c r="BC6" s="67">
        <v>3.2</v>
      </c>
      <c r="BD6" s="67">
        <v>4.7</v>
      </c>
      <c r="BE6" s="67" t="s">
        <v>478</v>
      </c>
      <c r="BF6" s="71" t="s">
        <v>478</v>
      </c>
    </row>
    <row r="7" spans="1:58">
      <c r="B7" s="67">
        <v>5</v>
      </c>
      <c r="C7" s="67">
        <v>3.6</v>
      </c>
      <c r="D7" s="67">
        <v>1.4</v>
      </c>
      <c r="E7" s="67" t="s">
        <v>477</v>
      </c>
      <c r="G7" s="88">
        <f t="shared" si="4"/>
        <v>0.50650222370469711</v>
      </c>
      <c r="H7" s="88">
        <f t="shared" si="0"/>
        <v>0.99527742342914294</v>
      </c>
      <c r="I7" s="88">
        <f t="shared" si="1"/>
        <v>-0.48795003647426699</v>
      </c>
      <c r="K7" s="120" t="s">
        <v>241</v>
      </c>
      <c r="L7" s="120"/>
      <c r="M7" s="120"/>
      <c r="N7" s="120"/>
      <c r="Q7" s="120" t="s">
        <v>485</v>
      </c>
      <c r="R7" s="120"/>
      <c r="S7" s="120"/>
      <c r="T7" s="120"/>
      <c r="W7" s="88">
        <f t="array" ref="W7:Y7">MMULT(G7:I7,$R$9:$T$11)</f>
        <v>-4.106865291078321E-2</v>
      </c>
      <c r="X7" s="88">
        <v>1.7359780970639207</v>
      </c>
      <c r="Y7" s="88">
        <v>-1.3645129664474775</v>
      </c>
      <c r="AA7" s="88">
        <f>MMULT(W7:Y7,P3:P5)</f>
        <v>2.3727925952989946</v>
      </c>
      <c r="AB7" s="88">
        <f t="shared" si="5"/>
        <v>0.79093086509966481</v>
      </c>
      <c r="AD7" s="67">
        <v>6.3</v>
      </c>
      <c r="AE7" s="67">
        <v>3.3</v>
      </c>
      <c r="AF7" s="67">
        <v>6</v>
      </c>
      <c r="AG7" s="67" t="s">
        <v>479</v>
      </c>
      <c r="AI7" s="88">
        <f t="shared" si="6"/>
        <v>5.2097371581054368</v>
      </c>
      <c r="AJ7" s="88">
        <f t="shared" si="2"/>
        <v>-3.4319911152728283E-2</v>
      </c>
      <c r="AK7" s="88">
        <f t="shared" si="3"/>
        <v>44.403453319158253</v>
      </c>
      <c r="AM7" s="88">
        <f t="array" ref="AM7:AO7">MMULT(AI7:AK7,$R$9:$T$11)</f>
        <v>-19.423116428684896</v>
      </c>
      <c r="AN7" s="88">
        <v>-18.957008569757065</v>
      </c>
      <c r="AO7" s="88">
        <v>65.902831435188176</v>
      </c>
      <c r="AQ7" s="88">
        <f t="shared" si="7"/>
        <v>2825.7745706978408</v>
      </c>
      <c r="AR7" s="88">
        <f t="shared" si="8"/>
        <v>941.92485689928026</v>
      </c>
      <c r="AS7" s="67" t="s">
        <v>488</v>
      </c>
      <c r="AV7" s="71">
        <v>941.92485689928026</v>
      </c>
      <c r="AW7" s="71" t="s">
        <v>487</v>
      </c>
      <c r="AX7" s="71"/>
      <c r="AY7" s="71">
        <v>21.238586011208515</v>
      </c>
      <c r="AZ7" s="71" t="s">
        <v>490</v>
      </c>
      <c r="BB7" s="67">
        <v>6.4</v>
      </c>
      <c r="BC7" s="67">
        <v>3.2</v>
      </c>
      <c r="BD7" s="67">
        <v>4.5</v>
      </c>
      <c r="BE7" s="67" t="s">
        <v>478</v>
      </c>
      <c r="BF7" s="71" t="s">
        <v>478</v>
      </c>
    </row>
    <row r="8" spans="1:58">
      <c r="B8" s="67">
        <v>5.4</v>
      </c>
      <c r="C8" s="67">
        <v>3.9</v>
      </c>
      <c r="D8" s="67">
        <v>1.7</v>
      </c>
      <c r="E8" s="67" t="s">
        <v>477</v>
      </c>
      <c r="G8" s="88">
        <f t="shared" si="4"/>
        <v>1.9536514342895415</v>
      </c>
      <c r="H8" s="88">
        <f t="shared" si="0"/>
        <v>2.0248747580110127</v>
      </c>
      <c r="I8" s="88">
        <f t="shared" si="1"/>
        <v>2.4397501823713328</v>
      </c>
      <c r="L8" s="67" t="s">
        <v>474</v>
      </c>
      <c r="M8" s="67" t="s">
        <v>475</v>
      </c>
      <c r="N8" s="67" t="s">
        <v>476</v>
      </c>
      <c r="R8" s="67" t="s">
        <v>474</v>
      </c>
      <c r="S8" s="67" t="s">
        <v>475</v>
      </c>
      <c r="T8" s="67" t="s">
        <v>476</v>
      </c>
      <c r="W8" s="88">
        <f t="array" ref="W8:Y8">MMULT(G8:I8,$R$9:$T$11)</f>
        <v>-1.3465132101889266E-2</v>
      </c>
      <c r="X8" s="88">
        <v>1.0468387952450033</v>
      </c>
      <c r="Y8" s="88">
        <v>1.9043778917128622</v>
      </c>
      <c r="AA8" s="88">
        <f>MMULT(W8:Y8,Q3:Q5)</f>
        <v>6.7396175861649024</v>
      </c>
      <c r="AB8" s="88">
        <f t="shared" si="5"/>
        <v>2.2465391953883009</v>
      </c>
      <c r="AD8" s="67">
        <v>5.8</v>
      </c>
      <c r="AE8" s="67">
        <v>2.7</v>
      </c>
      <c r="AF8" s="67">
        <v>5.0999999999999996</v>
      </c>
      <c r="AG8" s="67" t="s">
        <v>479</v>
      </c>
      <c r="AI8" s="88">
        <f t="shared" si="6"/>
        <v>3.4008006448743826</v>
      </c>
      <c r="AJ8" s="88">
        <f t="shared" si="2"/>
        <v>-2.0935145803164676</v>
      </c>
      <c r="AK8" s="88">
        <f t="shared" si="3"/>
        <v>35.620352662621457</v>
      </c>
      <c r="AM8" s="88">
        <f t="array" ref="AM8:AO8">MMULT(AI8:AK8,$R$9:$T$11)</f>
        <v>-13.864373268718982</v>
      </c>
      <c r="AN8" s="88">
        <v>-19.153246486289436</v>
      </c>
      <c r="AO8" s="88">
        <v>53.88515865707172</v>
      </c>
      <c r="AQ8" s="88">
        <f t="shared" si="7"/>
        <v>1912.3559858726078</v>
      </c>
      <c r="AR8" s="88">
        <f t="shared" si="8"/>
        <v>637.45199529086926</v>
      </c>
      <c r="AS8" s="67" t="s">
        <v>488</v>
      </c>
      <c r="AV8" s="71">
        <v>637.45199529086926</v>
      </c>
      <c r="AW8" s="71" t="s">
        <v>487</v>
      </c>
      <c r="AX8" s="71"/>
      <c r="AY8" s="71">
        <v>9.0921606799781021</v>
      </c>
      <c r="AZ8" s="71" t="s">
        <v>490</v>
      </c>
      <c r="BB8" s="67">
        <v>6.3</v>
      </c>
      <c r="BC8" s="67">
        <v>3.3</v>
      </c>
      <c r="BD8" s="67">
        <v>6</v>
      </c>
      <c r="BE8" s="67" t="s">
        <v>479</v>
      </c>
      <c r="BF8" s="67" t="s">
        <v>499</v>
      </c>
    </row>
    <row r="9" spans="1:58">
      <c r="B9" s="67">
        <v>4.5999999999999996</v>
      </c>
      <c r="C9" s="67">
        <v>3.4</v>
      </c>
      <c r="D9" s="67">
        <v>1.4</v>
      </c>
      <c r="E9" s="67" t="s">
        <v>477</v>
      </c>
      <c r="G9" s="88">
        <f t="shared" si="4"/>
        <v>-0.94064698688014725</v>
      </c>
      <c r="H9" s="88">
        <f t="shared" si="0"/>
        <v>0.30887920037456212</v>
      </c>
      <c r="I9" s="88">
        <f t="shared" si="1"/>
        <v>-0.48795003647426699</v>
      </c>
      <c r="K9" s="67" t="s">
        <v>474</v>
      </c>
      <c r="L9" s="88">
        <f t="array" ref="L9:N11">MMULT(L3:U5,G3:I12)/10</f>
        <v>1</v>
      </c>
      <c r="M9" s="88">
        <v>0.78720661246241763</v>
      </c>
      <c r="N9" s="88">
        <v>0.60021603357529341</v>
      </c>
      <c r="Q9" s="67" t="s">
        <v>474</v>
      </c>
      <c r="R9" s="88">
        <f t="array" ref="R9:T11">MINVERSE(L9:N11)</f>
        <v>3.0295749604189477</v>
      </c>
      <c r="S9" s="88">
        <v>-1.9724978698526621</v>
      </c>
      <c r="T9" s="88">
        <v>-0.79439996189819462</v>
      </c>
      <c r="W9" s="88">
        <f t="array" ref="W9:Y9">MMULT(G9:I9,$R$9:$T$11)</f>
        <v>-3.0713966324428617</v>
      </c>
      <c r="X9" s="88">
        <v>2.7693321891837348</v>
      </c>
      <c r="Y9" s="88">
        <v>-8.2115376982115351E-2</v>
      </c>
      <c r="AA9" s="88">
        <f>MMULT(W9:Y9,R3:R5)</f>
        <v>3.784557301181338</v>
      </c>
      <c r="AB9" s="88">
        <f t="shared" si="5"/>
        <v>1.2615191003937793</v>
      </c>
      <c r="AD9" s="67">
        <v>4.9000000000000004</v>
      </c>
      <c r="AE9" s="67">
        <v>3</v>
      </c>
      <c r="AF9" s="67">
        <v>1.4</v>
      </c>
      <c r="AG9" s="67" t="s">
        <v>477</v>
      </c>
      <c r="AI9" s="88">
        <f t="shared" si="6"/>
        <v>0.14471492105848766</v>
      </c>
      <c r="AJ9" s="88">
        <f t="shared" si="2"/>
        <v>-1.063917245734598</v>
      </c>
      <c r="AK9" s="88">
        <f t="shared" si="3"/>
        <v>-0.48795003647426699</v>
      </c>
      <c r="AM9" s="88">
        <f t="array" ref="AM9:AO9">MMULT(AI9:AK9,$R$9:$T$11)</f>
        <v>2.9246266925321849</v>
      </c>
      <c r="AN9" s="88">
        <v>-3.013831148479944</v>
      </c>
      <c r="AO9" s="88">
        <v>-0.6787622118628005</v>
      </c>
      <c r="AQ9" s="88">
        <f t="shared" si="7"/>
        <v>3.9609061015710711</v>
      </c>
      <c r="AR9" s="88">
        <f t="shared" si="8"/>
        <v>1.3203020338570237</v>
      </c>
      <c r="AS9" s="67" t="s">
        <v>486</v>
      </c>
      <c r="AV9" s="71">
        <v>1.3203020338570237</v>
      </c>
      <c r="AW9" s="71" t="s">
        <v>477</v>
      </c>
      <c r="AX9" s="71"/>
      <c r="AY9" s="71">
        <v>64.050984557215159</v>
      </c>
      <c r="AZ9" s="71" t="s">
        <v>490</v>
      </c>
      <c r="BB9" s="67">
        <v>5.8</v>
      </c>
      <c r="BC9" s="67">
        <v>2.7</v>
      </c>
      <c r="BD9" s="67">
        <v>5.0999999999999996</v>
      </c>
      <c r="BE9" s="67" t="s">
        <v>479</v>
      </c>
      <c r="BF9" s="67" t="s">
        <v>499</v>
      </c>
    </row>
    <row r="10" spans="1:58">
      <c r="B10" s="67">
        <v>5</v>
      </c>
      <c r="C10" s="67">
        <v>3.4</v>
      </c>
      <c r="D10" s="67">
        <v>1.5</v>
      </c>
      <c r="E10" s="67" t="s">
        <v>477</v>
      </c>
      <c r="G10" s="88">
        <f t="shared" si="4"/>
        <v>0.50650222370469711</v>
      </c>
      <c r="H10" s="88">
        <f t="shared" si="0"/>
        <v>0.30887920037456212</v>
      </c>
      <c r="I10" s="88">
        <f t="shared" si="1"/>
        <v>0.48795003647426699</v>
      </c>
      <c r="K10" s="67" t="s">
        <v>475</v>
      </c>
      <c r="L10" s="88">
        <v>0.78720661246241763</v>
      </c>
      <c r="M10" s="88">
        <v>1</v>
      </c>
      <c r="N10" s="88">
        <v>0.51913845886179888</v>
      </c>
      <c r="Q10" s="67" t="s">
        <v>475</v>
      </c>
      <c r="R10" s="88">
        <v>-1.9724978698526621</v>
      </c>
      <c r="S10" s="88">
        <v>2.6531896236755541</v>
      </c>
      <c r="T10" s="88">
        <v>-0.193447924624363</v>
      </c>
      <c r="W10" s="88">
        <f t="array" ref="W10:Y10">MMULT(G10:I10,$R$9:$T$11)</f>
        <v>0.53759539916826893</v>
      </c>
      <c r="X10" s="88">
        <v>-0.27395238980649017</v>
      </c>
      <c r="Y10" s="88">
        <v>0.30749587976281006</v>
      </c>
      <c r="AA10" s="88">
        <f>MMULT(W10:Y10,S3:S5)</f>
        <v>0.33771769577396338</v>
      </c>
      <c r="AB10" s="88">
        <f t="shared" si="5"/>
        <v>0.1125725652579878</v>
      </c>
      <c r="AD10" s="67">
        <v>5.7</v>
      </c>
      <c r="AE10" s="67">
        <v>2.8</v>
      </c>
      <c r="AF10" s="67">
        <v>4.0999999999999996</v>
      </c>
      <c r="AG10" s="67" t="s">
        <v>478</v>
      </c>
      <c r="AI10" s="88">
        <f t="shared" si="6"/>
        <v>3.0390133422281731</v>
      </c>
      <c r="AJ10" s="88">
        <f t="shared" si="2"/>
        <v>-1.7503154687891789</v>
      </c>
      <c r="AK10" s="88">
        <f t="shared" si="3"/>
        <v>25.861351933136124</v>
      </c>
      <c r="AM10" s="88">
        <f t="array" ref="AM10:AO10">MMULT(AI10:AK10,$R$9:$T$11)</f>
        <v>-7.8848447305687515</v>
      </c>
      <c r="AN10" s="88">
        <v>-15.641191043394594</v>
      </c>
      <c r="AO10" s="88">
        <v>38.713905975705977</v>
      </c>
      <c r="AQ10" s="88">
        <f t="shared" si="7"/>
        <v>1004.6088174400184</v>
      </c>
      <c r="AR10" s="88">
        <f t="shared" si="8"/>
        <v>334.86960581333943</v>
      </c>
      <c r="AS10" s="67" t="s">
        <v>488</v>
      </c>
      <c r="AV10" s="71">
        <v>334.86960581333943</v>
      </c>
      <c r="AW10" s="71" t="s">
        <v>487</v>
      </c>
      <c r="AX10" s="71"/>
      <c r="AY10" s="71">
        <v>0.18514171912803126</v>
      </c>
      <c r="AZ10" s="71" t="s">
        <v>478</v>
      </c>
      <c r="BB10" s="67">
        <v>4.9000000000000004</v>
      </c>
      <c r="BC10" s="67">
        <v>3</v>
      </c>
      <c r="BD10" s="67">
        <v>1.4</v>
      </c>
      <c r="BE10" s="67" t="s">
        <v>477</v>
      </c>
      <c r="BF10" s="71" t="s">
        <v>477</v>
      </c>
    </row>
    <row r="11" spans="1:58">
      <c r="B11" s="67">
        <v>4.4000000000000004</v>
      </c>
      <c r="C11" s="67">
        <v>2.9</v>
      </c>
      <c r="D11" s="67">
        <v>1.4</v>
      </c>
      <c r="E11" s="67" t="s">
        <v>477</v>
      </c>
      <c r="G11" s="88">
        <f t="shared" si="4"/>
        <v>-1.6642215921725663</v>
      </c>
      <c r="H11" s="88">
        <f t="shared" si="0"/>
        <v>-1.4071163572618886</v>
      </c>
      <c r="I11" s="88">
        <f t="shared" si="1"/>
        <v>-0.48795003647426699</v>
      </c>
      <c r="K11" s="67" t="s">
        <v>476</v>
      </c>
      <c r="L11" s="88">
        <v>0.60021603357529341</v>
      </c>
      <c r="M11" s="88">
        <v>0.51913845886179888</v>
      </c>
      <c r="N11" s="88">
        <v>1.0000000000000004</v>
      </c>
      <c r="Q11" s="67" t="s">
        <v>476</v>
      </c>
      <c r="R11" s="88">
        <v>-0.79439996189819473</v>
      </c>
      <c r="S11" s="88">
        <v>-0.193447924624363</v>
      </c>
      <c r="T11" s="88">
        <v>1.577237851662403</v>
      </c>
      <c r="W11" s="88">
        <f t="array" ref="W11:Y11">MMULT(G11:I11,$R$9:$T$11)</f>
        <v>-1.8787225565172676</v>
      </c>
      <c r="X11" s="88">
        <v>-0.35628005099186477</v>
      </c>
      <c r="Y11" s="88">
        <v>0.82464804118208124</v>
      </c>
      <c r="AA11" s="88">
        <f>MMULT(W11:Y11,T3:T5)</f>
        <v>3.2255510900012045</v>
      </c>
      <c r="AB11" s="88">
        <f t="shared" si="5"/>
        <v>1.0751836966670683</v>
      </c>
      <c r="AD11" s="67">
        <v>6.3</v>
      </c>
      <c r="AE11" s="67">
        <v>3.3</v>
      </c>
      <c r="AF11" s="67">
        <v>6</v>
      </c>
      <c r="AG11" s="67" t="s">
        <v>479</v>
      </c>
      <c r="AI11" s="88">
        <f t="shared" si="6"/>
        <v>5.2097371581054368</v>
      </c>
      <c r="AJ11" s="88">
        <f t="shared" si="2"/>
        <v>-3.4319911152728283E-2</v>
      </c>
      <c r="AK11" s="88">
        <f t="shared" si="3"/>
        <v>44.403453319158253</v>
      </c>
      <c r="AM11" s="88">
        <f t="array" ref="AM11:AO11">MMULT(AI11:AK11,$R$9:$T$11)</f>
        <v>-19.423116428684896</v>
      </c>
      <c r="AN11" s="88">
        <v>-18.957008569757065</v>
      </c>
      <c r="AO11" s="88">
        <v>65.902831435188176</v>
      </c>
      <c r="AQ11" s="88">
        <f t="shared" si="7"/>
        <v>2825.7745706978408</v>
      </c>
      <c r="AR11" s="88">
        <f t="shared" si="8"/>
        <v>941.92485689928026</v>
      </c>
      <c r="AS11" s="67" t="s">
        <v>488</v>
      </c>
      <c r="AV11" s="71">
        <v>941.92485689928026</v>
      </c>
      <c r="AW11" s="71" t="s">
        <v>487</v>
      </c>
      <c r="AX11" s="71"/>
      <c r="AY11" s="71">
        <v>21.238586011208515</v>
      </c>
      <c r="AZ11" s="71" t="s">
        <v>490</v>
      </c>
      <c r="BB11" s="67">
        <v>5.7</v>
      </c>
      <c r="BC11" s="67">
        <v>2.8</v>
      </c>
      <c r="BD11" s="67">
        <v>4.0999999999999996</v>
      </c>
      <c r="BE11" s="67" t="s">
        <v>478</v>
      </c>
      <c r="BF11" s="71" t="s">
        <v>478</v>
      </c>
    </row>
    <row r="12" spans="1:58">
      <c r="B12" s="67">
        <v>4.9000000000000004</v>
      </c>
      <c r="C12" s="67">
        <v>3.1</v>
      </c>
      <c r="D12" s="67">
        <v>1.5</v>
      </c>
      <c r="E12" s="67" t="s">
        <v>477</v>
      </c>
      <c r="G12" s="88">
        <f t="shared" si="4"/>
        <v>0.14471492105848766</v>
      </c>
      <c r="H12" s="88">
        <f t="shared" si="0"/>
        <v>-0.72071813420730757</v>
      </c>
      <c r="I12" s="88">
        <f t="shared" si="1"/>
        <v>0.48795003647426699</v>
      </c>
      <c r="W12" s="88">
        <f t="array" ref="W12:Y12">MMULT(G12:I12,$R$9:$T$11)</f>
        <v>1.4724121953425175</v>
      </c>
      <c r="X12" s="88">
        <v>-2.2920446706737261</v>
      </c>
      <c r="Y12" s="88">
        <v>0.79407316677384798</v>
      </c>
      <c r="AA12" s="88">
        <f>MMULT(W12:Y12,U3:U5)</f>
        <v>2.2524662038728533</v>
      </c>
      <c r="AB12" s="88">
        <f t="shared" si="5"/>
        <v>0.75082206795761774</v>
      </c>
      <c r="BB12" s="67">
        <v>6.3</v>
      </c>
      <c r="BC12" s="67">
        <v>3.3</v>
      </c>
      <c r="BD12" s="67">
        <v>6</v>
      </c>
      <c r="BE12" s="67" t="s">
        <v>479</v>
      </c>
      <c r="BF12" s="67" t="s">
        <v>499</v>
      </c>
    </row>
    <row r="13" spans="1:58">
      <c r="A13" s="67" t="s">
        <v>480</v>
      </c>
      <c r="B13" s="88">
        <f>AVERAGE(B3:B12)</f>
        <v>4.8599999999999994</v>
      </c>
      <c r="C13" s="88">
        <f t="shared" ref="C13:D13" si="9">AVERAGE(C3:C12)</f>
        <v>3.3099999999999996</v>
      </c>
      <c r="D13" s="88">
        <f t="shared" si="9"/>
        <v>1.45</v>
      </c>
      <c r="F13" s="67" t="s">
        <v>480</v>
      </c>
      <c r="G13" s="88">
        <f>AVERAGE(G3:G12)</f>
        <v>2.2370993946196903E-15</v>
      </c>
      <c r="H13" s="88">
        <f t="shared" ref="H13" si="10">AVERAGE(H3:H12)</f>
        <v>1.3655743202889426E-15</v>
      </c>
      <c r="I13" s="88">
        <f t="shared" ref="I13" si="11">AVERAGE(I3:I12)</f>
        <v>0</v>
      </c>
    </row>
    <row r="14" spans="1:58">
      <c r="A14" s="67" t="s">
        <v>481</v>
      </c>
      <c r="B14" s="88">
        <f>_xlfn.STDEV.P(B3:B12)</f>
        <v>0.2764054992217051</v>
      </c>
      <c r="C14" s="88">
        <f t="shared" ref="C14:D14" si="12">_xlfn.STDEV.P(C3:C12)</f>
        <v>0.2913760456866693</v>
      </c>
      <c r="D14" s="88">
        <f t="shared" si="12"/>
        <v>0.10246950765959599</v>
      </c>
      <c r="F14" s="67" t="s">
        <v>481</v>
      </c>
      <c r="G14" s="88">
        <f>_xlfn.STDEV.P(G3:G12)</f>
        <v>1</v>
      </c>
      <c r="H14" s="88">
        <f t="shared" ref="H14:I14" si="13">_xlfn.STDEV.P(H3:H12)</f>
        <v>1</v>
      </c>
      <c r="I14" s="88">
        <f t="shared" si="13"/>
        <v>1</v>
      </c>
    </row>
    <row r="15" spans="1:58">
      <c r="B15" s="120" t="s">
        <v>483</v>
      </c>
      <c r="C15" s="120"/>
      <c r="D15" s="120"/>
      <c r="E15" s="120"/>
      <c r="G15" s="120" t="s">
        <v>240</v>
      </c>
      <c r="H15" s="120"/>
      <c r="I15" s="120"/>
      <c r="W15" s="120" t="s">
        <v>242</v>
      </c>
      <c r="X15" s="120"/>
      <c r="Y15" s="120"/>
      <c r="AI15" s="120" t="s">
        <v>467</v>
      </c>
      <c r="AJ15" s="120"/>
      <c r="AK15" s="120"/>
      <c r="AM15" s="120" t="s">
        <v>242</v>
      </c>
      <c r="AN15" s="120"/>
      <c r="AO15" s="120"/>
    </row>
    <row r="16" spans="1:58">
      <c r="B16" s="67" t="s">
        <v>474</v>
      </c>
      <c r="C16" s="67" t="s">
        <v>475</v>
      </c>
      <c r="D16" s="67" t="s">
        <v>476</v>
      </c>
      <c r="E16" s="67" t="s">
        <v>472</v>
      </c>
      <c r="G16" s="67" t="s">
        <v>474</v>
      </c>
      <c r="H16" s="67" t="s">
        <v>475</v>
      </c>
      <c r="I16" s="67" t="s">
        <v>476</v>
      </c>
      <c r="K16" s="120" t="s">
        <v>484</v>
      </c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W16" s="67" t="s">
        <v>474</v>
      </c>
      <c r="X16" s="67" t="s">
        <v>475</v>
      </c>
      <c r="Y16" s="67" t="s">
        <v>476</v>
      </c>
      <c r="AA16" s="68" t="s">
        <v>243</v>
      </c>
      <c r="AB16" s="66" t="s">
        <v>494</v>
      </c>
      <c r="AI16" s="67" t="s">
        <v>474</v>
      </c>
      <c r="AJ16" s="67" t="s">
        <v>475</v>
      </c>
      <c r="AK16" s="67" t="s">
        <v>476</v>
      </c>
      <c r="AM16" s="67" t="s">
        <v>474</v>
      </c>
      <c r="AN16" s="67" t="s">
        <v>475</v>
      </c>
      <c r="AO16" s="67" t="s">
        <v>476</v>
      </c>
      <c r="AQ16" s="68" t="s">
        <v>243</v>
      </c>
      <c r="AR16" s="66" t="s">
        <v>494</v>
      </c>
      <c r="AS16" s="69" t="s">
        <v>492</v>
      </c>
    </row>
    <row r="17" spans="1:45">
      <c r="B17" s="67">
        <v>7</v>
      </c>
      <c r="C17" s="67">
        <v>3.2</v>
      </c>
      <c r="D17" s="67">
        <v>4.7</v>
      </c>
      <c r="E17" s="67" t="s">
        <v>478</v>
      </c>
      <c r="G17" s="88">
        <f>(B17-B$27)/B$28</f>
        <v>1.3044848302180045</v>
      </c>
      <c r="H17" s="88">
        <f t="shared" ref="H17:H26" si="14">(C17-C$27)/C$28</f>
        <v>1.0227949501666787</v>
      </c>
      <c r="I17" s="88">
        <f t="shared" ref="I17:I26" si="15">(D17-D$27)/D$28</f>
        <v>0.71319059307156929</v>
      </c>
      <c r="K17" s="67" t="s">
        <v>474</v>
      </c>
      <c r="L17" s="88">
        <f t="array" ref="L17:U19">TRANSPOSE(G17:I26)</f>
        <v>1.3044848302180045</v>
      </c>
      <c r="M17" s="88">
        <v>0.43482827673933566</v>
      </c>
      <c r="N17" s="88">
        <v>1.1595420713048934</v>
      </c>
      <c r="O17" s="88">
        <v>-0.86965655347866877</v>
      </c>
      <c r="P17" s="88">
        <v>0.5797710356524467</v>
      </c>
      <c r="Q17" s="88">
        <v>-0.57977103565244537</v>
      </c>
      <c r="R17" s="88">
        <v>0.28988551782622335</v>
      </c>
      <c r="S17" s="88">
        <v>-1.7393131069573375</v>
      </c>
      <c r="T17" s="88">
        <v>0.72471379456555773</v>
      </c>
      <c r="U17" s="88">
        <v>-1.3044848302180032</v>
      </c>
      <c r="W17" s="88">
        <f t="array" ref="W17:Y17">MMULT(G17:I17,$R$23:$T$25)</f>
        <v>3.6440944099575101</v>
      </c>
      <c r="X17" s="88">
        <v>0.70246977555068524</v>
      </c>
      <c r="Y17" s="88">
        <v>-3.168998675206546</v>
      </c>
      <c r="AA17" s="88">
        <f>MMULT(W17:Y17,L17:L19)</f>
        <v>3.2120483721361888</v>
      </c>
      <c r="AB17" s="88">
        <f t="shared" ref="AB17:AB26" si="16">AA17/3</f>
        <v>1.0706827907120628</v>
      </c>
      <c r="AI17" s="88">
        <f>(AD3-B$27)/B$28</f>
        <v>-1.0145993123917798</v>
      </c>
      <c r="AJ17" s="88">
        <f t="shared" ref="AJ17:AJ25" si="17">(AE3-C$27)/C$28</f>
        <v>2.5724842686010403</v>
      </c>
      <c r="AK17" s="88">
        <f t="shared" ref="AK17:AK25" si="18">(AF3-D$27)/D$28</f>
        <v>-6.2025969761072828</v>
      </c>
      <c r="AM17" s="88">
        <f t="array" ref="AM17:AO17">MMULT(AI17:AK17,$R$23:$T$25)</f>
        <v>21.830484881278068</v>
      </c>
      <c r="AN17" s="88">
        <v>17.416407607065977</v>
      </c>
      <c r="AO17" s="88">
        <v>-39.996505881223101</v>
      </c>
      <c r="AQ17" s="88">
        <f>SUMPRODUCT(AI17:AK17,AM17:AO17)</f>
        <v>270.73644606872841</v>
      </c>
      <c r="AR17" s="88">
        <f>AQ17/3</f>
        <v>90.245482022909471</v>
      </c>
      <c r="AS17" s="67" t="s">
        <v>491</v>
      </c>
    </row>
    <row r="18" spans="1:45">
      <c r="B18" s="67">
        <v>6.4</v>
      </c>
      <c r="C18" s="67">
        <v>3.2</v>
      </c>
      <c r="D18" s="67">
        <v>4.5</v>
      </c>
      <c r="E18" s="67" t="s">
        <v>478</v>
      </c>
      <c r="G18" s="88">
        <f t="shared" ref="G18:G26" si="19">(B18-B$27)/B$28</f>
        <v>0.43482827673933566</v>
      </c>
      <c r="H18" s="88">
        <f t="shared" si="14"/>
        <v>1.0227949501666787</v>
      </c>
      <c r="I18" s="88">
        <f t="shared" si="15"/>
        <v>0.28095386999789063</v>
      </c>
      <c r="K18" s="67" t="s">
        <v>475</v>
      </c>
      <c r="L18" s="88">
        <v>1.0227949501666787</v>
      </c>
      <c r="M18" s="88">
        <v>1.0227949501666787</v>
      </c>
      <c r="N18" s="88">
        <v>0.71285708647980617</v>
      </c>
      <c r="O18" s="88">
        <v>-1.7666458230151729</v>
      </c>
      <c r="P18" s="88">
        <v>-0.21695650458081148</v>
      </c>
      <c r="Q18" s="88">
        <v>-0.21695650458081148</v>
      </c>
      <c r="R18" s="88">
        <v>1.3327328138535499</v>
      </c>
      <c r="S18" s="88">
        <v>-1.4567079593283003</v>
      </c>
      <c r="T18" s="88">
        <v>9.2981359106061076E-2</v>
      </c>
      <c r="U18" s="88">
        <v>-0.52689436826768266</v>
      </c>
      <c r="W18" s="88">
        <f t="array" ref="W18:Y18">MMULT(G18:I18,$R$23:$T$25)</f>
        <v>0.36726068850938187</v>
      </c>
      <c r="X18" s="88">
        <v>2.141749936850148</v>
      </c>
      <c r="Y18" s="88">
        <v>-1.7624484103117457</v>
      </c>
      <c r="AA18" s="88">
        <f>MMULT(W18:Y18,M17:M19)</f>
        <v>1.8550996506800552</v>
      </c>
      <c r="AB18" s="88">
        <f t="shared" si="16"/>
        <v>0.61836655022668507</v>
      </c>
      <c r="AI18" s="88">
        <f t="shared" ref="AI18:AI25" si="20">(AD4-B$27)/B$28</f>
        <v>-1.8842558658704498</v>
      </c>
      <c r="AJ18" s="88">
        <f t="shared" si="17"/>
        <v>1.6426706775404225</v>
      </c>
      <c r="AK18" s="88">
        <f t="shared" si="18"/>
        <v>-5.9864786145704434</v>
      </c>
      <c r="AM18" s="88">
        <f t="array" ref="AM18:AO18">MMULT(AI18:AK18,$R$23:$T$25)</f>
        <v>16.227833538891232</v>
      </c>
      <c r="AN18" s="88">
        <v>15.223848538505855</v>
      </c>
      <c r="AO18" s="88">
        <v>-32.924123342416209</v>
      </c>
      <c r="AQ18" s="88">
        <f t="shared" ref="AQ18:AQ25" si="21">SUMPRODUCT(AI18:AK18,AM18:AO18)</f>
        <v>191.52993935034937</v>
      </c>
      <c r="AR18" s="88">
        <f t="shared" ref="AR18:AR25" si="22">AQ18/3</f>
        <v>63.843313116783122</v>
      </c>
      <c r="AS18" s="67" t="s">
        <v>491</v>
      </c>
    </row>
    <row r="19" spans="1:45">
      <c r="B19" s="67">
        <v>6.9</v>
      </c>
      <c r="C19" s="67">
        <v>3.1</v>
      </c>
      <c r="D19" s="67">
        <v>4.9000000000000004</v>
      </c>
      <c r="E19" s="67" t="s">
        <v>478</v>
      </c>
      <c r="G19" s="88">
        <f t="shared" si="19"/>
        <v>1.1595420713048934</v>
      </c>
      <c r="H19" s="88">
        <f t="shared" si="14"/>
        <v>0.71285708647980617</v>
      </c>
      <c r="I19" s="88">
        <f t="shared" si="15"/>
        <v>1.145427316145248</v>
      </c>
      <c r="K19" s="67" t="s">
        <v>476</v>
      </c>
      <c r="L19" s="88">
        <v>0.71319059307156929</v>
      </c>
      <c r="M19" s="88">
        <v>0.28095386999789063</v>
      </c>
      <c r="N19" s="88">
        <v>1.145427316145248</v>
      </c>
      <c r="O19" s="88">
        <v>-0.79963793768630498</v>
      </c>
      <c r="P19" s="88">
        <v>0.49707223153472896</v>
      </c>
      <c r="Q19" s="88">
        <v>0.28095386999789063</v>
      </c>
      <c r="R19" s="88">
        <v>0.71319059307156929</v>
      </c>
      <c r="S19" s="88">
        <v>-2.3124664684441791</v>
      </c>
      <c r="T19" s="88">
        <v>0.49707223153472896</v>
      </c>
      <c r="U19" s="88">
        <v>-1.0157562992231444</v>
      </c>
      <c r="W19" s="88">
        <f t="array" ref="W19:Y19">MMULT(G19:I19,$R$23:$T$25)</f>
        <v>0.90432900671908723</v>
      </c>
      <c r="X19" s="88">
        <v>-0.68812739838803183</v>
      </c>
      <c r="Y19" s="88">
        <v>0.87005276522400443</v>
      </c>
      <c r="AA19" s="88">
        <f>MMULT(W19:Y19,N17:N19)</f>
        <v>1.5546532410256091</v>
      </c>
      <c r="AB19" s="88">
        <f t="shared" si="16"/>
        <v>0.5182177470085364</v>
      </c>
      <c r="AI19" s="88">
        <f t="shared" si="20"/>
        <v>1.3044848302180045</v>
      </c>
      <c r="AJ19" s="88">
        <f t="shared" si="17"/>
        <v>1.0227949501666787</v>
      </c>
      <c r="AK19" s="88">
        <f t="shared" si="18"/>
        <v>0.71319059307156929</v>
      </c>
      <c r="AM19" s="88">
        <f t="array" ref="AM19:AO19">MMULT(AI19:AK19,$R$23:$T$25)</f>
        <v>3.6440944099575101</v>
      </c>
      <c r="AN19" s="88">
        <v>0.70246977555068524</v>
      </c>
      <c r="AO19" s="88">
        <v>-3.168998675206546</v>
      </c>
      <c r="AQ19" s="88">
        <f t="shared" si="21"/>
        <v>3.2120483721361888</v>
      </c>
      <c r="AR19" s="88">
        <f t="shared" si="22"/>
        <v>1.0706827907120628</v>
      </c>
      <c r="AS19" s="67" t="s">
        <v>489</v>
      </c>
    </row>
    <row r="20" spans="1:45">
      <c r="B20" s="67">
        <v>5.5</v>
      </c>
      <c r="C20" s="67">
        <v>2.2999999999999998</v>
      </c>
      <c r="D20" s="67">
        <v>4</v>
      </c>
      <c r="E20" s="67" t="s">
        <v>478</v>
      </c>
      <c r="G20" s="88">
        <f t="shared" si="19"/>
        <v>-0.86965655347866877</v>
      </c>
      <c r="H20" s="88">
        <f t="shared" si="14"/>
        <v>-1.7666458230151729</v>
      </c>
      <c r="I20" s="88">
        <f t="shared" si="15"/>
        <v>-0.79963793768630498</v>
      </c>
      <c r="W20" s="88">
        <f t="array" ref="W20:Y20">MMULT(G20:I20,$R$23:$T$25)</f>
        <v>0.17597699566549041</v>
      </c>
      <c r="X20" s="88">
        <v>-3.130968486112109</v>
      </c>
      <c r="Y20" s="88">
        <v>1.5377447927032444</v>
      </c>
      <c r="AA20" s="88">
        <f>MMULT(W20:Y20,O17:O19)</f>
        <v>4.1486337757150391</v>
      </c>
      <c r="AB20" s="88">
        <f t="shared" si="16"/>
        <v>1.3828779252383463</v>
      </c>
      <c r="AI20" s="88">
        <f t="shared" si="20"/>
        <v>0.43482827673933566</v>
      </c>
      <c r="AJ20" s="88">
        <f t="shared" si="17"/>
        <v>1.0227949501666787</v>
      </c>
      <c r="AK20" s="88">
        <f t="shared" si="18"/>
        <v>0.28095386999789063</v>
      </c>
      <c r="AM20" s="88">
        <f t="array" ref="AM20:AO20">MMULT(AI20:AK20,$R$23:$T$25)</f>
        <v>0.36726068850938187</v>
      </c>
      <c r="AN20" s="88">
        <v>2.141749936850148</v>
      </c>
      <c r="AO20" s="88">
        <v>-1.7624484103117457</v>
      </c>
      <c r="AQ20" s="88">
        <f t="shared" si="21"/>
        <v>1.8550996506800552</v>
      </c>
      <c r="AR20" s="88">
        <f t="shared" si="22"/>
        <v>0.61836655022668507</v>
      </c>
      <c r="AS20" s="67" t="s">
        <v>489</v>
      </c>
    </row>
    <row r="21" spans="1:45">
      <c r="B21" s="67">
        <v>6.5</v>
      </c>
      <c r="C21" s="67">
        <v>2.8</v>
      </c>
      <c r="D21" s="67">
        <v>4.5999999999999996</v>
      </c>
      <c r="E21" s="67" t="s">
        <v>478</v>
      </c>
      <c r="G21" s="88">
        <f t="shared" si="19"/>
        <v>0.5797710356524467</v>
      </c>
      <c r="H21" s="88">
        <f t="shared" si="14"/>
        <v>-0.21695650458081148</v>
      </c>
      <c r="I21" s="88">
        <f t="shared" si="15"/>
        <v>0.49707223153472896</v>
      </c>
      <c r="K21" s="120" t="s">
        <v>465</v>
      </c>
      <c r="L21" s="120"/>
      <c r="M21" s="120"/>
      <c r="N21" s="120"/>
      <c r="Q21" s="120" t="s">
        <v>485</v>
      </c>
      <c r="R21" s="120"/>
      <c r="S21" s="120"/>
      <c r="T21" s="120"/>
      <c r="W21" s="88">
        <f t="array" ref="W21:Y21">MMULT(G21:I21,$R$23:$T$25)</f>
        <v>1.3581942542095682</v>
      </c>
      <c r="X21" s="88">
        <v>-1.8909220860072988</v>
      </c>
      <c r="Y21" s="88">
        <v>0.76753048164508497</v>
      </c>
      <c r="AA21" s="88">
        <f>MMULT(W21:Y21,P17:P19)</f>
        <v>1.5792076248773315</v>
      </c>
      <c r="AB21" s="88">
        <f t="shared" si="16"/>
        <v>0.52640254162577715</v>
      </c>
      <c r="AI21" s="88">
        <f t="shared" si="20"/>
        <v>0.28988551782622335</v>
      </c>
      <c r="AJ21" s="88">
        <f t="shared" si="17"/>
        <v>1.3327328138535499</v>
      </c>
      <c r="AK21" s="88">
        <f t="shared" si="18"/>
        <v>3.5227292930504772</v>
      </c>
      <c r="AM21" s="88">
        <f t="array" ref="AM21:AO21">MMULT(AI21:AK21,$R$23:$T$25)</f>
        <v>-16.778441114300151</v>
      </c>
      <c r="AN21" s="88">
        <v>-1.5510924811224442</v>
      </c>
      <c r="AO21" s="88">
        <v>20.054557445173046</v>
      </c>
      <c r="AQ21" s="88">
        <f t="shared" si="21"/>
        <v>63.715758033625541</v>
      </c>
      <c r="AR21" s="88">
        <f t="shared" si="22"/>
        <v>21.238586011208515</v>
      </c>
      <c r="AS21" s="67" t="s">
        <v>491</v>
      </c>
    </row>
    <row r="22" spans="1:45">
      <c r="B22" s="67">
        <v>5.7</v>
      </c>
      <c r="C22" s="67">
        <v>2.8</v>
      </c>
      <c r="D22" s="67">
        <v>4.5</v>
      </c>
      <c r="E22" s="67" t="s">
        <v>478</v>
      </c>
      <c r="G22" s="88">
        <f t="shared" si="19"/>
        <v>-0.57977103565244537</v>
      </c>
      <c r="H22" s="88">
        <f t="shared" si="14"/>
        <v>-0.21695650458081148</v>
      </c>
      <c r="I22" s="88">
        <f t="shared" si="15"/>
        <v>0.28095386999789063</v>
      </c>
      <c r="L22" s="67" t="s">
        <v>474</v>
      </c>
      <c r="M22" s="67" t="s">
        <v>475</v>
      </c>
      <c r="N22" s="67" t="s">
        <v>476</v>
      </c>
      <c r="R22" s="67" t="s">
        <v>474</v>
      </c>
      <c r="S22" s="67" t="s">
        <v>475</v>
      </c>
      <c r="T22" s="67" t="s">
        <v>476</v>
      </c>
      <c r="W22" s="88">
        <f t="array" ref="W22:Y22">MMULT(G22:I22,$R$23:$T$25)</f>
        <v>-4.7838597610764886</v>
      </c>
      <c r="X22" s="88">
        <v>-0.49671202619397264</v>
      </c>
      <c r="Y22" s="88">
        <v>5.0379503827265637</v>
      </c>
      <c r="AA22" s="88">
        <f>MMULT(W22:Y22,Q17:Q19)</f>
        <v>4.2967398899660552</v>
      </c>
      <c r="AB22" s="88">
        <f t="shared" si="16"/>
        <v>1.4322466299886851</v>
      </c>
      <c r="AI22" s="88">
        <f t="shared" si="20"/>
        <v>-0.43482827673933439</v>
      </c>
      <c r="AJ22" s="88">
        <f t="shared" si="17"/>
        <v>-0.52689436826768266</v>
      </c>
      <c r="AK22" s="88">
        <f t="shared" si="18"/>
        <v>1.5776640392189245</v>
      </c>
      <c r="AM22" s="88">
        <f t="array" ref="AM22:AO22">MMULT(AI22:AK22,$R$23:$T$25)</f>
        <v>-9.9772320305426234</v>
      </c>
      <c r="AN22" s="88">
        <v>-3.4167295644044144</v>
      </c>
      <c r="AO22" s="88">
        <v>13.398190830635645</v>
      </c>
      <c r="AQ22" s="88">
        <f t="shared" si="21"/>
        <v>27.276482039934308</v>
      </c>
      <c r="AR22" s="88">
        <f t="shared" si="22"/>
        <v>9.0921606799781021</v>
      </c>
      <c r="AS22" s="67" t="s">
        <v>491</v>
      </c>
    </row>
    <row r="23" spans="1:45">
      <c r="B23" s="67">
        <v>6.3</v>
      </c>
      <c r="C23" s="67">
        <v>3.3</v>
      </c>
      <c r="D23" s="67">
        <v>4.7</v>
      </c>
      <c r="E23" s="67" t="s">
        <v>478</v>
      </c>
      <c r="G23" s="88">
        <f t="shared" si="19"/>
        <v>0.28988551782622335</v>
      </c>
      <c r="H23" s="88">
        <f t="shared" si="14"/>
        <v>1.3327328138535499</v>
      </c>
      <c r="I23" s="88">
        <f t="shared" si="15"/>
        <v>0.71319059307156929</v>
      </c>
      <c r="K23" s="67" t="s">
        <v>474</v>
      </c>
      <c r="L23" s="88">
        <f t="array" ref="L23:N25">MMULT(L17:U19,G17:I26)/10</f>
        <v>0.99999999999999223</v>
      </c>
      <c r="M23" s="88">
        <v>0.78166453354675425</v>
      </c>
      <c r="N23" s="88">
        <v>0.91155143477228484</v>
      </c>
      <c r="Q23" s="67" t="s">
        <v>474</v>
      </c>
      <c r="R23" s="88">
        <f t="array" ref="R23:T25">MINVERSE(L23:N25)</f>
        <v>6.2143665379817588</v>
      </c>
      <c r="S23" s="88">
        <v>-0.93080880234655849</v>
      </c>
      <c r="T23" s="88">
        <v>-4.9221427760630112</v>
      </c>
      <c r="W23" s="88">
        <f t="array" ref="W23:Y23">MMULT(G23:I23,$R$23:$T$25)</f>
        <v>-2.9494904981295038</v>
      </c>
      <c r="X23" s="88">
        <v>2.5425827298480064</v>
      </c>
      <c r="Y23" s="88">
        <v>1.3734049716435086</v>
      </c>
      <c r="AA23" s="88">
        <f>MMULT(W23:Y23,R17:R19)</f>
        <v>3.5130683618858529</v>
      </c>
      <c r="AB23" s="88">
        <f t="shared" si="16"/>
        <v>1.1710227872952843</v>
      </c>
      <c r="AI23" s="88">
        <f t="shared" si="20"/>
        <v>-1.7393131069573375</v>
      </c>
      <c r="AJ23" s="88">
        <f t="shared" si="17"/>
        <v>0.40291922279293363</v>
      </c>
      <c r="AK23" s="88">
        <f t="shared" si="18"/>
        <v>-6.4187153376441222</v>
      </c>
      <c r="AM23" s="88">
        <f t="array" ref="AM23:AO23">MMULT(AI23:AK23,$R$23:$T$25)</f>
        <v>20.410063400630804</v>
      </c>
      <c r="AN23" s="88">
        <v>12.135870795103131</v>
      </c>
      <c r="AO23" s="88">
        <v>-34.705179636658514</v>
      </c>
      <c r="AQ23" s="88">
        <f t="shared" si="21"/>
        <v>192.15295367164549</v>
      </c>
      <c r="AR23" s="88">
        <f t="shared" si="22"/>
        <v>64.050984557215159</v>
      </c>
      <c r="AS23" s="67" t="s">
        <v>491</v>
      </c>
    </row>
    <row r="24" spans="1:45">
      <c r="B24" s="67">
        <v>4.9000000000000004</v>
      </c>
      <c r="C24" s="67">
        <v>2.4</v>
      </c>
      <c r="D24" s="67">
        <v>3.3</v>
      </c>
      <c r="E24" s="67" t="s">
        <v>478</v>
      </c>
      <c r="G24" s="88">
        <f t="shared" si="19"/>
        <v>-1.7393131069573375</v>
      </c>
      <c r="H24" s="88">
        <f t="shared" si="14"/>
        <v>-1.4567079593283003</v>
      </c>
      <c r="I24" s="88">
        <f t="shared" si="15"/>
        <v>-2.3124664684441791</v>
      </c>
      <c r="K24" s="67" t="s">
        <v>475</v>
      </c>
      <c r="L24" s="88">
        <v>0.78166453354675425</v>
      </c>
      <c r="M24" s="88">
        <v>1.0000000000000033</v>
      </c>
      <c r="N24" s="88">
        <v>0.7977706656437793</v>
      </c>
      <c r="Q24" s="67" t="s">
        <v>475</v>
      </c>
      <c r="R24" s="88">
        <v>-0.93080880234655827</v>
      </c>
      <c r="S24" s="88">
        <v>2.8899824397487035</v>
      </c>
      <c r="T24" s="88">
        <v>-1.4570631153794689</v>
      </c>
      <c r="W24" s="88">
        <f t="array" ref="W24:Y24">MMULT(G24:I24,$R$23:$T$25)</f>
        <v>1.9294775425827666</v>
      </c>
      <c r="X24" s="88">
        <v>0.77851712441350784</v>
      </c>
      <c r="Y24" s="88">
        <v>-4.6923626153048161</v>
      </c>
      <c r="AA24" s="88">
        <f>MMULT(W24:Y24,S17:S19)</f>
        <v>6.3608935346728428</v>
      </c>
      <c r="AB24" s="88">
        <f t="shared" si="16"/>
        <v>2.1202978448909477</v>
      </c>
      <c r="AI24" s="88">
        <f t="shared" si="20"/>
        <v>-0.57977103565244537</v>
      </c>
      <c r="AJ24" s="88">
        <f t="shared" si="17"/>
        <v>-0.21695650458081148</v>
      </c>
      <c r="AK24" s="88">
        <f t="shared" si="18"/>
        <v>-0.58351957614946659</v>
      </c>
      <c r="AM24" s="88">
        <f t="array" ref="AM24:AO24">MMULT(AI24:AK24,$R$23:$T$25)</f>
        <v>-0.52879803302397788</v>
      </c>
      <c r="AN24" s="88">
        <v>0.76288034641232116</v>
      </c>
      <c r="AO24" s="88">
        <v>-0.7100965322056072</v>
      </c>
      <c r="AQ24" s="88">
        <f t="shared" si="21"/>
        <v>0.55542515738409381</v>
      </c>
      <c r="AR24" s="88">
        <f t="shared" si="22"/>
        <v>0.18514171912803126</v>
      </c>
      <c r="AS24" s="67" t="s">
        <v>489</v>
      </c>
    </row>
    <row r="25" spans="1:45">
      <c r="B25" s="67">
        <v>6.6</v>
      </c>
      <c r="C25" s="67">
        <v>2.9</v>
      </c>
      <c r="D25" s="67">
        <v>4.5999999999999996</v>
      </c>
      <c r="E25" s="67" t="s">
        <v>478</v>
      </c>
      <c r="G25" s="88">
        <f t="shared" si="19"/>
        <v>0.72471379456555773</v>
      </c>
      <c r="H25" s="88">
        <f t="shared" si="14"/>
        <v>9.2981359106061076E-2</v>
      </c>
      <c r="I25" s="88">
        <f t="shared" si="15"/>
        <v>0.49707223153472896</v>
      </c>
      <c r="K25" s="67" t="s">
        <v>476</v>
      </c>
      <c r="L25" s="88">
        <v>0.91155143477228484</v>
      </c>
      <c r="M25" s="88">
        <v>0.7977706656437793</v>
      </c>
      <c r="N25" s="88">
        <v>1.0000000000000071</v>
      </c>
      <c r="Q25" s="67" t="s">
        <v>476</v>
      </c>
      <c r="R25" s="88">
        <v>-4.9221427760630112</v>
      </c>
      <c r="S25" s="88">
        <v>-1.4570631153794689</v>
      </c>
      <c r="T25" s="88">
        <v>6.649188521115506</v>
      </c>
      <c r="W25" s="88">
        <f t="array" ref="W25:Y25">MMULT(G25:I25,$R$23:$T$25)</f>
        <v>1.9704287934217342</v>
      </c>
      <c r="X25" s="88">
        <v>-1.1301210983717287</v>
      </c>
      <c r="Y25" s="88">
        <v>-0.39749750131937889</v>
      </c>
      <c r="AA25" s="88">
        <f>MMULT(W25:Y25,T17:T19)</f>
        <v>1.1253317621105581</v>
      </c>
      <c r="AB25" s="88">
        <f t="shared" si="16"/>
        <v>0.37511058737018604</v>
      </c>
      <c r="AI25" s="88">
        <f t="shared" si="20"/>
        <v>0.28988551782622335</v>
      </c>
      <c r="AJ25" s="88">
        <f t="shared" si="17"/>
        <v>1.3327328138535499</v>
      </c>
      <c r="AK25" s="88">
        <f t="shared" si="18"/>
        <v>3.5227292930504772</v>
      </c>
      <c r="AM25" s="88">
        <f t="array" ref="AM25:AO25">MMULT(AI25:AK25,$R$23:$T$25)</f>
        <v>-16.778441114300151</v>
      </c>
      <c r="AN25" s="88">
        <v>-1.5510924811224442</v>
      </c>
      <c r="AO25" s="88">
        <v>20.054557445173046</v>
      </c>
      <c r="AQ25" s="88">
        <f t="shared" si="21"/>
        <v>63.715758033625541</v>
      </c>
      <c r="AR25" s="88">
        <f t="shared" si="22"/>
        <v>21.238586011208515</v>
      </c>
      <c r="AS25" s="67" t="s">
        <v>491</v>
      </c>
    </row>
    <row r="26" spans="1:45">
      <c r="B26" s="67">
        <v>5.2</v>
      </c>
      <c r="C26" s="67">
        <v>2.7</v>
      </c>
      <c r="D26" s="67">
        <v>3.9</v>
      </c>
      <c r="E26" s="67" t="s">
        <v>478</v>
      </c>
      <c r="G26" s="88">
        <f t="shared" si="19"/>
        <v>-1.3044848302180032</v>
      </c>
      <c r="H26" s="88">
        <f t="shared" si="14"/>
        <v>-0.52689436826768266</v>
      </c>
      <c r="I26" s="88">
        <f t="shared" si="15"/>
        <v>-1.0157562992231444</v>
      </c>
      <c r="W26" s="88">
        <f t="array" ref="W26:Y26">MMULT(G26:I26,$R$23:$T$25)</f>
        <v>-2.6164114318594871</v>
      </c>
      <c r="X26" s="88">
        <v>1.1715315284107788</v>
      </c>
      <c r="Y26" s="88">
        <v>0.43462380820003599</v>
      </c>
      <c r="AA26" s="88">
        <f>MMULT(W26:Y26,U17:U19)</f>
        <v>2.3543237869304576</v>
      </c>
      <c r="AB26" s="88">
        <f t="shared" si="16"/>
        <v>0.78477459564348584</v>
      </c>
    </row>
    <row r="27" spans="1:45">
      <c r="A27" s="67" t="s">
        <v>480</v>
      </c>
      <c r="B27" s="88">
        <f>AVERAGE(B17:B26)</f>
        <v>6.1</v>
      </c>
      <c r="C27" s="88">
        <f t="shared" ref="C27" si="23">AVERAGE(C17:C26)</f>
        <v>2.87</v>
      </c>
      <c r="D27" s="88">
        <f t="shared" ref="D27" si="24">AVERAGE(D17:D26)</f>
        <v>4.37</v>
      </c>
      <c r="F27" s="67" t="s">
        <v>480</v>
      </c>
      <c r="G27" s="88">
        <f>AVERAGE(G17:G26)</f>
        <v>6.4392935428259077E-16</v>
      </c>
      <c r="H27" s="88">
        <f t="shared" ref="H27" si="25">AVERAGE(H17:H26)</f>
        <v>-4.5519144009631414E-16</v>
      </c>
      <c r="I27" s="88">
        <f t="shared" ref="I27" si="26">AVERAGE(I17:I26)</f>
        <v>-2.8865798640254071E-16</v>
      </c>
    </row>
    <row r="28" spans="1:45" ht="18" thickBot="1">
      <c r="A28" s="67" t="s">
        <v>481</v>
      </c>
      <c r="B28" s="88">
        <f>_xlfn.STDEV.P(B17:B26)</f>
        <v>0.68992753242641625</v>
      </c>
      <c r="C28" s="88">
        <f t="shared" ref="C28:D28" si="27">_xlfn.STDEV.P(C17:C26)</f>
        <v>0.3226453160980331</v>
      </c>
      <c r="D28" s="88">
        <f t="shared" si="27"/>
        <v>0.46270941205036942</v>
      </c>
      <c r="F28" s="67" t="s">
        <v>481</v>
      </c>
      <c r="G28" s="88">
        <f>_xlfn.STDEV.P(G17:G26)</f>
        <v>0.99999999999999611</v>
      </c>
      <c r="H28" s="88">
        <f t="shared" ref="H28:I28" si="28">_xlfn.STDEV.P(H17:H26)</f>
        <v>1.0000000000000018</v>
      </c>
      <c r="I28" s="88">
        <f t="shared" si="28"/>
        <v>1.0000000000000036</v>
      </c>
    </row>
    <row r="29" spans="1:45" ht="18" thickBot="1">
      <c r="AF29" s="70"/>
      <c r="AG29" s="70"/>
      <c r="AS29" s="70"/>
    </row>
  </sheetData>
  <mergeCells count="17">
    <mergeCell ref="W1:Y1"/>
    <mergeCell ref="W15:Y15"/>
    <mergeCell ref="AD1:AG1"/>
    <mergeCell ref="AI1:AK1"/>
    <mergeCell ref="AM1:AO1"/>
    <mergeCell ref="AI15:AK15"/>
    <mergeCell ref="AM15:AO15"/>
    <mergeCell ref="K16:U16"/>
    <mergeCell ref="K7:N7"/>
    <mergeCell ref="Q7:T7"/>
    <mergeCell ref="K21:N21"/>
    <mergeCell ref="Q21:T21"/>
    <mergeCell ref="G1:I1"/>
    <mergeCell ref="B1:E1"/>
    <mergeCell ref="B15:E15"/>
    <mergeCell ref="G15:I15"/>
    <mergeCell ref="K2:U2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36"/>
  <sheetViews>
    <sheetView zoomScale="70" zoomScaleNormal="70" workbookViewId="0">
      <selection activeCell="G19" sqref="G19"/>
    </sheetView>
  </sheetViews>
  <sheetFormatPr defaultRowHeight="17.399999999999999"/>
  <cols>
    <col min="1" max="1" width="9.3984375" style="5" bestFit="1" customWidth="1"/>
    <col min="2" max="2" width="20" style="5" bestFit="1" customWidth="1"/>
    <col min="3" max="3" width="13.19921875" style="5" bestFit="1" customWidth="1"/>
    <col min="4" max="4" width="4.69921875" style="5" customWidth="1"/>
    <col min="5" max="5" width="12.796875" style="5" customWidth="1"/>
    <col min="6" max="6" width="23.69921875" style="5" bestFit="1" customWidth="1"/>
    <col min="7" max="7" width="20.19921875" style="5" customWidth="1"/>
    <col min="8" max="8" width="30.5" style="5" bestFit="1" customWidth="1"/>
    <col min="9" max="9" width="14.5" style="5" customWidth="1"/>
    <col min="10" max="10" width="20" style="5" bestFit="1" customWidth="1"/>
    <col min="11" max="11" width="14.5" style="5" customWidth="1"/>
    <col min="12" max="12" width="8.796875" style="5"/>
    <col min="13" max="13" width="11.8984375" style="5" bestFit="1" customWidth="1"/>
    <col min="14" max="14" width="20" style="5" bestFit="1" customWidth="1"/>
    <col min="15" max="15" width="12.796875" style="5" bestFit="1" customWidth="1"/>
    <col min="16" max="16384" width="8.796875" style="5"/>
  </cols>
  <sheetData>
    <row r="1" spans="1:15">
      <c r="B1" s="5" t="s">
        <v>510</v>
      </c>
      <c r="C1" s="5" t="s">
        <v>245</v>
      </c>
      <c r="F1" s="5" t="s">
        <v>516</v>
      </c>
      <c r="G1" s="5" t="s">
        <v>246</v>
      </c>
      <c r="J1" s="5" t="s">
        <v>510</v>
      </c>
      <c r="K1" s="5" t="s">
        <v>245</v>
      </c>
      <c r="N1" s="5" t="s">
        <v>510</v>
      </c>
      <c r="O1" s="5" t="s">
        <v>245</v>
      </c>
    </row>
    <row r="2" spans="1:15">
      <c r="B2" s="5">
        <v>557</v>
      </c>
      <c r="C2" s="5">
        <v>75.73</v>
      </c>
      <c r="F2" s="84">
        <f t="shared" ref="F2:F13" si="0">$B$19*C2+$B$20</f>
        <v>467.56629282848627</v>
      </c>
      <c r="G2" s="84">
        <f>($B2-F2)^2</f>
        <v>7998.3879784400669</v>
      </c>
      <c r="H2" s="19"/>
      <c r="J2" s="5">
        <v>557</v>
      </c>
      <c r="K2" s="5">
        <v>75.73</v>
      </c>
      <c r="N2" s="5">
        <v>557</v>
      </c>
      <c r="O2" s="5">
        <v>75.73</v>
      </c>
    </row>
    <row r="3" spans="1:15">
      <c r="B3" s="5">
        <v>149</v>
      </c>
      <c r="C3" s="5">
        <v>35.11</v>
      </c>
      <c r="F3" s="84">
        <f t="shared" si="0"/>
        <v>189.25376649068934</v>
      </c>
      <c r="G3" s="84">
        <f t="shared" ref="G3:G13" si="1">($B3-F3)^2</f>
        <v>1620.3657166869443</v>
      </c>
      <c r="H3" s="19"/>
      <c r="J3" s="5">
        <v>149</v>
      </c>
      <c r="K3" s="5">
        <v>35.11</v>
      </c>
      <c r="N3" s="5">
        <v>149</v>
      </c>
      <c r="O3" s="5">
        <v>35.11</v>
      </c>
    </row>
    <row r="4" spans="1:15">
      <c r="B4" s="5">
        <v>326</v>
      </c>
      <c r="C4" s="5">
        <v>57.24</v>
      </c>
      <c r="F4" s="84">
        <f t="shared" si="0"/>
        <v>340.87996560086771</v>
      </c>
      <c r="G4" s="84">
        <f t="shared" si="1"/>
        <v>221.41337628300624</v>
      </c>
      <c r="H4" s="19"/>
      <c r="J4" s="5">
        <v>326</v>
      </c>
      <c r="K4" s="5">
        <v>57.24</v>
      </c>
      <c r="N4" s="5">
        <v>326</v>
      </c>
      <c r="O4" s="5">
        <v>57.24</v>
      </c>
    </row>
    <row r="5" spans="1:15">
      <c r="B5" s="5">
        <v>486</v>
      </c>
      <c r="C5" s="5">
        <v>94.62</v>
      </c>
      <c r="F5" s="84">
        <f t="shared" si="0"/>
        <v>596.99326531792462</v>
      </c>
      <c r="G5" s="84">
        <f t="shared" si="1"/>
        <v>12319.504945935209</v>
      </c>
      <c r="H5" s="19"/>
      <c r="J5" s="5">
        <v>486</v>
      </c>
      <c r="K5" s="5">
        <v>94.62</v>
      </c>
      <c r="N5" s="5">
        <v>486</v>
      </c>
      <c r="O5" s="5">
        <v>94.62</v>
      </c>
    </row>
    <row r="6" spans="1:15">
      <c r="B6" s="5">
        <v>282</v>
      </c>
      <c r="C6" s="5">
        <v>64.349999999999994</v>
      </c>
      <c r="F6" s="84">
        <f t="shared" si="0"/>
        <v>389.59493512971397</v>
      </c>
      <c r="G6" s="84">
        <f t="shared" si="1"/>
        <v>11576.670065567358</v>
      </c>
      <c r="H6" s="19"/>
      <c r="J6" s="5">
        <v>282</v>
      </c>
      <c r="K6" s="5">
        <v>64.349999999999994</v>
      </c>
      <c r="N6" s="5">
        <v>282</v>
      </c>
      <c r="O6" s="5">
        <v>64.349999999999994</v>
      </c>
    </row>
    <row r="7" spans="1:15">
      <c r="B7" s="5">
        <v>547</v>
      </c>
      <c r="C7" s="5">
        <v>73.22</v>
      </c>
      <c r="F7" s="84">
        <f t="shared" si="0"/>
        <v>450.36874381056725</v>
      </c>
      <c r="G7" s="84">
        <f t="shared" si="1"/>
        <v>9337.599672747785</v>
      </c>
      <c r="H7" s="19"/>
      <c r="J7" s="5">
        <v>547</v>
      </c>
      <c r="K7" s="5">
        <v>73.22</v>
      </c>
      <c r="N7" s="5">
        <v>547</v>
      </c>
      <c r="O7" s="5">
        <v>73.22</v>
      </c>
    </row>
    <row r="8" spans="1:15">
      <c r="B8" s="5">
        <v>538</v>
      </c>
      <c r="C8" s="5">
        <v>72.930000000000007</v>
      </c>
      <c r="F8" s="84">
        <f t="shared" si="0"/>
        <v>448.38177599574794</v>
      </c>
      <c r="G8" s="84">
        <f t="shared" si="1"/>
        <v>8031.4260736762999</v>
      </c>
      <c r="H8" s="19"/>
      <c r="J8" s="5">
        <v>538</v>
      </c>
      <c r="K8" s="5">
        <v>72.930000000000007</v>
      </c>
      <c r="N8" s="5">
        <v>538</v>
      </c>
      <c r="O8" s="5">
        <v>72.930000000000007</v>
      </c>
    </row>
    <row r="9" spans="1:15">
      <c r="B9" s="5">
        <v>393</v>
      </c>
      <c r="C9" s="5">
        <v>65.52</v>
      </c>
      <c r="F9" s="84">
        <f t="shared" si="0"/>
        <v>397.61132252053676</v>
      </c>
      <c r="G9" s="84">
        <f t="shared" si="1"/>
        <v>21.264295388409497</v>
      </c>
      <c r="H9" s="19"/>
      <c r="J9" s="5">
        <v>393</v>
      </c>
      <c r="K9" s="5">
        <v>65.52</v>
      </c>
      <c r="N9" s="5">
        <v>393</v>
      </c>
      <c r="O9" s="5">
        <v>65.52</v>
      </c>
    </row>
    <row r="10" spans="1:15">
      <c r="B10" s="5">
        <v>484</v>
      </c>
      <c r="C10" s="5">
        <v>80.86</v>
      </c>
      <c r="F10" s="84">
        <f t="shared" si="0"/>
        <v>502.71506831132473</v>
      </c>
      <c r="G10" s="84">
        <f t="shared" si="1"/>
        <v>350.25378189755099</v>
      </c>
      <c r="H10" s="19"/>
      <c r="J10" s="5">
        <v>484</v>
      </c>
      <c r="K10" s="5">
        <v>80.86</v>
      </c>
      <c r="N10" s="5">
        <v>484</v>
      </c>
      <c r="O10" s="5">
        <v>80.86</v>
      </c>
    </row>
    <row r="11" spans="1:15">
      <c r="B11" s="5">
        <v>253</v>
      </c>
      <c r="C11" s="5">
        <v>61.83</v>
      </c>
      <c r="F11" s="84">
        <f t="shared" si="0"/>
        <v>372.32886998024946</v>
      </c>
      <c r="G11" s="84">
        <f t="shared" si="1"/>
        <v>14239.379210763282</v>
      </c>
      <c r="H11" s="19"/>
      <c r="J11" s="5">
        <v>253</v>
      </c>
      <c r="K11" s="5">
        <v>61.83</v>
      </c>
      <c r="N11" s="5">
        <v>253</v>
      </c>
      <c r="O11" s="5">
        <v>61.83</v>
      </c>
    </row>
    <row r="12" spans="1:15">
      <c r="B12" s="5">
        <v>270</v>
      </c>
      <c r="C12" s="5">
        <v>47.83</v>
      </c>
      <c r="F12" s="84">
        <f t="shared" si="0"/>
        <v>276.40628581655778</v>
      </c>
      <c r="G12" s="84">
        <f t="shared" si="1"/>
        <v>41.040497963429431</v>
      </c>
      <c r="H12" s="19"/>
      <c r="J12" s="5">
        <v>270</v>
      </c>
      <c r="K12" s="5">
        <v>47.83</v>
      </c>
      <c r="N12" s="5">
        <v>270</v>
      </c>
      <c r="O12" s="5">
        <v>47.83</v>
      </c>
    </row>
    <row r="13" spans="1:15">
      <c r="B13" s="5">
        <v>506</v>
      </c>
      <c r="C13" s="5">
        <v>59.87</v>
      </c>
      <c r="F13" s="84">
        <f t="shared" si="0"/>
        <v>358.89970819733264</v>
      </c>
      <c r="G13" s="84">
        <f t="shared" si="1"/>
        <v>21638.495848429884</v>
      </c>
      <c r="H13" s="19"/>
      <c r="J13" s="5">
        <v>506</v>
      </c>
      <c r="K13" s="5">
        <v>59.87</v>
      </c>
      <c r="N13" s="5">
        <v>506</v>
      </c>
      <c r="O13" s="5">
        <v>59.87</v>
      </c>
    </row>
    <row r="14" spans="1:15">
      <c r="F14" s="19"/>
      <c r="G14" s="19"/>
      <c r="H14" s="19"/>
    </row>
    <row r="15" spans="1:15">
      <c r="A15" s="5" t="s">
        <v>247</v>
      </c>
      <c r="B15" s="84">
        <f>AVERAGE(B2:B13)</f>
        <v>399.25</v>
      </c>
      <c r="C15" s="84">
        <f>AVERAGE(C2:C13)</f>
        <v>65.759166666666687</v>
      </c>
      <c r="D15" s="19"/>
      <c r="F15" s="5" t="s">
        <v>504</v>
      </c>
      <c r="G15" s="84">
        <f>SQRT(AVERAGE(G2:G13))</f>
        <v>85.340397557750663</v>
      </c>
      <c r="I15" s="5" t="s">
        <v>500</v>
      </c>
      <c r="J15" s="84">
        <f>SUMPRODUCT(J2:J13,K2:K13)</f>
        <v>333229.84999999992</v>
      </c>
      <c r="K15" s="19"/>
      <c r="M15" s="5" t="s">
        <v>511</v>
      </c>
      <c r="N15" s="84">
        <f>SUMPRODUCT(N2:N13,O2:O13)</f>
        <v>333229.84999999992</v>
      </c>
      <c r="O15" s="19"/>
    </row>
    <row r="16" spans="1:15">
      <c r="A16" s="5" t="s">
        <v>248</v>
      </c>
      <c r="B16" s="84">
        <f>_xlfn.VAR.S(B2:B13)</f>
        <v>19267.477272727272</v>
      </c>
      <c r="C16" s="84">
        <f>_xlfn.VAR.S(C2:C13)</f>
        <v>241.18649924242081</v>
      </c>
      <c r="D16" s="19"/>
      <c r="I16" s="5" t="s">
        <v>501</v>
      </c>
      <c r="J16" s="84">
        <f>SUMSQ(K2:K13)</f>
        <v>54544.267499999994</v>
      </c>
      <c r="K16" s="19"/>
      <c r="M16" s="5" t="s">
        <v>512</v>
      </c>
      <c r="N16" s="84">
        <f>SUM(O2:O13)*40</f>
        <v>31564.400000000009</v>
      </c>
      <c r="O16" s="19"/>
    </row>
    <row r="17" spans="1:15">
      <c r="A17" s="5" t="s">
        <v>249</v>
      </c>
      <c r="B17" s="84">
        <f>_xlfn.COVARIANCE.S(B2:B13,C2:C13)</f>
        <v>1652.5165909090908</v>
      </c>
      <c r="C17" s="19"/>
      <c r="D17" s="19"/>
      <c r="F17" s="5" t="s">
        <v>502</v>
      </c>
      <c r="G17" s="90">
        <f>_xlfn.VAR.S(F2:F13)</f>
        <v>11322.404412383998</v>
      </c>
      <c r="K17" s="19"/>
      <c r="N17" s="19"/>
      <c r="O17" s="19"/>
    </row>
    <row r="18" spans="1:15">
      <c r="F18" s="5" t="s">
        <v>252</v>
      </c>
      <c r="G18" s="90">
        <f>G17/$B$16</f>
        <v>0.58764332518043938</v>
      </c>
      <c r="I18" s="5" t="s">
        <v>250</v>
      </c>
      <c r="J18" s="84">
        <f>J15/J16</f>
        <v>6.1093468713279533</v>
      </c>
      <c r="M18" s="5" t="s">
        <v>513</v>
      </c>
      <c r="N18" s="84">
        <f>SUMSQ(O2:O13)</f>
        <v>54544.267499999994</v>
      </c>
    </row>
    <row r="19" spans="1:15">
      <c r="A19" s="5" t="s">
        <v>250</v>
      </c>
      <c r="B19" s="84">
        <f>B17/C16</f>
        <v>6.8516131545494066</v>
      </c>
      <c r="F19" s="19" t="s">
        <v>503</v>
      </c>
      <c r="G19" s="90">
        <f>CORREL(B2:B13,F2:F13)</f>
        <v>0.76657897517504636</v>
      </c>
      <c r="H19" s="72"/>
      <c r="J19" s="19"/>
      <c r="N19" s="19"/>
    </row>
    <row r="20" spans="1:15">
      <c r="A20" s="5" t="s">
        <v>251</v>
      </c>
      <c r="B20" s="84">
        <f>B15-B19*C15</f>
        <v>-51.306371365540315</v>
      </c>
      <c r="H20" s="19"/>
      <c r="J20" s="19"/>
      <c r="M20" s="5" t="s">
        <v>514</v>
      </c>
      <c r="N20" s="84">
        <f>(N15-N16)/N18</f>
        <v>5.530653610849205</v>
      </c>
    </row>
    <row r="21" spans="1:15">
      <c r="H21" s="19"/>
      <c r="M21" s="5" t="s">
        <v>515</v>
      </c>
      <c r="N21" s="89">
        <v>40</v>
      </c>
    </row>
    <row r="22" spans="1:15">
      <c r="B22" s="19"/>
      <c r="C22" s="19"/>
      <c r="H22" s="19"/>
    </row>
    <row r="23" spans="1:15">
      <c r="B23" s="19"/>
      <c r="C23" s="19"/>
      <c r="F23" s="19"/>
      <c r="G23" s="19"/>
      <c r="H23" s="73"/>
    </row>
    <row r="24" spans="1:15">
      <c r="B24" s="19"/>
      <c r="C24" s="19"/>
      <c r="F24" s="19"/>
      <c r="G24" s="19"/>
    </row>
    <row r="25" spans="1:15">
      <c r="B25" s="19"/>
      <c r="C25" s="19"/>
      <c r="F25" s="19"/>
      <c r="G25" s="19"/>
    </row>
    <row r="26" spans="1:15">
      <c r="B26" s="19"/>
      <c r="C26" s="19"/>
      <c r="F26" s="19"/>
      <c r="G26" s="19"/>
    </row>
    <row r="27" spans="1:15">
      <c r="B27" s="19"/>
      <c r="C27" s="19"/>
      <c r="F27" s="19"/>
      <c r="G27" s="19"/>
    </row>
    <row r="28" spans="1:15">
      <c r="B28" s="19"/>
      <c r="C28" s="19"/>
      <c r="F28" s="19"/>
      <c r="G28" s="19"/>
    </row>
    <row r="29" spans="1:15">
      <c r="B29" s="19"/>
      <c r="C29" s="19"/>
      <c r="F29" s="19"/>
      <c r="G29" s="19"/>
    </row>
    <row r="30" spans="1:15">
      <c r="B30" s="19"/>
      <c r="C30" s="19"/>
      <c r="F30" s="19"/>
      <c r="G30" s="19"/>
    </row>
    <row r="31" spans="1:15">
      <c r="B31" s="19"/>
      <c r="C31" s="19"/>
      <c r="F31" s="19"/>
      <c r="G31" s="19"/>
    </row>
    <row r="32" spans="1:15">
      <c r="B32" s="19"/>
      <c r="C32" s="19"/>
      <c r="F32" s="19"/>
      <c r="G32" s="19"/>
    </row>
    <row r="33" spans="2:7">
      <c r="B33" s="19"/>
      <c r="C33" s="19"/>
      <c r="F33" s="19"/>
      <c r="G33" s="19"/>
    </row>
    <row r="34" spans="2:7">
      <c r="B34" s="19"/>
      <c r="C34" s="19"/>
      <c r="F34" s="19"/>
      <c r="G34" s="19"/>
    </row>
    <row r="36" spans="2:7">
      <c r="F36" s="19"/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R33"/>
  <sheetViews>
    <sheetView zoomScale="55" zoomScaleNormal="55" workbookViewId="0">
      <selection activeCell="AB20" sqref="A20:AB27"/>
    </sheetView>
  </sheetViews>
  <sheetFormatPr defaultRowHeight="17.399999999999999"/>
  <cols>
    <col min="1" max="1" width="9.09765625" style="6" bestFit="1" customWidth="1"/>
    <col min="2" max="2" width="20.09765625" style="6" bestFit="1" customWidth="1"/>
    <col min="3" max="3" width="9.5" style="6" bestFit="1" customWidth="1"/>
    <col min="4" max="4" width="9.796875" style="6" bestFit="1" customWidth="1"/>
    <col min="5" max="5" width="18.09765625" style="6" bestFit="1" customWidth="1"/>
    <col min="6" max="6" width="6.796875" style="6" bestFit="1" customWidth="1"/>
    <col min="7" max="7" width="6.296875" style="6" customWidth="1"/>
    <col min="8" max="11" width="13.796875" style="6" bestFit="1" customWidth="1"/>
    <col min="12" max="12" width="6.69921875" style="6" bestFit="1" customWidth="1"/>
    <col min="13" max="13" width="10.69921875" style="6" bestFit="1" customWidth="1"/>
    <col min="14" max="15" width="6.69921875" style="6" bestFit="1" customWidth="1"/>
    <col min="16" max="16" width="9.5" style="6" bestFit="1" customWidth="1"/>
    <col min="17" max="20" width="6.69921875" style="6" bestFit="1" customWidth="1"/>
    <col min="21" max="21" width="4.69921875" style="6" bestFit="1" customWidth="1"/>
    <col min="22" max="22" width="9.09765625" style="6" bestFit="1" customWidth="1"/>
    <col min="23" max="23" width="20.09765625" style="6" bestFit="1" customWidth="1"/>
    <col min="24" max="24" width="9.5" style="6" bestFit="1" customWidth="1"/>
    <col min="25" max="25" width="9.796875" style="6" bestFit="1" customWidth="1"/>
    <col min="26" max="26" width="18.09765625" style="6" bestFit="1" customWidth="1"/>
    <col min="27" max="27" width="24.09765625" style="6" bestFit="1" customWidth="1"/>
    <col min="28" max="29" width="7.5" style="6" bestFit="1" customWidth="1"/>
    <col min="30" max="30" width="6.796875" style="6" bestFit="1" customWidth="1"/>
    <col min="31" max="32" width="8.796875" style="6"/>
    <col min="33" max="33" width="7.796875" style="6" bestFit="1" customWidth="1"/>
    <col min="34" max="36" width="9.796875" style="6" bestFit="1" customWidth="1"/>
    <col min="37" max="39" width="7.796875" style="6" bestFit="1" customWidth="1"/>
    <col min="40" max="40" width="6.796875" style="6" bestFit="1" customWidth="1"/>
    <col min="41" max="41" width="11" style="6" bestFit="1" customWidth="1"/>
    <col min="42" max="42" width="6.796875" style="6" bestFit="1" customWidth="1"/>
    <col min="43" max="43" width="9.5" style="6" bestFit="1" customWidth="1"/>
    <col min="44" max="44" width="6.796875" style="6" bestFit="1" customWidth="1"/>
    <col min="45" max="16384" width="8.796875" style="6"/>
  </cols>
  <sheetData>
    <row r="1" spans="1:44">
      <c r="C1" s="18" t="s">
        <v>253</v>
      </c>
      <c r="D1" s="18" t="s">
        <v>254</v>
      </c>
      <c r="E1" s="18" t="s">
        <v>255</v>
      </c>
      <c r="F1" s="18" t="s">
        <v>256</v>
      </c>
      <c r="X1" s="75" t="s">
        <v>253</v>
      </c>
      <c r="Y1" s="75" t="s">
        <v>254</v>
      </c>
      <c r="Z1" s="75" t="s">
        <v>255</v>
      </c>
      <c r="AA1" s="75" t="s">
        <v>256</v>
      </c>
      <c r="AB1" s="79" t="s">
        <v>533</v>
      </c>
      <c r="AC1" s="79" t="s">
        <v>534</v>
      </c>
      <c r="AD1" s="79" t="s">
        <v>535</v>
      </c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</row>
    <row r="2" spans="1:44">
      <c r="C2" s="20">
        <f>P17</f>
        <v>-1557.4408039023401</v>
      </c>
      <c r="D2" s="20">
        <f>P18</f>
        <v>6.5972853435521301</v>
      </c>
      <c r="E2" s="20">
        <f>P19</f>
        <v>2.3413203920807746</v>
      </c>
      <c r="F2" s="20">
        <f>P20</f>
        <v>46.337270901765805</v>
      </c>
      <c r="X2" s="20">
        <f>AQ23</f>
        <v>-1233.0457792740606</v>
      </c>
      <c r="Y2" s="20">
        <f>AQ24</f>
        <v>4.508085844385155</v>
      </c>
      <c r="Z2" s="20">
        <f>AQ25</f>
        <v>-0.25885114810494692</v>
      </c>
      <c r="AA2" s="20">
        <f>AQ26</f>
        <v>44.619393090476905</v>
      </c>
      <c r="AB2" s="20">
        <f>AQ27</f>
        <v>-49.836700238715366</v>
      </c>
      <c r="AC2" s="20">
        <f>AQ28</f>
        <v>-37.511099113672401</v>
      </c>
      <c r="AD2" s="20">
        <f>AQ29</f>
        <v>19.048472173089976</v>
      </c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</row>
    <row r="3" spans="1:44">
      <c r="A3" s="18" t="s">
        <v>257</v>
      </c>
      <c r="B3" s="18" t="s">
        <v>258</v>
      </c>
      <c r="C3" s="121" t="s">
        <v>259</v>
      </c>
      <c r="D3" s="121"/>
      <c r="E3" s="121"/>
      <c r="F3" s="121"/>
      <c r="H3" s="121" t="s">
        <v>260</v>
      </c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V3" s="75" t="s">
        <v>517</v>
      </c>
      <c r="W3" s="75" t="s">
        <v>518</v>
      </c>
      <c r="X3" s="121" t="s">
        <v>519</v>
      </c>
      <c r="Y3" s="121"/>
      <c r="Z3" s="121"/>
      <c r="AA3" s="121"/>
      <c r="AB3" s="121"/>
      <c r="AC3" s="121"/>
      <c r="AD3" s="121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</row>
    <row r="4" spans="1:44">
      <c r="A4" s="6" t="s">
        <v>257</v>
      </c>
      <c r="B4" s="6" t="s">
        <v>510</v>
      </c>
      <c r="C4" s="6" t="s">
        <v>261</v>
      </c>
      <c r="D4" s="6" t="s">
        <v>262</v>
      </c>
      <c r="E4" s="6" t="s">
        <v>263</v>
      </c>
      <c r="F4" s="6" t="s">
        <v>224</v>
      </c>
      <c r="H4" s="21">
        <f t="array" ref="H4:S7">TRANSPOSE(C5:F16)</f>
        <v>1</v>
      </c>
      <c r="I4" s="21">
        <v>1</v>
      </c>
      <c r="J4" s="21">
        <v>1</v>
      </c>
      <c r="K4" s="21">
        <v>1</v>
      </c>
      <c r="L4" s="21">
        <v>1</v>
      </c>
      <c r="M4" s="21">
        <v>1</v>
      </c>
      <c r="N4" s="21">
        <v>1</v>
      </c>
      <c r="O4" s="21">
        <v>1</v>
      </c>
      <c r="P4" s="21">
        <v>1</v>
      </c>
      <c r="Q4" s="21">
        <v>1</v>
      </c>
      <c r="R4" s="21">
        <v>1</v>
      </c>
      <c r="S4" s="21">
        <v>1</v>
      </c>
      <c r="V4" s="6" t="s">
        <v>517</v>
      </c>
      <c r="W4" s="6" t="s">
        <v>551</v>
      </c>
      <c r="X4" s="6" t="s">
        <v>520</v>
      </c>
      <c r="Y4" s="6" t="s">
        <v>521</v>
      </c>
      <c r="Z4" s="6" t="s">
        <v>522</v>
      </c>
      <c r="AA4" s="6" t="s">
        <v>523</v>
      </c>
      <c r="AB4" s="6" t="s">
        <v>524</v>
      </c>
      <c r="AC4" s="6" t="s">
        <v>525</v>
      </c>
      <c r="AD4" s="6" t="s">
        <v>526</v>
      </c>
      <c r="AG4" s="120" t="s">
        <v>527</v>
      </c>
      <c r="AH4" s="120"/>
      <c r="AI4" s="120"/>
      <c r="AJ4" s="120"/>
      <c r="AK4" s="120"/>
      <c r="AL4" s="120"/>
      <c r="AM4" s="120"/>
      <c r="AN4" s="120"/>
      <c r="AO4" s="120"/>
      <c r="AP4" s="120"/>
      <c r="AQ4" s="120"/>
      <c r="AR4" s="120"/>
    </row>
    <row r="5" spans="1:44">
      <c r="A5" s="91">
        <f>SUMPRODUCT($C$2:$F$2,C5:F5)</f>
        <v>537.52244475575196</v>
      </c>
      <c r="B5" s="6">
        <v>557</v>
      </c>
      <c r="C5" s="6">
        <v>1</v>
      </c>
      <c r="D5" s="6">
        <v>75.73</v>
      </c>
      <c r="E5" s="6">
        <v>36.200000000000003</v>
      </c>
      <c r="F5" s="6">
        <v>32.6</v>
      </c>
      <c r="G5" s="7"/>
      <c r="H5" s="21">
        <v>75.73</v>
      </c>
      <c r="I5" s="21">
        <v>35.11</v>
      </c>
      <c r="J5" s="21">
        <v>57.24</v>
      </c>
      <c r="K5" s="21">
        <v>94.62</v>
      </c>
      <c r="L5" s="21">
        <v>64.349999999999994</v>
      </c>
      <c r="M5" s="21">
        <v>73.22</v>
      </c>
      <c r="N5" s="21">
        <v>72.930000000000007</v>
      </c>
      <c r="O5" s="21">
        <v>65.52</v>
      </c>
      <c r="P5" s="21">
        <v>80.86</v>
      </c>
      <c r="Q5" s="21">
        <v>61.83</v>
      </c>
      <c r="R5" s="21">
        <v>47.83</v>
      </c>
      <c r="S5" s="21">
        <v>59.87</v>
      </c>
      <c r="V5" s="22">
        <f>SUMPRODUCT($X$2:$AD$2,X5:AD5)</f>
        <v>503.73666467065982</v>
      </c>
      <c r="W5" s="6">
        <v>557</v>
      </c>
      <c r="X5" s="6">
        <v>1</v>
      </c>
      <c r="Y5" s="6">
        <v>75.73</v>
      </c>
      <c r="Z5" s="6">
        <v>36.200000000000003</v>
      </c>
      <c r="AA5" s="6">
        <v>32.6</v>
      </c>
      <c r="AB5" s="76">
        <v>1</v>
      </c>
      <c r="AC5" s="6">
        <v>0</v>
      </c>
      <c r="AD5" s="6">
        <v>0</v>
      </c>
      <c r="AG5" s="20">
        <f t="array" ref="AG5:AR11">TRANSPOSE(X5:AD16)</f>
        <v>1</v>
      </c>
      <c r="AH5" s="20">
        <v>1</v>
      </c>
      <c r="AI5" s="20">
        <v>1</v>
      </c>
      <c r="AJ5" s="20">
        <v>1</v>
      </c>
      <c r="AK5" s="20">
        <v>1</v>
      </c>
      <c r="AL5" s="20">
        <v>1</v>
      </c>
      <c r="AM5" s="20">
        <v>1</v>
      </c>
      <c r="AN5" s="20">
        <v>1</v>
      </c>
      <c r="AO5" s="20">
        <v>1</v>
      </c>
      <c r="AP5" s="20">
        <v>1</v>
      </c>
      <c r="AQ5" s="20">
        <v>1</v>
      </c>
      <c r="AR5" s="20">
        <v>1</v>
      </c>
    </row>
    <row r="6" spans="1:44">
      <c r="A6" s="91">
        <f t="shared" ref="A6:A16" si="0">SUMPRODUCT($C$2:$F$2,C6:F6)</f>
        <v>180.82881256183532</v>
      </c>
      <c r="B6" s="6">
        <v>149</v>
      </c>
      <c r="C6" s="6">
        <v>1</v>
      </c>
      <c r="D6" s="6">
        <v>35.11</v>
      </c>
      <c r="E6" s="6">
        <v>65.599999999999994</v>
      </c>
      <c r="F6" s="6">
        <v>29.2</v>
      </c>
      <c r="G6" s="7"/>
      <c r="H6" s="21">
        <v>36.200000000000003</v>
      </c>
      <c r="I6" s="21">
        <v>65.599999999999994</v>
      </c>
      <c r="J6" s="21">
        <v>61.4</v>
      </c>
      <c r="K6" s="21">
        <v>23.8</v>
      </c>
      <c r="L6" s="21">
        <v>46.4</v>
      </c>
      <c r="M6" s="21">
        <v>37.200000000000003</v>
      </c>
      <c r="N6" s="21">
        <v>32.200000000000003</v>
      </c>
      <c r="O6" s="21">
        <v>46.2</v>
      </c>
      <c r="P6" s="21">
        <v>23.7</v>
      </c>
      <c r="Q6" s="21">
        <v>51.8</v>
      </c>
      <c r="R6" s="21">
        <v>69.400000000000006</v>
      </c>
      <c r="S6" s="21">
        <v>47.9</v>
      </c>
      <c r="V6" s="22">
        <f t="shared" ref="V6:V16" si="1">SUMPRODUCT($X$2:$AD$2,X6:AD6)</f>
        <v>173.6276585348707</v>
      </c>
      <c r="W6" s="6">
        <v>149</v>
      </c>
      <c r="X6" s="6">
        <v>1</v>
      </c>
      <c r="Y6" s="6">
        <v>35.11</v>
      </c>
      <c r="Z6" s="6">
        <v>65.599999999999994</v>
      </c>
      <c r="AA6" s="6">
        <v>29.2</v>
      </c>
      <c r="AB6" s="76">
        <v>0</v>
      </c>
      <c r="AC6" s="6">
        <v>1</v>
      </c>
      <c r="AD6" s="6">
        <v>0</v>
      </c>
      <c r="AG6" s="20">
        <v>75.73</v>
      </c>
      <c r="AH6" s="20">
        <v>35.11</v>
      </c>
      <c r="AI6" s="20">
        <v>57.24</v>
      </c>
      <c r="AJ6" s="20">
        <v>94.62</v>
      </c>
      <c r="AK6" s="20">
        <v>64.349999999999994</v>
      </c>
      <c r="AL6" s="20">
        <v>73.22</v>
      </c>
      <c r="AM6" s="20">
        <v>72.930000000000007</v>
      </c>
      <c r="AN6" s="20">
        <v>65.52</v>
      </c>
      <c r="AO6" s="20">
        <v>80.86</v>
      </c>
      <c r="AP6" s="20">
        <v>61.83</v>
      </c>
      <c r="AQ6" s="20">
        <v>47.83</v>
      </c>
      <c r="AR6" s="20">
        <v>59.87</v>
      </c>
    </row>
    <row r="7" spans="1:44">
      <c r="A7" s="91">
        <f t="shared" si="0"/>
        <v>330.89437283843472</v>
      </c>
      <c r="B7" s="6">
        <v>326</v>
      </c>
      <c r="C7" s="6">
        <v>1</v>
      </c>
      <c r="D7" s="6">
        <v>57.24</v>
      </c>
      <c r="E7" s="6">
        <v>61.4</v>
      </c>
      <c r="F7" s="6">
        <v>29.5</v>
      </c>
      <c r="G7" s="7"/>
      <c r="H7" s="21">
        <v>32.6</v>
      </c>
      <c r="I7" s="21">
        <v>29.2</v>
      </c>
      <c r="J7" s="21">
        <v>29.5</v>
      </c>
      <c r="K7" s="21">
        <v>30</v>
      </c>
      <c r="L7" s="21">
        <v>28.8</v>
      </c>
      <c r="M7" s="21">
        <v>33.4</v>
      </c>
      <c r="N7" s="21">
        <v>31.3</v>
      </c>
      <c r="O7" s="21">
        <v>29.1</v>
      </c>
      <c r="P7" s="21">
        <v>32.799999999999997</v>
      </c>
      <c r="Q7" s="21">
        <v>27.8</v>
      </c>
      <c r="R7" s="21">
        <v>29.2</v>
      </c>
      <c r="S7" s="21">
        <v>33.299999999999997</v>
      </c>
      <c r="V7" s="22">
        <f t="shared" si="1"/>
        <v>344.42416230706056</v>
      </c>
      <c r="W7" s="6">
        <v>326</v>
      </c>
      <c r="X7" s="6">
        <v>1</v>
      </c>
      <c r="Y7" s="6">
        <v>57.24</v>
      </c>
      <c r="Z7" s="6">
        <v>61.4</v>
      </c>
      <c r="AA7" s="6">
        <v>29.5</v>
      </c>
      <c r="AB7" s="76">
        <v>0</v>
      </c>
      <c r="AC7" s="6">
        <v>0</v>
      </c>
      <c r="AD7" s="6">
        <v>1</v>
      </c>
      <c r="AG7" s="20">
        <v>36.200000000000003</v>
      </c>
      <c r="AH7" s="20">
        <v>65.599999999999994</v>
      </c>
      <c r="AI7" s="20">
        <v>61.4</v>
      </c>
      <c r="AJ7" s="20">
        <v>23.8</v>
      </c>
      <c r="AK7" s="20">
        <v>46.4</v>
      </c>
      <c r="AL7" s="20">
        <v>37.200000000000003</v>
      </c>
      <c r="AM7" s="20">
        <v>32.200000000000003</v>
      </c>
      <c r="AN7" s="20">
        <v>46.2</v>
      </c>
      <c r="AO7" s="20">
        <v>23.7</v>
      </c>
      <c r="AP7" s="20">
        <v>51.8</v>
      </c>
      <c r="AQ7" s="20">
        <v>69.400000000000006</v>
      </c>
      <c r="AR7" s="20">
        <v>47.9</v>
      </c>
    </row>
    <row r="8" spans="1:44">
      <c r="A8" s="91">
        <f t="shared" si="0"/>
        <v>512.63588768905902</v>
      </c>
      <c r="B8" s="6">
        <v>486</v>
      </c>
      <c r="C8" s="6">
        <v>1</v>
      </c>
      <c r="D8" s="6">
        <v>94.62</v>
      </c>
      <c r="E8" s="6">
        <v>23.8</v>
      </c>
      <c r="F8" s="6">
        <v>30</v>
      </c>
      <c r="G8" s="7"/>
      <c r="V8" s="22">
        <f t="shared" si="1"/>
        <v>525.93043871107216</v>
      </c>
      <c r="W8" s="6">
        <v>486</v>
      </c>
      <c r="X8" s="6">
        <v>1</v>
      </c>
      <c r="Y8" s="6">
        <v>94.62</v>
      </c>
      <c r="Z8" s="6">
        <v>23.8</v>
      </c>
      <c r="AA8" s="6">
        <v>30</v>
      </c>
      <c r="AB8" s="76">
        <v>0</v>
      </c>
      <c r="AC8" s="6">
        <v>0</v>
      </c>
      <c r="AD8" s="6">
        <v>0</v>
      </c>
      <c r="AG8" s="20">
        <v>32.6</v>
      </c>
      <c r="AH8" s="20">
        <v>29.2</v>
      </c>
      <c r="AI8" s="20">
        <v>29.5</v>
      </c>
      <c r="AJ8" s="20">
        <v>30</v>
      </c>
      <c r="AK8" s="20">
        <v>28.8</v>
      </c>
      <c r="AL8" s="20">
        <v>33.4</v>
      </c>
      <c r="AM8" s="20">
        <v>31.3</v>
      </c>
      <c r="AN8" s="20">
        <v>29.1</v>
      </c>
      <c r="AO8" s="20">
        <v>32.799999999999997</v>
      </c>
      <c r="AP8" s="20">
        <v>27.8</v>
      </c>
      <c r="AQ8" s="20">
        <v>29.2</v>
      </c>
      <c r="AR8" s="20">
        <v>33.299999999999997</v>
      </c>
    </row>
    <row r="9" spans="1:44">
      <c r="A9" s="91">
        <f t="shared" si="0"/>
        <v>310.24517611864258</v>
      </c>
      <c r="B9" s="6">
        <v>282</v>
      </c>
      <c r="C9" s="6">
        <v>1</v>
      </c>
      <c r="D9" s="6">
        <v>64.349999999999994</v>
      </c>
      <c r="E9" s="6">
        <v>46.4</v>
      </c>
      <c r="F9" s="6">
        <v>28.8</v>
      </c>
      <c r="G9" s="7"/>
      <c r="H9" s="121" t="s">
        <v>264</v>
      </c>
      <c r="I9" s="121"/>
      <c r="J9" s="121"/>
      <c r="K9" s="121"/>
      <c r="V9" s="22">
        <f t="shared" si="1"/>
        <v>280.24067230707431</v>
      </c>
      <c r="W9" s="6">
        <v>282</v>
      </c>
      <c r="X9" s="6">
        <v>1</v>
      </c>
      <c r="Y9" s="6">
        <v>64.349999999999994</v>
      </c>
      <c r="Z9" s="6">
        <v>46.4</v>
      </c>
      <c r="AA9" s="6">
        <v>28.8</v>
      </c>
      <c r="AB9" s="76">
        <v>1</v>
      </c>
      <c r="AC9" s="6">
        <v>0</v>
      </c>
      <c r="AD9" s="6">
        <v>0</v>
      </c>
      <c r="AG9" s="20">
        <v>1</v>
      </c>
      <c r="AH9" s="20">
        <v>0</v>
      </c>
      <c r="AI9" s="20">
        <v>0</v>
      </c>
      <c r="AJ9" s="20">
        <v>0</v>
      </c>
      <c r="AK9" s="20">
        <v>1</v>
      </c>
      <c r="AL9" s="20">
        <v>0</v>
      </c>
      <c r="AM9" s="20">
        <v>0</v>
      </c>
      <c r="AN9" s="20">
        <v>0</v>
      </c>
      <c r="AO9" s="20">
        <v>1</v>
      </c>
      <c r="AP9" s="20">
        <v>0</v>
      </c>
      <c r="AQ9" s="20">
        <v>0</v>
      </c>
      <c r="AR9" s="20">
        <v>0</v>
      </c>
    </row>
    <row r="10" spans="1:44">
      <c r="A10" s="91">
        <f t="shared" si="0"/>
        <v>560.37439565692966</v>
      </c>
      <c r="B10" s="6">
        <v>547</v>
      </c>
      <c r="C10" s="6">
        <v>1</v>
      </c>
      <c r="D10" s="6">
        <v>73.22</v>
      </c>
      <c r="E10" s="6">
        <v>37.200000000000003</v>
      </c>
      <c r="F10" s="6">
        <v>33.4</v>
      </c>
      <c r="G10" s="7"/>
      <c r="H10" s="21">
        <f t="array" ref="H10:K13">MMULT(H4:S7,C5:F16)</f>
        <v>12</v>
      </c>
      <c r="I10" s="21">
        <v>789.11000000000024</v>
      </c>
      <c r="J10" s="21">
        <v>541.79999999999995</v>
      </c>
      <c r="K10" s="21">
        <v>367</v>
      </c>
      <c r="V10" s="22">
        <f t="shared" si="1"/>
        <v>540.1836336505728</v>
      </c>
      <c r="W10" s="6">
        <v>547</v>
      </c>
      <c r="X10" s="6">
        <v>1</v>
      </c>
      <c r="Y10" s="6">
        <v>73.22</v>
      </c>
      <c r="Z10" s="6">
        <v>37.200000000000003</v>
      </c>
      <c r="AA10" s="6">
        <v>33.4</v>
      </c>
      <c r="AB10" s="76">
        <v>0</v>
      </c>
      <c r="AC10" s="6">
        <v>1</v>
      </c>
      <c r="AD10" s="6">
        <v>0</v>
      </c>
      <c r="AG10" s="20">
        <v>0</v>
      </c>
      <c r="AH10" s="20">
        <v>1</v>
      </c>
      <c r="AI10" s="20">
        <v>0</v>
      </c>
      <c r="AJ10" s="20">
        <v>0</v>
      </c>
      <c r="AK10" s="20">
        <v>0</v>
      </c>
      <c r="AL10" s="20">
        <v>1</v>
      </c>
      <c r="AM10" s="20">
        <v>0</v>
      </c>
      <c r="AN10" s="20">
        <v>0</v>
      </c>
      <c r="AO10" s="20">
        <v>0</v>
      </c>
      <c r="AP10" s="20">
        <v>1</v>
      </c>
      <c r="AQ10" s="20">
        <v>0</v>
      </c>
      <c r="AR10" s="20">
        <v>0</v>
      </c>
    </row>
    <row r="11" spans="1:44">
      <c r="A11" s="91">
        <f t="shared" si="0"/>
        <v>449.44631205318763</v>
      </c>
      <c r="B11" s="6">
        <v>538</v>
      </c>
      <c r="C11" s="6">
        <v>1</v>
      </c>
      <c r="D11" s="6">
        <v>72.930000000000007</v>
      </c>
      <c r="E11" s="6">
        <v>32.200000000000003</v>
      </c>
      <c r="F11" s="6">
        <v>31.3</v>
      </c>
      <c r="G11" s="7"/>
      <c r="H11" s="21">
        <v>789.11000000000024</v>
      </c>
      <c r="I11" s="21">
        <v>54544.267499999994</v>
      </c>
      <c r="J11" s="21">
        <v>33202.479000000007</v>
      </c>
      <c r="K11" s="21">
        <v>24270.747999999996</v>
      </c>
      <c r="V11" s="22">
        <f t="shared" si="1"/>
        <v>503.02939029298659</v>
      </c>
      <c r="W11" s="6">
        <v>538</v>
      </c>
      <c r="X11" s="6">
        <v>1</v>
      </c>
      <c r="Y11" s="6">
        <v>72.930000000000007</v>
      </c>
      <c r="Z11" s="6">
        <v>32.200000000000003</v>
      </c>
      <c r="AA11" s="6">
        <v>31.3</v>
      </c>
      <c r="AB11" s="76">
        <v>0</v>
      </c>
      <c r="AC11" s="6">
        <v>0</v>
      </c>
      <c r="AD11" s="6">
        <v>1</v>
      </c>
      <c r="AG11" s="20">
        <v>0</v>
      </c>
      <c r="AH11" s="20">
        <v>0</v>
      </c>
      <c r="AI11" s="20">
        <v>1</v>
      </c>
      <c r="AJ11" s="20">
        <v>0</v>
      </c>
      <c r="AK11" s="20">
        <v>0</v>
      </c>
      <c r="AL11" s="20">
        <v>0</v>
      </c>
      <c r="AM11" s="20">
        <v>1</v>
      </c>
      <c r="AN11" s="20">
        <v>0</v>
      </c>
      <c r="AO11" s="20">
        <v>0</v>
      </c>
      <c r="AP11" s="20">
        <v>0</v>
      </c>
      <c r="AQ11" s="20">
        <v>1</v>
      </c>
      <c r="AR11" s="20">
        <v>0</v>
      </c>
    </row>
    <row r="12" spans="1:44">
      <c r="A12" s="91">
        <f t="shared" si="0"/>
        <v>331.39691716271216</v>
      </c>
      <c r="B12" s="6">
        <v>393</v>
      </c>
      <c r="C12" s="6">
        <v>1</v>
      </c>
      <c r="D12" s="6">
        <v>65.52</v>
      </c>
      <c r="E12" s="6">
        <v>46.2</v>
      </c>
      <c r="F12" s="6">
        <v>29.1</v>
      </c>
      <c r="G12" s="7"/>
      <c r="H12" s="21">
        <v>541.79999999999995</v>
      </c>
      <c r="I12" s="21">
        <v>33202.479000000007</v>
      </c>
      <c r="J12" s="21">
        <v>27013.98</v>
      </c>
      <c r="K12" s="21">
        <v>16390.97</v>
      </c>
      <c r="V12" s="22">
        <f t="shared" si="1"/>
        <v>348.78942114048436</v>
      </c>
      <c r="W12" s="6">
        <v>393</v>
      </c>
      <c r="X12" s="6">
        <v>1</v>
      </c>
      <c r="Y12" s="6">
        <v>65.52</v>
      </c>
      <c r="Z12" s="6">
        <v>46.2</v>
      </c>
      <c r="AA12" s="6">
        <v>29.1</v>
      </c>
      <c r="AB12" s="76">
        <v>0</v>
      </c>
      <c r="AC12" s="6">
        <v>0</v>
      </c>
      <c r="AD12" s="6">
        <v>0</v>
      </c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</row>
    <row r="13" spans="1:44">
      <c r="A13" s="91">
        <f t="shared" si="0"/>
        <v>551.36746784751767</v>
      </c>
      <c r="B13" s="6">
        <v>484</v>
      </c>
      <c r="C13" s="6">
        <v>1</v>
      </c>
      <c r="D13" s="6">
        <v>80.86</v>
      </c>
      <c r="E13" s="6">
        <v>23.7</v>
      </c>
      <c r="F13" s="6">
        <v>32.799999999999997</v>
      </c>
      <c r="G13" s="7"/>
      <c r="H13" s="21">
        <v>367</v>
      </c>
      <c r="I13" s="21">
        <v>24270.747999999996</v>
      </c>
      <c r="J13" s="21">
        <v>16390.97</v>
      </c>
      <c r="K13" s="21">
        <v>11267.359999999999</v>
      </c>
      <c r="V13" s="22">
        <f t="shared" si="1"/>
        <v>539.0226630217627</v>
      </c>
      <c r="W13" s="6">
        <v>484</v>
      </c>
      <c r="X13" s="6">
        <v>1</v>
      </c>
      <c r="Y13" s="6">
        <v>80.86</v>
      </c>
      <c r="Z13" s="6">
        <v>23.7</v>
      </c>
      <c r="AA13" s="6">
        <v>32.799999999999997</v>
      </c>
      <c r="AB13" s="76">
        <v>1</v>
      </c>
      <c r="AC13" s="6">
        <v>0</v>
      </c>
      <c r="AD13" s="6">
        <v>0</v>
      </c>
      <c r="AG13" s="120" t="s">
        <v>528</v>
      </c>
      <c r="AH13" s="120"/>
      <c r="AI13" s="120"/>
      <c r="AJ13" s="120"/>
      <c r="AK13" s="120"/>
      <c r="AL13" s="120"/>
      <c r="AM13" s="120"/>
      <c r="AN13" s="7"/>
      <c r="AO13" s="7"/>
      <c r="AP13" s="7"/>
      <c r="AQ13" s="7"/>
      <c r="AR13" s="7"/>
    </row>
    <row r="14" spans="1:44">
      <c r="A14" s="91">
        <f t="shared" si="0"/>
        <v>259.92587626836166</v>
      </c>
      <c r="B14" s="6">
        <v>253</v>
      </c>
      <c r="C14" s="6">
        <v>1</v>
      </c>
      <c r="D14" s="6">
        <v>61.83</v>
      </c>
      <c r="E14" s="6">
        <v>51.8</v>
      </c>
      <c r="F14" s="6">
        <v>27.8</v>
      </c>
      <c r="G14" s="7"/>
      <c r="V14" s="22">
        <f t="shared" si="1"/>
        <v>235.18870781402296</v>
      </c>
      <c r="W14" s="6">
        <v>253</v>
      </c>
      <c r="X14" s="6">
        <v>1</v>
      </c>
      <c r="Y14" s="6">
        <v>61.83</v>
      </c>
      <c r="Z14" s="6">
        <v>51.8</v>
      </c>
      <c r="AA14" s="6">
        <v>27.8</v>
      </c>
      <c r="AB14" s="76">
        <v>0</v>
      </c>
      <c r="AC14" s="6">
        <v>1</v>
      </c>
      <c r="AD14" s="6">
        <v>0</v>
      </c>
      <c r="AG14" s="20">
        <f t="array" ref="AG14:AM20">MMULT(AG5:AR11,X5:AD16)</f>
        <v>12</v>
      </c>
      <c r="AH14" s="20">
        <v>789.11000000000024</v>
      </c>
      <c r="AI14" s="20">
        <v>541.79999999999995</v>
      </c>
      <c r="AJ14" s="20">
        <v>367</v>
      </c>
      <c r="AK14" s="20">
        <v>3</v>
      </c>
      <c r="AL14" s="20">
        <v>3</v>
      </c>
      <c r="AM14" s="20">
        <v>3</v>
      </c>
      <c r="AN14" s="7"/>
      <c r="AO14" s="7"/>
      <c r="AP14" s="7"/>
      <c r="AQ14" s="7"/>
      <c r="AR14" s="7"/>
    </row>
    <row r="15" spans="1:44">
      <c r="A15" s="91">
        <f t="shared" si="0"/>
        <v>273.64329962172542</v>
      </c>
      <c r="B15" s="6">
        <v>270</v>
      </c>
      <c r="C15" s="6">
        <v>1</v>
      </c>
      <c r="D15" s="6">
        <v>47.83</v>
      </c>
      <c r="E15" s="6">
        <v>69.400000000000006</v>
      </c>
      <c r="F15" s="6">
        <v>29.2</v>
      </c>
      <c r="G15" s="7"/>
      <c r="V15" s="22">
        <f t="shared" si="1"/>
        <v>286.54644739941364</v>
      </c>
      <c r="W15" s="6">
        <v>270</v>
      </c>
      <c r="X15" s="6">
        <v>1</v>
      </c>
      <c r="Y15" s="6">
        <v>47.83</v>
      </c>
      <c r="Z15" s="6">
        <v>69.400000000000006</v>
      </c>
      <c r="AA15" s="6">
        <v>29.2</v>
      </c>
      <c r="AB15" s="76">
        <v>0</v>
      </c>
      <c r="AC15" s="6">
        <v>0</v>
      </c>
      <c r="AD15" s="6">
        <v>1</v>
      </c>
      <c r="AG15" s="20">
        <v>789.11000000000024</v>
      </c>
      <c r="AH15" s="20">
        <v>54544.267499999994</v>
      </c>
      <c r="AI15" s="20">
        <v>33202.479000000007</v>
      </c>
      <c r="AJ15" s="20">
        <v>24270.747999999996</v>
      </c>
      <c r="AK15" s="20">
        <v>220.94</v>
      </c>
      <c r="AL15" s="20">
        <v>170.16</v>
      </c>
      <c r="AM15" s="20">
        <v>178</v>
      </c>
      <c r="AN15" s="7"/>
      <c r="AO15" s="7"/>
      <c r="AP15" s="7"/>
      <c r="AQ15" s="7"/>
      <c r="AR15" s="7"/>
    </row>
    <row r="16" spans="1:44">
      <c r="A16" s="91">
        <f t="shared" si="0"/>
        <v>492.71903742559607</v>
      </c>
      <c r="B16" s="6">
        <v>506</v>
      </c>
      <c r="C16" s="6">
        <v>1</v>
      </c>
      <c r="D16" s="6">
        <v>59.87</v>
      </c>
      <c r="E16" s="6">
        <v>47.9</v>
      </c>
      <c r="F16" s="6">
        <v>33.299999999999997</v>
      </c>
      <c r="G16" s="7"/>
      <c r="H16" s="121" t="s">
        <v>265</v>
      </c>
      <c r="I16" s="121"/>
      <c r="J16" s="121"/>
      <c r="K16" s="121"/>
      <c r="M16" s="18" t="s">
        <v>266</v>
      </c>
      <c r="P16" s="121" t="s">
        <v>267</v>
      </c>
      <c r="Q16" s="121"/>
      <c r="V16" s="22">
        <f t="shared" si="1"/>
        <v>510.28014014793246</v>
      </c>
      <c r="W16" s="6">
        <v>506</v>
      </c>
      <c r="X16" s="6">
        <v>1</v>
      </c>
      <c r="Y16" s="6">
        <v>59.87</v>
      </c>
      <c r="Z16" s="6">
        <v>47.9</v>
      </c>
      <c r="AA16" s="6">
        <v>33.299999999999997</v>
      </c>
      <c r="AB16" s="76">
        <v>0</v>
      </c>
      <c r="AC16" s="6">
        <v>0</v>
      </c>
      <c r="AD16" s="6">
        <v>0</v>
      </c>
      <c r="AG16" s="20">
        <v>541.79999999999995</v>
      </c>
      <c r="AH16" s="20">
        <v>33202.479000000007</v>
      </c>
      <c r="AI16" s="20">
        <v>27013.98</v>
      </c>
      <c r="AJ16" s="20">
        <v>16390.97</v>
      </c>
      <c r="AK16" s="20">
        <v>106.3</v>
      </c>
      <c r="AL16" s="20">
        <v>154.6</v>
      </c>
      <c r="AM16" s="20">
        <v>163</v>
      </c>
      <c r="AN16" s="7"/>
      <c r="AO16" s="7"/>
      <c r="AP16" s="7"/>
      <c r="AQ16" s="7"/>
      <c r="AR16" s="7"/>
    </row>
    <row r="17" spans="1:44">
      <c r="B17" s="7"/>
      <c r="C17" s="7"/>
      <c r="D17" s="7"/>
      <c r="F17" s="7"/>
      <c r="H17" s="21">
        <f t="array" ref="H17:K20">MINVERSE(H10:K13)</f>
        <v>105.61649667235032</v>
      </c>
      <c r="I17" s="21">
        <v>-0.46622191153184372</v>
      </c>
      <c r="J17" s="21">
        <v>-0.57333367919590772</v>
      </c>
      <c r="K17" s="21">
        <v>-1.6018130792124463</v>
      </c>
      <c r="M17" s="21">
        <f t="array" ref="M17:M20">MMULT(H4:S7,B5:B16)</f>
        <v>4791</v>
      </c>
      <c r="O17" s="18" t="s">
        <v>268</v>
      </c>
      <c r="P17" s="23">
        <f t="array" ref="P17:P20">MMULT(H17:K20,M17:M20)</f>
        <v>-1557.4408039023401</v>
      </c>
      <c r="W17" s="7"/>
      <c r="X17" s="7"/>
      <c r="Y17" s="7"/>
      <c r="AA17" s="7"/>
      <c r="AG17" s="20">
        <v>367</v>
      </c>
      <c r="AH17" s="20">
        <v>24270.747999999996</v>
      </c>
      <c r="AI17" s="20">
        <v>16390.97</v>
      </c>
      <c r="AJ17" s="20">
        <v>11267.359999999999</v>
      </c>
      <c r="AK17" s="20">
        <v>94.2</v>
      </c>
      <c r="AL17" s="20">
        <v>90.399999999999991</v>
      </c>
      <c r="AM17" s="20">
        <v>90</v>
      </c>
      <c r="AN17" s="7"/>
      <c r="AO17" s="7"/>
      <c r="AP17" s="7"/>
      <c r="AQ17" s="7"/>
      <c r="AR17" s="7"/>
    </row>
    <row r="18" spans="1:44">
      <c r="A18" s="6" t="s">
        <v>269</v>
      </c>
      <c r="B18" s="20">
        <f>CORREL(A5:A16,B5:B16)</f>
        <v>0.952849370489815</v>
      </c>
      <c r="C18" s="7"/>
      <c r="H18" s="21">
        <v>-0.46622191153182574</v>
      </c>
      <c r="I18" s="21">
        <v>3.2136441288124944E-3</v>
      </c>
      <c r="J18" s="21">
        <v>3.2983070451901675E-3</v>
      </c>
      <c r="K18" s="21">
        <v>3.4651810975767005E-3</v>
      </c>
      <c r="M18" s="21">
        <v>333229.84999999992</v>
      </c>
      <c r="O18" s="18" t="s">
        <v>254</v>
      </c>
      <c r="P18" s="23">
        <v>6.5972853435521301</v>
      </c>
      <c r="V18" s="6" t="s">
        <v>529</v>
      </c>
      <c r="W18" s="7">
        <f>CORREL(V5:V16,W5:W16)</f>
        <v>0.97069162595971958</v>
      </c>
      <c r="X18" s="7"/>
      <c r="AG18" s="20">
        <v>3</v>
      </c>
      <c r="AH18" s="20">
        <v>220.94</v>
      </c>
      <c r="AI18" s="20">
        <v>106.3</v>
      </c>
      <c r="AJ18" s="20">
        <v>94.2</v>
      </c>
      <c r="AK18" s="20">
        <v>3</v>
      </c>
      <c r="AL18" s="20">
        <v>0</v>
      </c>
      <c r="AM18" s="20">
        <v>0</v>
      </c>
      <c r="AN18" s="7"/>
      <c r="AO18" s="7"/>
      <c r="AP18" s="7"/>
      <c r="AQ18" s="7"/>
      <c r="AR18" s="7"/>
    </row>
    <row r="19" spans="1:44">
      <c r="B19" s="7"/>
      <c r="C19" s="7"/>
      <c r="D19" s="7"/>
      <c r="H19" s="21">
        <v>-0.57333367919589495</v>
      </c>
      <c r="I19" s="21">
        <v>3.2983070451902104E-3</v>
      </c>
      <c r="J19" s="21">
        <v>3.9374814767673405E-3</v>
      </c>
      <c r="K19" s="21">
        <v>5.8418245607851403E-3</v>
      </c>
      <c r="M19" s="21">
        <v>197986</v>
      </c>
      <c r="O19" s="18" t="s">
        <v>255</v>
      </c>
      <c r="P19" s="23">
        <v>2.3413203920807746</v>
      </c>
      <c r="W19" s="7"/>
      <c r="X19" s="7"/>
      <c r="Y19" s="7"/>
      <c r="AG19" s="20">
        <v>3</v>
      </c>
      <c r="AH19" s="20">
        <v>170.16</v>
      </c>
      <c r="AI19" s="20">
        <v>154.6</v>
      </c>
      <c r="AJ19" s="20">
        <v>90.399999999999991</v>
      </c>
      <c r="AK19" s="20">
        <v>0</v>
      </c>
      <c r="AL19" s="20">
        <v>3</v>
      </c>
      <c r="AM19" s="20">
        <v>0</v>
      </c>
      <c r="AN19" s="7"/>
      <c r="AO19" s="7"/>
      <c r="AP19" s="7"/>
      <c r="AQ19" s="7"/>
      <c r="AR19" s="7"/>
    </row>
    <row r="20" spans="1:44">
      <c r="B20" s="7"/>
      <c r="F20" s="7"/>
      <c r="H20" s="21">
        <v>-1.6018130792125038</v>
      </c>
      <c r="I20" s="21">
        <v>3.4651810975772196E-3</v>
      </c>
      <c r="J20" s="21">
        <v>5.8418245607856486E-3</v>
      </c>
      <c r="K20" s="21">
        <v>3.6300401492117759E-2</v>
      </c>
      <c r="M20" s="21">
        <v>149015.49999999997</v>
      </c>
      <c r="O20" s="18" t="s">
        <v>256</v>
      </c>
      <c r="P20" s="23">
        <v>46.337270901765805</v>
      </c>
      <c r="W20" s="7"/>
      <c r="AA20" s="7"/>
      <c r="AG20" s="20">
        <v>3</v>
      </c>
      <c r="AH20" s="20">
        <v>178</v>
      </c>
      <c r="AI20" s="20">
        <v>163</v>
      </c>
      <c r="AJ20" s="20">
        <v>90</v>
      </c>
      <c r="AK20" s="20">
        <v>0</v>
      </c>
      <c r="AL20" s="20">
        <v>0</v>
      </c>
      <c r="AM20" s="20">
        <v>3</v>
      </c>
      <c r="AN20" s="7"/>
      <c r="AO20" s="7"/>
      <c r="AP20" s="7"/>
      <c r="AQ20" s="7"/>
      <c r="AR20" s="7"/>
    </row>
    <row r="21" spans="1:44">
      <c r="B21" s="7"/>
      <c r="W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</row>
    <row r="22" spans="1:44">
      <c r="B22" s="7"/>
      <c r="D22" s="7"/>
      <c r="E22" s="7"/>
      <c r="F22" s="7"/>
      <c r="W22" s="7"/>
      <c r="X22" s="76"/>
      <c r="AA22" s="7"/>
      <c r="AC22" s="7"/>
      <c r="AD22" s="7"/>
      <c r="AG22" s="120" t="s">
        <v>530</v>
      </c>
      <c r="AH22" s="120"/>
      <c r="AI22" s="120"/>
      <c r="AJ22" s="120"/>
      <c r="AK22" s="120"/>
      <c r="AL22" s="120"/>
      <c r="AM22" s="120"/>
      <c r="AN22" s="7"/>
      <c r="AO22" s="74" t="s">
        <v>266</v>
      </c>
      <c r="AP22" s="7"/>
      <c r="AQ22" s="120" t="s">
        <v>531</v>
      </c>
      <c r="AR22" s="120"/>
    </row>
    <row r="23" spans="1:44">
      <c r="B23" s="7"/>
      <c r="D23" s="7"/>
      <c r="E23" s="7"/>
      <c r="F23" s="7"/>
      <c r="W23" s="7"/>
      <c r="X23" s="76"/>
      <c r="AA23" s="7"/>
      <c r="AC23" s="7"/>
      <c r="AD23" s="7"/>
      <c r="AG23" s="20">
        <f t="array" ref="AG23:AM29">MINVERSE(AG14:AM20)</f>
        <v>122.1602524037957</v>
      </c>
      <c r="AH23" s="20">
        <v>-0.57567614392275501</v>
      </c>
      <c r="AI23" s="20">
        <v>-0.69302494229654021</v>
      </c>
      <c r="AJ23" s="20">
        <v>-1.7004178364738045</v>
      </c>
      <c r="AK23" s="20">
        <v>-1.8143194703796597</v>
      </c>
      <c r="AL23" s="20">
        <v>-2.5547586884046924</v>
      </c>
      <c r="AM23" s="20">
        <v>0.66342242794725803</v>
      </c>
      <c r="AN23" s="7"/>
      <c r="AO23" s="20">
        <f t="array" ref="AO23:AO29">MMULT(AG5:AR11,W5:W16)</f>
        <v>4791</v>
      </c>
      <c r="AP23" s="74" t="s">
        <v>532</v>
      </c>
      <c r="AQ23" s="20">
        <f t="array" ref="AQ23:AQ29">MMULT(AG23:AM29,AO23:AO29)</f>
        <v>-1233.0457792740606</v>
      </c>
      <c r="AR23" s="7"/>
    </row>
    <row r="24" spans="1:44">
      <c r="B24" s="7"/>
      <c r="D24" s="7"/>
      <c r="E24" s="7"/>
      <c r="F24" s="7"/>
      <c r="W24" s="7"/>
      <c r="X24" s="76"/>
      <c r="AA24" s="7"/>
      <c r="AC24" s="7"/>
      <c r="AD24" s="7"/>
      <c r="AG24" s="20">
        <v>-0.57567614392273314</v>
      </c>
      <c r="AH24" s="20">
        <v>3.9441845445669444E-3</v>
      </c>
      <c r="AI24" s="20">
        <v>4.0641717171239081E-3</v>
      </c>
      <c r="AJ24" s="20">
        <v>4.1136639033454124E-3</v>
      </c>
      <c r="AK24" s="20">
        <v>1.2023901755389737E-2</v>
      </c>
      <c r="AL24" s="20">
        <v>1.8563275111635549E-2</v>
      </c>
      <c r="AM24" s="20">
        <v>-2.5753861190003337E-3</v>
      </c>
      <c r="AN24" s="7"/>
      <c r="AO24" s="20">
        <v>333229.84999999992</v>
      </c>
      <c r="AP24" s="74" t="s">
        <v>254</v>
      </c>
      <c r="AQ24" s="20">
        <v>4.508085844385155</v>
      </c>
      <c r="AR24" s="7"/>
    </row>
    <row r="25" spans="1:44">
      <c r="B25" s="7"/>
      <c r="F25" s="24"/>
      <c r="W25" s="7"/>
      <c r="Z25" s="77"/>
      <c r="AA25" s="24"/>
      <c r="AC25" s="7"/>
      <c r="AD25" s="7"/>
      <c r="AG25" s="20">
        <v>-0.69302494229652511</v>
      </c>
      <c r="AH25" s="20">
        <v>4.0641717171239645E-3</v>
      </c>
      <c r="AI25" s="20">
        <v>4.9105134399793811E-3</v>
      </c>
      <c r="AJ25" s="20">
        <v>6.5580830393026134E-3</v>
      </c>
      <c r="AK25" s="20">
        <v>1.3792575578697241E-2</v>
      </c>
      <c r="AL25" s="20">
        <v>1.1833094309997551E-2</v>
      </c>
      <c r="AM25" s="20">
        <v>-1.1662967670788392E-2</v>
      </c>
      <c r="AN25" s="7"/>
      <c r="AO25" s="20">
        <v>197986</v>
      </c>
      <c r="AP25" s="74" t="s">
        <v>255</v>
      </c>
      <c r="AQ25" s="20">
        <v>-0.25885114810494692</v>
      </c>
      <c r="AR25" s="7"/>
    </row>
    <row r="26" spans="1:44">
      <c r="B26" s="7"/>
      <c r="W26" s="7"/>
      <c r="Z26" s="77"/>
      <c r="AC26" s="7"/>
      <c r="AD26" s="7"/>
      <c r="AG26" s="20">
        <v>-1.7004178364738765</v>
      </c>
      <c r="AH26" s="20">
        <v>4.1136639033460534E-3</v>
      </c>
      <c r="AI26" s="20">
        <v>6.5580830393032474E-3</v>
      </c>
      <c r="AJ26" s="20">
        <v>3.704554462892435E-2</v>
      </c>
      <c r="AK26" s="20">
        <v>1.8553584979142345E-3</v>
      </c>
      <c r="AL26" s="20">
        <v>1.2825195765740519E-2</v>
      </c>
      <c r="AM26" s="20">
        <v>-1.1348405794529851E-2</v>
      </c>
      <c r="AN26" s="7"/>
      <c r="AO26" s="20">
        <v>149015.49999999997</v>
      </c>
      <c r="AP26" s="74" t="s">
        <v>256</v>
      </c>
      <c r="AQ26" s="20">
        <v>44.619393090476905</v>
      </c>
      <c r="AR26" s="7"/>
    </row>
    <row r="27" spans="1:44">
      <c r="B27" s="7"/>
      <c r="W27" s="7"/>
      <c r="Z27" s="77"/>
      <c r="AG27" s="20">
        <v>-1.8143194703795649</v>
      </c>
      <c r="AH27" s="20">
        <v>1.202390175538956E-2</v>
      </c>
      <c r="AI27" s="20">
        <v>1.3792575578696866E-2</v>
      </c>
      <c r="AJ27" s="20">
        <v>1.8553584979120509E-3</v>
      </c>
      <c r="AK27" s="20">
        <v>0.7151573342613774</v>
      </c>
      <c r="AL27" s="20">
        <v>0.36563823192127393</v>
      </c>
      <c r="AM27" s="20">
        <v>0.2958439381798928</v>
      </c>
      <c r="AN27" s="7"/>
      <c r="AO27" s="20">
        <v>1323</v>
      </c>
      <c r="AP27" s="74" t="s">
        <v>533</v>
      </c>
      <c r="AQ27" s="20">
        <v>-49.836700238715366</v>
      </c>
      <c r="AR27" s="7"/>
    </row>
    <row r="28" spans="1:44">
      <c r="B28" s="7"/>
      <c r="W28" s="7"/>
      <c r="Z28" s="77"/>
      <c r="AG28" s="20">
        <v>-2.5547586884045557</v>
      </c>
      <c r="AH28" s="20">
        <v>1.8563275111635219E-2</v>
      </c>
      <c r="AI28" s="20">
        <v>1.1833094309996961E-2</v>
      </c>
      <c r="AJ28" s="20">
        <v>1.2825195765737624E-2</v>
      </c>
      <c r="AK28" s="20">
        <v>0.36563823192127343</v>
      </c>
      <c r="AL28" s="20">
        <v>0.83891836488986904</v>
      </c>
      <c r="AM28" s="20">
        <v>0.42565036796556904</v>
      </c>
      <c r="AN28" s="7"/>
      <c r="AO28" s="20">
        <v>949</v>
      </c>
      <c r="AP28" s="74" t="s">
        <v>534</v>
      </c>
      <c r="AQ28" s="20">
        <v>-37.511099113672401</v>
      </c>
      <c r="AR28" s="7"/>
    </row>
    <row r="29" spans="1:44">
      <c r="B29" s="7"/>
      <c r="W29" s="7"/>
      <c r="Z29" s="77"/>
      <c r="AG29" s="20">
        <v>0.66342242794727901</v>
      </c>
      <c r="AH29" s="20">
        <v>-2.5753861190007071E-3</v>
      </c>
      <c r="AI29" s="20">
        <v>-1.1662967670788709E-2</v>
      </c>
      <c r="AJ29" s="20">
        <v>-1.134840579452924E-2</v>
      </c>
      <c r="AK29" s="20">
        <v>0.29584393817989124</v>
      </c>
      <c r="AL29" s="20">
        <v>0.42565036796556704</v>
      </c>
      <c r="AM29" s="20">
        <v>0.79685723239549344</v>
      </c>
      <c r="AN29" s="7"/>
      <c r="AO29" s="20">
        <v>1134</v>
      </c>
      <c r="AP29" s="74" t="s">
        <v>535</v>
      </c>
      <c r="AQ29" s="20">
        <v>19.048472173089976</v>
      </c>
      <c r="AR29" s="7"/>
    </row>
    <row r="30" spans="1:44">
      <c r="B30" s="7"/>
    </row>
    <row r="31" spans="1:44">
      <c r="B31" s="7"/>
    </row>
    <row r="32" spans="1:44">
      <c r="B32" s="7"/>
    </row>
    <row r="33" spans="2:2">
      <c r="B33" s="7"/>
    </row>
  </sheetData>
  <mergeCells count="10">
    <mergeCell ref="C3:F3"/>
    <mergeCell ref="H3:S3"/>
    <mergeCell ref="H9:K9"/>
    <mergeCell ref="H16:K16"/>
    <mergeCell ref="P16:Q16"/>
    <mergeCell ref="AG4:AR4"/>
    <mergeCell ref="AG13:AM13"/>
    <mergeCell ref="AG22:AM22"/>
    <mergeCell ref="AQ22:AR22"/>
    <mergeCell ref="X3:AD3"/>
  </mergeCells>
  <phoneticPr fontId="1" type="noConversion"/>
  <pageMargins left="0.7" right="0.7" top="0.75" bottom="0.75" header="0.3" footer="0.3"/>
  <ignoredErrors>
    <ignoredError sqref="A5:A16" formulaRange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Z108"/>
  <sheetViews>
    <sheetView zoomScale="55" zoomScaleNormal="55" workbookViewId="0">
      <selection activeCell="O12" sqref="O12"/>
    </sheetView>
  </sheetViews>
  <sheetFormatPr defaultRowHeight="17.399999999999999"/>
  <cols>
    <col min="1" max="1" width="9.19921875" style="25" bestFit="1" customWidth="1"/>
    <col min="2" max="2" width="20" style="25" bestFit="1" customWidth="1"/>
    <col min="3" max="3" width="9.796875" style="25" bestFit="1" customWidth="1"/>
    <col min="4" max="4" width="18.09765625" style="25" bestFit="1" customWidth="1"/>
    <col min="5" max="5" width="7.796875" style="25" bestFit="1" customWidth="1"/>
    <col min="6" max="6" width="5.19921875" style="25" customWidth="1"/>
    <col min="7" max="7" width="9.19921875" style="25" bestFit="1" customWidth="1"/>
    <col min="8" max="8" width="18.09765625" style="25" bestFit="1" customWidth="1"/>
    <col min="9" max="9" width="9.8984375" style="25" bestFit="1" customWidth="1"/>
    <col min="10" max="10" width="18.19921875" style="25" bestFit="1" customWidth="1"/>
    <col min="11" max="11" width="6.796875" style="25" bestFit="1" customWidth="1"/>
    <col min="12" max="12" width="7.09765625" style="25" customWidth="1"/>
    <col min="13" max="13" width="6.5" style="25" bestFit="1" customWidth="1"/>
    <col min="14" max="14" width="16.09765625" style="25" bestFit="1" customWidth="1"/>
    <col min="15" max="16" width="18.09765625" style="25" bestFit="1" customWidth="1"/>
    <col min="17" max="17" width="9.796875" style="25" bestFit="1" customWidth="1"/>
    <col min="18" max="18" width="18.09765625" style="25" bestFit="1" customWidth="1"/>
    <col min="19" max="19" width="9.8984375" style="25" bestFit="1" customWidth="1"/>
    <col min="20" max="22" width="8.796875" style="25"/>
    <col min="23" max="24" width="6.5" style="25" bestFit="1" customWidth="1"/>
    <col min="25" max="25" width="11.09765625" style="25" bestFit="1" customWidth="1"/>
    <col min="26" max="16384" width="8.796875" style="25"/>
  </cols>
  <sheetData>
    <row r="1" spans="1:26">
      <c r="B1" s="26" t="s">
        <v>253</v>
      </c>
      <c r="C1" s="26" t="s">
        <v>270</v>
      </c>
      <c r="D1" s="26" t="s">
        <v>271</v>
      </c>
      <c r="E1" s="26" t="s">
        <v>272</v>
      </c>
    </row>
    <row r="2" spans="1:26">
      <c r="B2" s="27">
        <f>B17-SUMPRODUCT(C2:E2,C17:E17)</f>
        <v>-806.22485792433554</v>
      </c>
      <c r="C2" s="27">
        <f>N3*$B$18/C18</f>
        <v>2.0184181333301408</v>
      </c>
      <c r="D2" s="27">
        <f>N4*$B$18/D18</f>
        <v>-2.794639942348816</v>
      </c>
      <c r="E2" s="27">
        <f>N5*$B$18/E18</f>
        <v>39.201853631238329</v>
      </c>
      <c r="N2" s="28" t="s">
        <v>273</v>
      </c>
      <c r="P2" s="122" t="s">
        <v>274</v>
      </c>
      <c r="Q2" s="122"/>
      <c r="R2" s="122"/>
      <c r="S2" s="122"/>
    </row>
    <row r="3" spans="1:26">
      <c r="A3" s="28" t="s">
        <v>276</v>
      </c>
      <c r="B3" s="28" t="s">
        <v>278</v>
      </c>
      <c r="C3" s="122" t="s">
        <v>279</v>
      </c>
      <c r="D3" s="122"/>
      <c r="E3" s="122"/>
      <c r="G3" s="28" t="s">
        <v>276</v>
      </c>
      <c r="H3" s="122" t="s">
        <v>281</v>
      </c>
      <c r="I3" s="122"/>
      <c r="J3" s="122"/>
      <c r="K3" s="122"/>
      <c r="M3" s="26" t="s">
        <v>282</v>
      </c>
      <c r="N3" s="29">
        <f t="array" ref="N3:N5">MMULT(Q16:R18,R42:R43)</f>
        <v>0.22582665851407313</v>
      </c>
      <c r="Q3" s="26" t="s">
        <v>283</v>
      </c>
      <c r="R3" s="26" t="s">
        <v>263</v>
      </c>
      <c r="S3" s="26" t="s">
        <v>224</v>
      </c>
    </row>
    <row r="4" spans="1:26">
      <c r="A4" s="28"/>
      <c r="B4" s="26" t="s">
        <v>510</v>
      </c>
      <c r="C4" s="26" t="s">
        <v>283</v>
      </c>
      <c r="D4" s="26" t="s">
        <v>263</v>
      </c>
      <c r="E4" s="26" t="s">
        <v>224</v>
      </c>
      <c r="G4" s="28"/>
      <c r="H4" s="26" t="s">
        <v>510</v>
      </c>
      <c r="I4" s="26" t="s">
        <v>283</v>
      </c>
      <c r="J4" s="26" t="s">
        <v>263</v>
      </c>
      <c r="K4" s="26" t="s">
        <v>224</v>
      </c>
      <c r="M4" s="26" t="s">
        <v>284</v>
      </c>
      <c r="N4" s="29">
        <v>-0.30664278416297663</v>
      </c>
      <c r="P4" s="26" t="s">
        <v>283</v>
      </c>
      <c r="Q4" s="29">
        <f>CORREL($I$5:$I$16,I5:I16)</f>
        <v>0.99999999999999989</v>
      </c>
      <c r="R4" s="29">
        <f>CORREL($I$5:$I$16,J5:J16)</f>
        <v>-0.93233761909487523</v>
      </c>
      <c r="S4" s="29">
        <f>CORREL($I$5:$I$16,K5:K16)</f>
        <v>0.40471087584412418</v>
      </c>
    </row>
    <row r="5" spans="1:26">
      <c r="A5" s="41">
        <f>$B$2+SUMPRODUCT($C$2:$E$2,C5:E5)</f>
        <v>523.44440977809859</v>
      </c>
      <c r="B5" s="25">
        <v>557</v>
      </c>
      <c r="C5" s="25">
        <v>75.73</v>
      </c>
      <c r="D5" s="25">
        <v>36.200000000000003</v>
      </c>
      <c r="E5" s="25">
        <v>32.6</v>
      </c>
      <c r="G5" s="29">
        <f t="array" ref="G5:G16">MMULT(I5:K16,N3:N5)</f>
        <v>0.89472509850657811</v>
      </c>
      <c r="H5" s="29">
        <f t="shared" ref="H5:H16" si="0">(B5-B$17)/B$18</f>
        <v>1.1364672898047219</v>
      </c>
      <c r="I5" s="29">
        <f t="shared" ref="I5:I16" si="1">(C5-C$17)/C$18</f>
        <v>0.6420294651765136</v>
      </c>
      <c r="J5" s="29">
        <f t="shared" ref="J5:J16" si="2">(D5-D$17)/D$18</f>
        <v>-0.58762967604561078</v>
      </c>
      <c r="K5" s="29">
        <f t="shared" ref="K5:K16" si="3">(E5-E$17)/E$18</f>
        <v>1.0167251378347844</v>
      </c>
      <c r="M5" s="26" t="s">
        <v>285</v>
      </c>
      <c r="N5" s="29">
        <v>0.5601763039041967</v>
      </c>
      <c r="P5" s="26" t="s">
        <v>263</v>
      </c>
      <c r="Q5" s="29">
        <f>CORREL($J$5:$J$16,I5:I16)</f>
        <v>-0.93233761909487523</v>
      </c>
      <c r="R5" s="29">
        <f>CORREL($J$5:$J$16,J5:J16)</f>
        <v>1.0000000000000002</v>
      </c>
      <c r="S5" s="29">
        <f>CORREL($J$5:$J$16,K5:K16)</f>
        <v>-0.53889546234177332</v>
      </c>
    </row>
    <row r="6" spans="1:26">
      <c r="A6" s="41">
        <f t="shared" ref="A6:A16" si="4">$B$2+SUMPRODUCT($C$2:$E$2,C6:E6)</f>
        <v>226.00754855096261</v>
      </c>
      <c r="B6" s="25">
        <v>149</v>
      </c>
      <c r="C6" s="25">
        <v>35.11</v>
      </c>
      <c r="D6" s="25">
        <v>65.599999999999994</v>
      </c>
      <c r="E6" s="25">
        <v>29.2</v>
      </c>
      <c r="G6" s="29">
        <v>-1.2480784740248088</v>
      </c>
      <c r="H6" s="29">
        <f t="shared" si="0"/>
        <v>-1.8028585690879979</v>
      </c>
      <c r="I6" s="29">
        <f t="shared" si="1"/>
        <v>-1.9735229168179729</v>
      </c>
      <c r="J6" s="29">
        <f t="shared" si="2"/>
        <v>1.3426845670539378</v>
      </c>
      <c r="K6" s="29">
        <f t="shared" si="3"/>
        <v>-0.69742302843212367</v>
      </c>
      <c r="P6" s="26" t="s">
        <v>224</v>
      </c>
      <c r="Q6" s="29">
        <f>CORREL($K$5:$K$16,I5:I16)</f>
        <v>0.40471087584412418</v>
      </c>
      <c r="R6" s="29">
        <f>CORREL($K$5:$K$16,J5:J16)</f>
        <v>-0.53889546234177332</v>
      </c>
      <c r="S6" s="29">
        <f>CORREL($K$5:$K$16,K5:K16)</f>
        <v>1.0000000000000002</v>
      </c>
    </row>
    <row r="7" spans="1:26">
      <c r="A7" s="41">
        <f t="shared" si="4"/>
        <v>294.173185688795</v>
      </c>
      <c r="B7" s="25">
        <v>326</v>
      </c>
      <c r="C7" s="25">
        <v>57.24</v>
      </c>
      <c r="D7" s="25">
        <v>61.4</v>
      </c>
      <c r="E7" s="25">
        <v>29.5</v>
      </c>
      <c r="G7" s="29">
        <v>-0.75699754283086484</v>
      </c>
      <c r="H7" s="29">
        <f t="shared" si="0"/>
        <v>-0.52770985089189149</v>
      </c>
      <c r="I7" s="29">
        <f t="shared" si="1"/>
        <v>-0.54855555557873148</v>
      </c>
      <c r="J7" s="29">
        <f t="shared" si="2"/>
        <v>1.0669253894682882</v>
      </c>
      <c r="K7" s="29">
        <f t="shared" si="3"/>
        <v>-0.54617466082033739</v>
      </c>
    </row>
    <row r="8" spans="1:26">
      <c r="A8" s="41">
        <f t="shared" si="4"/>
        <v>494.30104416061045</v>
      </c>
      <c r="B8" s="25">
        <v>486</v>
      </c>
      <c r="C8" s="25">
        <v>94.62</v>
      </c>
      <c r="D8" s="25">
        <v>23.8</v>
      </c>
      <c r="E8" s="25">
        <v>30</v>
      </c>
      <c r="G8" s="29">
        <v>0.68476958827459877</v>
      </c>
      <c r="H8" s="29">
        <f t="shared" si="0"/>
        <v>0.62496695651701817</v>
      </c>
      <c r="I8" s="29">
        <f t="shared" si="1"/>
        <v>1.858370787083846</v>
      </c>
      <c r="J8" s="29">
        <f t="shared" si="2"/>
        <v>-1.4017758193937202</v>
      </c>
      <c r="K8" s="29">
        <f t="shared" si="3"/>
        <v>-0.29409404813402756</v>
      </c>
      <c r="P8" s="122" t="s">
        <v>198</v>
      </c>
      <c r="Q8" s="122"/>
      <c r="R8" s="122"/>
      <c r="S8" s="122"/>
    </row>
    <row r="9" spans="1:26">
      <c r="A9" s="41">
        <f t="shared" si="4"/>
        <v>323.00244021013782</v>
      </c>
      <c r="B9" s="25">
        <v>282</v>
      </c>
      <c r="C9" s="25">
        <v>64.349999999999994</v>
      </c>
      <c r="D9" s="25">
        <v>46.4</v>
      </c>
      <c r="E9" s="25">
        <v>28.8</v>
      </c>
      <c r="G9" s="29">
        <v>-0.54930496119561367</v>
      </c>
      <c r="H9" s="29">
        <f t="shared" si="0"/>
        <v>-0.84469597292934162</v>
      </c>
      <c r="I9" s="29">
        <f t="shared" si="1"/>
        <v>-9.0737302600376601E-2</v>
      </c>
      <c r="J9" s="29">
        <f t="shared" si="2"/>
        <v>8.207118380525294E-2</v>
      </c>
      <c r="K9" s="29">
        <f t="shared" si="3"/>
        <v>-0.89908751858117086</v>
      </c>
      <c r="P9" s="10"/>
      <c r="Q9" s="10" t="s">
        <v>193</v>
      </c>
      <c r="R9" s="10" t="s">
        <v>194</v>
      </c>
      <c r="S9" s="10" t="s">
        <v>195</v>
      </c>
      <c r="W9" s="9"/>
      <c r="X9" s="9"/>
      <c r="Y9" s="9"/>
      <c r="Z9" s="9"/>
    </row>
    <row r="10" spans="1:26">
      <c r="A10" s="41">
        <f t="shared" si="4"/>
        <v>546.9450232260815</v>
      </c>
      <c r="B10" s="25">
        <v>547</v>
      </c>
      <c r="C10" s="25">
        <v>73.22</v>
      </c>
      <c r="D10" s="25">
        <v>37.200000000000003</v>
      </c>
      <c r="E10" s="25">
        <v>33.4</v>
      </c>
      <c r="G10" s="29">
        <v>1.0640289240151533</v>
      </c>
      <c r="H10" s="29">
        <f t="shared" si="0"/>
        <v>1.0644249893416651</v>
      </c>
      <c r="I10" s="29">
        <f t="shared" si="1"/>
        <v>0.48040867544716415</v>
      </c>
      <c r="J10" s="29">
        <f t="shared" si="2"/>
        <v>-0.52197272900140845</v>
      </c>
      <c r="K10" s="29">
        <f t="shared" si="3"/>
        <v>1.4200541181328787</v>
      </c>
      <c r="P10" s="30" t="s">
        <v>198</v>
      </c>
      <c r="Q10" s="31">
        <v>2.2809865548276655</v>
      </c>
      <c r="R10" s="31">
        <v>0.6640682649739662</v>
      </c>
      <c r="S10" s="31">
        <v>5.4945180198368977E-2</v>
      </c>
      <c r="T10" s="10"/>
      <c r="U10" s="10"/>
      <c r="V10" s="10"/>
      <c r="W10" s="9"/>
      <c r="X10" s="9"/>
      <c r="Y10" s="9"/>
      <c r="Z10" s="9"/>
    </row>
    <row r="11" spans="1:26">
      <c r="A11" s="41">
        <f t="shared" si="4"/>
        <v>478.00898905355962</v>
      </c>
      <c r="B11" s="25">
        <v>538</v>
      </c>
      <c r="C11" s="25">
        <v>72.930000000000007</v>
      </c>
      <c r="D11" s="25">
        <v>32.200000000000003</v>
      </c>
      <c r="E11" s="25">
        <v>31.3</v>
      </c>
      <c r="G11" s="29">
        <v>0.56739787535631436</v>
      </c>
      <c r="H11" s="29">
        <f t="shared" si="0"/>
        <v>0.99958691892491391</v>
      </c>
      <c r="I11" s="29">
        <f t="shared" si="1"/>
        <v>0.46173535711190122</v>
      </c>
      <c r="J11" s="29">
        <f t="shared" si="2"/>
        <v>-0.85025746422242021</v>
      </c>
      <c r="K11" s="29">
        <f t="shared" si="3"/>
        <v>0.36131554485037842</v>
      </c>
      <c r="P11" s="30" t="s">
        <v>286</v>
      </c>
      <c r="Q11" s="31">
        <f>Q10/3*100</f>
        <v>76.032885160922177</v>
      </c>
      <c r="R11" s="31">
        <f>R10/3*100</f>
        <v>22.13560883246554</v>
      </c>
      <c r="S11" s="31">
        <f>S10/3*100</f>
        <v>1.8315060066122995</v>
      </c>
      <c r="T11" s="32"/>
      <c r="U11" s="32"/>
      <c r="V11" s="32"/>
      <c r="W11" s="9"/>
      <c r="X11" s="9"/>
      <c r="Y11" s="9"/>
      <c r="Z11" s="9"/>
    </row>
    <row r="12" spans="1:26">
      <c r="A12" s="41">
        <f t="shared" si="4"/>
        <v>337.68347350397539</v>
      </c>
      <c r="B12" s="25">
        <v>393</v>
      </c>
      <c r="C12" s="25">
        <v>65.52</v>
      </c>
      <c r="D12" s="25">
        <v>46.2</v>
      </c>
      <c r="E12" s="25">
        <v>29.1</v>
      </c>
      <c r="G12" s="29">
        <v>-0.443539420029335</v>
      </c>
      <c r="H12" s="29">
        <f t="shared" si="0"/>
        <v>-4.5026437789410532E-2</v>
      </c>
      <c r="I12" s="29">
        <f t="shared" si="1"/>
        <v>-1.5400121730520537E-2</v>
      </c>
      <c r="J12" s="29">
        <f t="shared" si="2"/>
        <v>6.8939794396412749E-2</v>
      </c>
      <c r="K12" s="29">
        <f t="shared" si="3"/>
        <v>-0.74783915096938458</v>
      </c>
      <c r="P12" s="30" t="s">
        <v>287</v>
      </c>
      <c r="Q12" s="31">
        <f>Q11</f>
        <v>76.032885160922177</v>
      </c>
      <c r="R12" s="31">
        <f>Q12+R11</f>
        <v>98.168493993387713</v>
      </c>
      <c r="S12" s="31">
        <f>R12+S11</f>
        <v>100.00000000000001</v>
      </c>
      <c r="T12" s="32"/>
      <c r="U12" s="32"/>
      <c r="W12" s="9"/>
      <c r="X12" s="9"/>
      <c r="Y12" s="9"/>
      <c r="Z12" s="9"/>
    </row>
    <row r="13" spans="1:26">
      <c r="A13" s="41">
        <f t="shared" si="4"/>
        <v>576.57226480768963</v>
      </c>
      <c r="B13" s="25">
        <v>484</v>
      </c>
      <c r="C13" s="25">
        <v>80.86</v>
      </c>
      <c r="D13" s="25">
        <v>23.7</v>
      </c>
      <c r="E13" s="25">
        <v>32.799999999999997</v>
      </c>
      <c r="G13" s="29">
        <v>1.2774703880065323</v>
      </c>
      <c r="H13" s="29">
        <f t="shared" si="0"/>
        <v>0.61055849642440685</v>
      </c>
      <c r="I13" s="29">
        <f t="shared" si="1"/>
        <v>0.97235402745203547</v>
      </c>
      <c r="J13" s="29">
        <f t="shared" si="2"/>
        <v>-1.4083415140981403</v>
      </c>
      <c r="K13" s="29">
        <f t="shared" si="3"/>
        <v>1.1175573829093062</v>
      </c>
      <c r="P13" s="9"/>
      <c r="Q13" s="9"/>
      <c r="T13" s="32"/>
      <c r="U13" s="32"/>
      <c r="W13" s="9"/>
      <c r="X13" s="9"/>
      <c r="Y13" s="9"/>
      <c r="Z13" s="9"/>
    </row>
    <row r="14" spans="1:26">
      <c r="A14" s="41">
        <f t="shared" si="4"/>
        <v>263.62311719422405</v>
      </c>
      <c r="B14" s="25">
        <v>253</v>
      </c>
      <c r="C14" s="25">
        <v>61.83</v>
      </c>
      <c r="D14" s="25">
        <v>51.8</v>
      </c>
      <c r="E14" s="25">
        <v>27.8</v>
      </c>
      <c r="G14" s="29">
        <v>-0.97708726419615111</v>
      </c>
      <c r="H14" s="29">
        <f t="shared" si="0"/>
        <v>-1.0536186442722064</v>
      </c>
      <c r="I14" s="29">
        <f t="shared" si="1"/>
        <v>-0.25300199985852762</v>
      </c>
      <c r="J14" s="29">
        <f t="shared" si="2"/>
        <v>0.43661869784394558</v>
      </c>
      <c r="K14" s="29">
        <f t="shared" si="3"/>
        <v>-1.4032487439537906</v>
      </c>
      <c r="P14" s="122" t="s">
        <v>288</v>
      </c>
      <c r="Q14" s="122"/>
      <c r="R14" s="122"/>
      <c r="S14" s="122"/>
      <c r="T14" s="32"/>
      <c r="U14" s="32"/>
      <c r="W14" s="9"/>
      <c r="X14" s="9"/>
      <c r="Y14" s="9"/>
      <c r="Z14" s="9"/>
    </row>
    <row r="15" spans="1:26">
      <c r="A15" s="41">
        <f t="shared" si="4"/>
        <v>241.06219542599638</v>
      </c>
      <c r="B15" s="25">
        <v>270</v>
      </c>
      <c r="C15" s="25">
        <v>47.83</v>
      </c>
      <c r="D15" s="25">
        <v>69.400000000000006</v>
      </c>
      <c r="E15" s="25">
        <v>29.2</v>
      </c>
      <c r="G15" s="29">
        <v>-1.1396213346711679</v>
      </c>
      <c r="H15" s="29">
        <f t="shared" si="0"/>
        <v>-0.93114673348500987</v>
      </c>
      <c r="I15" s="29">
        <f t="shared" si="1"/>
        <v>-1.1544725401815903</v>
      </c>
      <c r="J15" s="29">
        <f t="shared" si="2"/>
        <v>1.5921809658219075</v>
      </c>
      <c r="K15" s="29">
        <f t="shared" si="3"/>
        <v>-0.69742302843212367</v>
      </c>
      <c r="P15" s="9"/>
      <c r="Q15" s="9" t="s">
        <v>193</v>
      </c>
      <c r="R15" s="9" t="s">
        <v>194</v>
      </c>
      <c r="S15" s="9" t="s">
        <v>195</v>
      </c>
      <c r="T15" s="32"/>
      <c r="U15" s="32"/>
      <c r="W15" s="9"/>
      <c r="X15" s="9"/>
      <c r="Y15" s="9"/>
      <c r="Z15" s="9"/>
    </row>
    <row r="16" spans="1:26">
      <c r="A16" s="41">
        <f t="shared" si="4"/>
        <v>486.17630839986782</v>
      </c>
      <c r="B16" s="25">
        <v>506</v>
      </c>
      <c r="C16" s="25">
        <v>59.87</v>
      </c>
      <c r="D16" s="25">
        <v>47.9</v>
      </c>
      <c r="E16" s="25">
        <v>33.299999999999997</v>
      </c>
      <c r="G16" s="29">
        <v>0.62623712278876353</v>
      </c>
      <c r="H16" s="29">
        <f t="shared" si="0"/>
        <v>0.76905155744313192</v>
      </c>
      <c r="I16" s="29">
        <f t="shared" si="1"/>
        <v>-0.37920787550375645</v>
      </c>
      <c r="J16" s="29">
        <f t="shared" si="2"/>
        <v>0.18055660437155646</v>
      </c>
      <c r="K16" s="29">
        <f t="shared" si="3"/>
        <v>1.3696379955956159</v>
      </c>
      <c r="P16" s="26" t="s">
        <v>283</v>
      </c>
      <c r="Q16" s="31">
        <v>-0.61254722012439455</v>
      </c>
      <c r="R16" s="31">
        <v>-0.42459393548240426</v>
      </c>
      <c r="S16" s="31">
        <v>0.66671275154255194</v>
      </c>
      <c r="T16" s="32"/>
      <c r="U16" s="32"/>
      <c r="W16" s="9"/>
      <c r="X16" s="9"/>
      <c r="Y16" s="9"/>
      <c r="Z16" s="9"/>
    </row>
    <row r="17" spans="1:21">
      <c r="A17" s="26" t="s">
        <v>196</v>
      </c>
      <c r="B17" s="33">
        <f>AVERAGE(B5:B16)</f>
        <v>399.25</v>
      </c>
      <c r="C17" s="33">
        <f>AVERAGE(C5:C16)</f>
        <v>65.759166666666687</v>
      </c>
      <c r="D17" s="33">
        <f>AVERAGE(D5:D16)</f>
        <v>45.15</v>
      </c>
      <c r="E17" s="33">
        <f>AVERAGE(E5:E16)</f>
        <v>30.583333333333332</v>
      </c>
      <c r="G17" s="26" t="s">
        <v>196</v>
      </c>
      <c r="H17" s="33">
        <f>AVERAGE(H5:H16)</f>
        <v>0</v>
      </c>
      <c r="I17" s="33">
        <f>AVERAGE(I5:I16)</f>
        <v>-1.2952601953960159E-15</v>
      </c>
      <c r="J17" s="33">
        <f>AVERAGE(J5:J16)</f>
        <v>8.7892656116158222E-17</v>
      </c>
      <c r="K17" s="33">
        <f>AVERAGE(K5:K16)</f>
        <v>4.2558549277297669E-16</v>
      </c>
      <c r="P17" s="26" t="s">
        <v>263</v>
      </c>
      <c r="Q17" s="31">
        <v>0.64061859198812876</v>
      </c>
      <c r="R17" s="31">
        <v>0.22742392684738075</v>
      </c>
      <c r="S17" s="31">
        <v>0.73340723823566456</v>
      </c>
      <c r="T17" s="32"/>
      <c r="U17" s="32"/>
    </row>
    <row r="18" spans="1:21">
      <c r="A18" s="26" t="s">
        <v>244</v>
      </c>
      <c r="B18" s="33">
        <f>_xlfn.STDEV.S(B5:B16)</f>
        <v>138.80733868469372</v>
      </c>
      <c r="C18" s="33">
        <f>_xlfn.STDEV.S(C5:C16)</f>
        <v>15.530180270763788</v>
      </c>
      <c r="D18" s="33">
        <f>_xlfn.STDEV.S(D5:D16)</f>
        <v>15.230680758378364</v>
      </c>
      <c r="E18" s="33">
        <f>_xlfn.STDEV.S(E5:E16)</f>
        <v>1.9834924815190054</v>
      </c>
      <c r="G18" s="26" t="s">
        <v>244</v>
      </c>
      <c r="H18" s="33">
        <f>_xlfn.STDEV.S(H5:H16)</f>
        <v>1</v>
      </c>
      <c r="I18" s="33">
        <f>_xlfn.STDEV.S(I5:I16)</f>
        <v>1.0000000000000071</v>
      </c>
      <c r="J18" s="33">
        <f>_xlfn.STDEV.S(J5:J16)</f>
        <v>0.99999999999999878</v>
      </c>
      <c r="K18" s="33">
        <f>_xlfn.STDEV.S(K5:K16)</f>
        <v>1</v>
      </c>
      <c r="P18" s="26" t="s">
        <v>224</v>
      </c>
      <c r="Q18" s="31">
        <v>-0.46302669762879134</v>
      </c>
      <c r="R18" s="31">
        <v>0.87635514915408641</v>
      </c>
      <c r="S18" s="31">
        <v>0.13269487493529941</v>
      </c>
    </row>
    <row r="19" spans="1:21">
      <c r="A19" s="26" t="s">
        <v>136</v>
      </c>
      <c r="B19" s="29">
        <f>CORREL(A5:A16,B5:B16)</f>
        <v>0.93567129233010271</v>
      </c>
      <c r="G19" s="26" t="s">
        <v>136</v>
      </c>
      <c r="H19" s="29">
        <f>CORREL(G5:G16,H5:H16)</f>
        <v>0.93567129233010271</v>
      </c>
    </row>
    <row r="21" spans="1:21">
      <c r="H21" s="122" t="s">
        <v>289</v>
      </c>
      <c r="I21" s="122"/>
      <c r="J21" s="122"/>
      <c r="K21" s="122"/>
    </row>
    <row r="22" spans="1:21">
      <c r="H22" s="26" t="s">
        <v>510</v>
      </c>
      <c r="I22" s="26" t="s">
        <v>193</v>
      </c>
      <c r="J22" s="26" t="s">
        <v>194</v>
      </c>
      <c r="K22" s="26" t="s">
        <v>195</v>
      </c>
    </row>
    <row r="23" spans="1:21">
      <c r="H23" s="29">
        <f>H5</f>
        <v>1.1364672898047219</v>
      </c>
      <c r="I23" s="29">
        <f t="array" ref="I23:K34">MMULT(I5:K16,Q16:S18)</f>
        <v>-1.2404907427784224</v>
      </c>
      <c r="J23" s="29">
        <v>0.48476944404260536</v>
      </c>
      <c r="K23" s="29">
        <v>0.1319915884938585</v>
      </c>
    </row>
    <row r="24" spans="1:21">
      <c r="H24" s="29">
        <f t="shared" ref="H24:H34" si="5">H6</f>
        <v>-1.8028585690879979</v>
      </c>
      <c r="I24" s="29">
        <v>2.3919501550841167</v>
      </c>
      <c r="J24" s="29">
        <v>0.53211419666811</v>
      </c>
      <c r="K24" s="29">
        <v>-0.42358277549411438</v>
      </c>
    </row>
    <row r="25" spans="1:21">
      <c r="H25" s="29">
        <f t="shared" si="5"/>
        <v>-0.52770985089189149</v>
      </c>
      <c r="I25" s="29">
        <v>1.2724018709392715</v>
      </c>
      <c r="J25" s="29">
        <v>-3.0852524474297982E-3</v>
      </c>
      <c r="K25" s="29">
        <v>0.34428724114921444</v>
      </c>
    </row>
    <row r="26" spans="1:21">
      <c r="H26" s="29">
        <f t="shared" si="5"/>
        <v>0.62496695651701817</v>
      </c>
      <c r="I26" s="29">
        <v>-1.9001701153918218</v>
      </c>
      <c r="J26" s="29">
        <v>-1.3655811608975126</v>
      </c>
      <c r="K26" s="29">
        <v>0.17190219557952408</v>
      </c>
    </row>
    <row r="27" spans="1:21">
      <c r="H27" s="29">
        <f t="shared" si="5"/>
        <v>-0.84469597292934162</v>
      </c>
      <c r="I27" s="29">
        <v>0.52445873328947079</v>
      </c>
      <c r="J27" s="29">
        <v>-0.73072851714062392</v>
      </c>
      <c r="K27" s="29">
        <v>-0.11960842226492124</v>
      </c>
    </row>
    <row r="28" spans="1:21">
      <c r="H28" s="29">
        <f t="shared" si="5"/>
        <v>1.0644249893416651</v>
      </c>
      <c r="I28" s="29">
        <v>-1.2861814021511186</v>
      </c>
      <c r="J28" s="29">
        <v>0.92178404061846908</v>
      </c>
      <c r="K28" s="29">
        <v>0.12590991586803496</v>
      </c>
    </row>
    <row r="29" spans="1:21">
      <c r="H29" s="29">
        <f t="shared" si="5"/>
        <v>0.99958691892491391</v>
      </c>
      <c r="I29" s="29">
        <v>-0.99482419252362153</v>
      </c>
      <c r="J29" s="29">
        <v>-7.2778185573231235E-2</v>
      </c>
      <c r="K29" s="29">
        <v>-0.26779540716396555</v>
      </c>
    </row>
    <row r="30" spans="1:21">
      <c r="H30" s="29">
        <f t="shared" si="5"/>
        <v>-4.5026437789410532E-2</v>
      </c>
      <c r="I30" s="29">
        <v>0.39986690820466197</v>
      </c>
      <c r="J30" s="29">
        <v>-0.63315533364088727</v>
      </c>
      <c r="K30" s="29">
        <v>-5.8940935929840961E-2</v>
      </c>
    </row>
    <row r="31" spans="1:21">
      <c r="H31" s="29">
        <f t="shared" si="5"/>
        <v>0.61055849642440685</v>
      </c>
      <c r="I31" s="29">
        <v>-2.0152814187116541</v>
      </c>
      <c r="J31" s="29">
        <v>0.24623098631132512</v>
      </c>
      <c r="K31" s="29">
        <v>-0.23631289407315167</v>
      </c>
    </row>
    <row r="32" spans="1:21">
      <c r="H32" s="29">
        <f t="shared" si="5"/>
        <v>-1.0536186442722064</v>
      </c>
      <c r="I32" s="29">
        <v>1.0844233590124053</v>
      </c>
      <c r="J32" s="29">
        <v>-1.0230236087043976</v>
      </c>
      <c r="K32" s="29">
        <v>-3.4664262705731252E-2</v>
      </c>
    </row>
    <row r="33" spans="2:19">
      <c r="H33" s="29">
        <f t="shared" si="5"/>
        <v>-0.93114673348500987</v>
      </c>
      <c r="I33" s="29">
        <v>2.0500751554185079</v>
      </c>
      <c r="J33" s="29">
        <v>0.24109182463581469</v>
      </c>
      <c r="K33" s="29">
        <v>0.30547101953525235</v>
      </c>
    </row>
    <row r="34" spans="2:19">
      <c r="H34" s="29">
        <f t="shared" si="5"/>
        <v>0.76905155744313192</v>
      </c>
      <c r="I34" s="29">
        <v>-0.28622831039178748</v>
      </c>
      <c r="J34" s="29">
        <v>1.40236156612777</v>
      </c>
      <c r="K34" s="29">
        <v>6.1342737005832232E-2</v>
      </c>
    </row>
    <row r="36" spans="2:19">
      <c r="H36" s="122" t="s">
        <v>290</v>
      </c>
      <c r="I36" s="122"/>
      <c r="J36" s="122"/>
      <c r="K36" s="122"/>
      <c r="L36" s="122"/>
      <c r="M36" s="122"/>
      <c r="N36" s="122"/>
      <c r="O36" s="122"/>
      <c r="P36" s="122"/>
      <c r="Q36" s="122"/>
      <c r="R36" s="122"/>
      <c r="S36" s="122"/>
    </row>
    <row r="37" spans="2:19">
      <c r="H37" s="29">
        <f t="array" ref="H37:S38">TRANSPOSE(I23:J34)</f>
        <v>-1.2404907427784224</v>
      </c>
      <c r="I37" s="29">
        <v>2.3919501550841167</v>
      </c>
      <c r="J37" s="29">
        <v>1.2724018709392715</v>
      </c>
      <c r="K37" s="29">
        <v>-1.9001701153918218</v>
      </c>
      <c r="L37" s="29">
        <v>0.52445873328947079</v>
      </c>
      <c r="M37" s="29">
        <v>-1.2861814021511186</v>
      </c>
      <c r="N37" s="29">
        <v>-0.99482419252362153</v>
      </c>
      <c r="O37" s="29">
        <v>0.39986690820466197</v>
      </c>
      <c r="P37" s="29">
        <v>-2.0152814187116541</v>
      </c>
      <c r="Q37" s="29">
        <v>1.0844233590124053</v>
      </c>
      <c r="R37" s="29">
        <v>2.0500751554185079</v>
      </c>
      <c r="S37" s="29">
        <v>-0.28622831039178748</v>
      </c>
    </row>
    <row r="38" spans="2:19">
      <c r="H38" s="29">
        <v>0.48476944404260536</v>
      </c>
      <c r="I38" s="29">
        <v>0.53211419666811</v>
      </c>
      <c r="J38" s="29">
        <v>-3.0852524474297982E-3</v>
      </c>
      <c r="K38" s="29">
        <v>-1.3655811608975126</v>
      </c>
      <c r="L38" s="29">
        <v>-0.73072851714062392</v>
      </c>
      <c r="M38" s="29">
        <v>0.92178404061846908</v>
      </c>
      <c r="N38" s="29">
        <v>-7.2778185573231235E-2</v>
      </c>
      <c r="O38" s="29">
        <v>-0.63315533364088727</v>
      </c>
      <c r="P38" s="29">
        <v>0.24623098631132512</v>
      </c>
      <c r="Q38" s="29">
        <v>-1.0230236087043976</v>
      </c>
      <c r="R38" s="29">
        <v>0.24109182463581469</v>
      </c>
      <c r="S38" s="29">
        <v>1.40236156612777</v>
      </c>
    </row>
    <row r="41" spans="2:19">
      <c r="H41" s="122" t="s">
        <v>291</v>
      </c>
      <c r="I41" s="122"/>
      <c r="K41" s="122" t="s">
        <v>292</v>
      </c>
      <c r="L41" s="122"/>
      <c r="O41" s="28" t="s">
        <v>293</v>
      </c>
      <c r="R41" s="28" t="s">
        <v>294</v>
      </c>
    </row>
    <row r="42" spans="2:19">
      <c r="H42" s="29">
        <f t="array" ref="H42:I43">MMULT(H37:S38,I23:J34)</f>
        <v>25.090852103104432</v>
      </c>
      <c r="I42" s="29">
        <v>-9.7735936011034141E-10</v>
      </c>
      <c r="K42" s="29">
        <f t="array" ref="K42:L43">MINVERSE(H42:I43)</f>
        <v>3.985516298492997E-2</v>
      </c>
      <c r="L42" s="29">
        <v>5.3325318066059649E-12</v>
      </c>
      <c r="O42" s="29">
        <f t="array" ref="O42:O43">MMULT(H37:S38,H23:H34)</f>
        <v>-14.907658133541553</v>
      </c>
      <c r="Q42" s="26" t="s">
        <v>295</v>
      </c>
      <c r="R42" s="29">
        <f t="array" ref="R42:R43">MMULT(K42:L43,O42:O43)</f>
        <v>-0.59414714462324447</v>
      </c>
    </row>
    <row r="43" spans="2:19">
      <c r="H43" s="29">
        <v>-9.7735936011034141E-10</v>
      </c>
      <c r="I43" s="29">
        <v>7.3047509147136429</v>
      </c>
      <c r="K43" s="29">
        <v>5.3325318066059657E-12</v>
      </c>
      <c r="L43" s="29">
        <v>0.13689720726626603</v>
      </c>
      <c r="O43" s="29">
        <v>2.3761686534500339</v>
      </c>
      <c r="Q43" s="26" t="s">
        <v>296</v>
      </c>
      <c r="R43" s="29">
        <v>0.32529085257145796</v>
      </c>
    </row>
    <row r="48" spans="2:19" ht="18" thickBot="1">
      <c r="B48" s="26" t="s">
        <v>297</v>
      </c>
      <c r="C48" s="26" t="s">
        <v>298</v>
      </c>
      <c r="D48" s="26" t="s">
        <v>299</v>
      </c>
      <c r="E48" s="26" t="s">
        <v>300</v>
      </c>
    </row>
    <row r="49" spans="1:11" ht="18.600000000000001" thickTop="1" thickBot="1">
      <c r="B49" s="34">
        <f>B64-SUMPRODUCT(C49:E49,C64:E64)</f>
        <v>-1557.4408039020138</v>
      </c>
      <c r="C49" s="35">
        <f>I49*$B$65/C65</f>
        <v>6.5972853435497614</v>
      </c>
      <c r="D49" s="35">
        <f>J49*$B$65/D65</f>
        <v>2.3413203920787495</v>
      </c>
      <c r="E49" s="35">
        <f>K49*$B$65/E65</f>
        <v>46.337270901763887</v>
      </c>
      <c r="I49" s="29">
        <f>MMULT(I81:K81,S106:S108)</f>
        <v>0.73812401890170054</v>
      </c>
      <c r="J49" s="29">
        <f t="array" ref="J49">MMULT(I82:K82,S106:S108)</f>
        <v>0.25690214784562337</v>
      </c>
      <c r="K49" s="29">
        <f t="array" ref="K49">MMULT(I83:K83,S106:S108)</f>
        <v>0.66213810680813034</v>
      </c>
    </row>
    <row r="50" spans="1:11" ht="18" thickTop="1">
      <c r="A50" s="28" t="s">
        <v>275</v>
      </c>
      <c r="B50" s="28" t="s">
        <v>277</v>
      </c>
      <c r="C50" s="123"/>
      <c r="D50" s="123"/>
      <c r="E50" s="123"/>
      <c r="H50" s="122" t="s">
        <v>280</v>
      </c>
      <c r="I50" s="122"/>
      <c r="J50" s="122"/>
      <c r="K50" s="122"/>
    </row>
    <row r="51" spans="1:11">
      <c r="A51" s="28" t="s">
        <v>275</v>
      </c>
      <c r="B51" s="26" t="s">
        <v>510</v>
      </c>
      <c r="C51" s="26" t="s">
        <v>283</v>
      </c>
      <c r="D51" s="26" t="s">
        <v>263</v>
      </c>
      <c r="E51" s="26" t="s">
        <v>224</v>
      </c>
      <c r="H51" s="26" t="s">
        <v>510</v>
      </c>
      <c r="I51" s="26" t="s">
        <v>283</v>
      </c>
      <c r="J51" s="26" t="s">
        <v>263</v>
      </c>
      <c r="K51" s="26" t="s">
        <v>224</v>
      </c>
    </row>
    <row r="52" spans="1:11">
      <c r="A52" s="29">
        <f>SUMPRODUCT($C$49:$E$49,C52:E52)+$B$49</f>
        <v>537.52244475576276</v>
      </c>
      <c r="B52" s="25">
        <v>557</v>
      </c>
      <c r="C52" s="25">
        <v>75.73</v>
      </c>
      <c r="D52" s="25">
        <v>36.200000000000003</v>
      </c>
      <c r="E52" s="25">
        <v>32.6</v>
      </c>
      <c r="G52" s="25">
        <f>SUMPRODUCT($I$49:$K$49,I52:K52)</f>
        <v>0.99614650108561187</v>
      </c>
      <c r="H52" s="29">
        <f t="shared" ref="H52:H63" si="6">(B52-B$64)/B$65</f>
        <v>1.1364672898047219</v>
      </c>
      <c r="I52" s="29">
        <f t="shared" ref="I52:I63" si="7">(C52-C$64)/C$65</f>
        <v>0.6420294651765136</v>
      </c>
      <c r="J52" s="29">
        <f t="shared" ref="J52:J63" si="8">(D52-D$64)/D$65</f>
        <v>-0.58762967604561078</v>
      </c>
      <c r="K52" s="29">
        <f t="shared" ref="K52:K63" si="9">(E52-E$64)/E$65</f>
        <v>1.0167251378347844</v>
      </c>
    </row>
    <row r="53" spans="1:11">
      <c r="A53" s="29">
        <f t="shared" ref="A53:A63" si="10">SUMPRODUCT($C$49:$E$49,C53:E53)+$B$49</f>
        <v>180.82881256188989</v>
      </c>
      <c r="B53" s="25">
        <v>149</v>
      </c>
      <c r="C53" s="25">
        <v>35.11</v>
      </c>
      <c r="D53" s="25">
        <v>65.599999999999994</v>
      </c>
      <c r="E53" s="25">
        <v>29.2</v>
      </c>
      <c r="G53" s="25">
        <f t="shared" ref="G53:G63" si="11">SUMPRODUCT($I$49:$K$49,I53:K53)</f>
        <v>-1.5735564812914005</v>
      </c>
      <c r="H53" s="29">
        <f t="shared" si="6"/>
        <v>-1.8028585690879979</v>
      </c>
      <c r="I53" s="29">
        <f t="shared" si="7"/>
        <v>-1.9735229168179729</v>
      </c>
      <c r="J53" s="29">
        <f t="shared" si="8"/>
        <v>1.3426845670539378</v>
      </c>
      <c r="K53" s="29">
        <f t="shared" si="9"/>
        <v>-0.69742302843212367</v>
      </c>
    </row>
    <row r="54" spans="1:11">
      <c r="A54" s="29">
        <f t="shared" si="10"/>
        <v>330.8943728384445</v>
      </c>
      <c r="B54" s="25">
        <v>326</v>
      </c>
      <c r="C54" s="25">
        <v>57.24</v>
      </c>
      <c r="D54" s="25">
        <v>61.4</v>
      </c>
      <c r="E54" s="25">
        <v>29.5</v>
      </c>
      <c r="G54" s="25">
        <f t="shared" si="11"/>
        <v>-0.49244966303134785</v>
      </c>
      <c r="H54" s="29">
        <f t="shared" si="6"/>
        <v>-0.52770985089189149</v>
      </c>
      <c r="I54" s="29">
        <f t="shared" si="7"/>
        <v>-0.54855555557873148</v>
      </c>
      <c r="J54" s="29">
        <f t="shared" si="8"/>
        <v>1.0669253894682882</v>
      </c>
      <c r="K54" s="29">
        <f t="shared" si="9"/>
        <v>-0.54617466082033739</v>
      </c>
    </row>
    <row r="55" spans="1:11">
      <c r="A55" s="29">
        <f t="shared" si="10"/>
        <v>512.63588768905561</v>
      </c>
      <c r="B55" s="25">
        <v>486</v>
      </c>
      <c r="C55" s="25">
        <v>94.62</v>
      </c>
      <c r="D55" s="25">
        <v>23.8</v>
      </c>
      <c r="E55" s="25">
        <v>30</v>
      </c>
      <c r="G55" s="25">
        <f t="shared" si="11"/>
        <v>0.81685801891653531</v>
      </c>
      <c r="H55" s="29">
        <f t="shared" si="6"/>
        <v>0.62496695651701817</v>
      </c>
      <c r="I55" s="29">
        <f t="shared" si="7"/>
        <v>1.858370787083846</v>
      </c>
      <c r="J55" s="29">
        <f t="shared" si="8"/>
        <v>-1.4017758193937202</v>
      </c>
      <c r="K55" s="29">
        <f t="shared" si="9"/>
        <v>-0.29409404813402756</v>
      </c>
    </row>
    <row r="56" spans="1:11">
      <c r="A56" s="29">
        <f t="shared" si="10"/>
        <v>310.24517611866736</v>
      </c>
      <c r="B56" s="25">
        <v>282</v>
      </c>
      <c r="C56" s="25">
        <v>64.349999999999994</v>
      </c>
      <c r="D56" s="25">
        <v>46.4</v>
      </c>
      <c r="E56" s="25">
        <v>28.8</v>
      </c>
      <c r="G56" s="25">
        <f t="shared" si="11"/>
        <v>-0.64121122647204354</v>
      </c>
      <c r="H56" s="29">
        <f t="shared" si="6"/>
        <v>-0.84469597292934162</v>
      </c>
      <c r="I56" s="29">
        <f t="shared" si="7"/>
        <v>-9.0737302600376601E-2</v>
      </c>
      <c r="J56" s="29">
        <f t="shared" si="8"/>
        <v>8.207118380525294E-2</v>
      </c>
      <c r="K56" s="29">
        <f t="shared" si="9"/>
        <v>-0.89908751858117086</v>
      </c>
    </row>
    <row r="57" spans="1:11">
      <c r="A57" s="29">
        <f t="shared" si="10"/>
        <v>560.37439565694308</v>
      </c>
      <c r="B57" s="25">
        <v>547</v>
      </c>
      <c r="C57" s="25">
        <v>73.22</v>
      </c>
      <c r="D57" s="25">
        <v>37.200000000000003</v>
      </c>
      <c r="E57" s="25">
        <v>33.4</v>
      </c>
      <c r="G57" s="25">
        <f t="shared" si="11"/>
        <v>1.1607772123845936</v>
      </c>
      <c r="H57" s="29">
        <f t="shared" si="6"/>
        <v>1.0644249893416651</v>
      </c>
      <c r="I57" s="29">
        <f t="shared" si="7"/>
        <v>0.48040867544716415</v>
      </c>
      <c r="J57" s="29">
        <f t="shared" si="8"/>
        <v>-0.52197272900140845</v>
      </c>
      <c r="K57" s="29">
        <f t="shared" si="9"/>
        <v>1.4200541181328787</v>
      </c>
    </row>
    <row r="58" spans="1:11">
      <c r="A58" s="29">
        <f t="shared" si="10"/>
        <v>449.44631205321571</v>
      </c>
      <c r="B58" s="25">
        <v>538</v>
      </c>
      <c r="C58" s="25">
        <v>72.930000000000007</v>
      </c>
      <c r="D58" s="25">
        <v>32.200000000000003</v>
      </c>
      <c r="E58" s="25">
        <v>31.3</v>
      </c>
      <c r="G58" s="25">
        <f t="shared" si="11"/>
        <v>0.36162577950751307</v>
      </c>
      <c r="H58" s="29">
        <f t="shared" si="6"/>
        <v>0.99958691892491391</v>
      </c>
      <c r="I58" s="29">
        <f t="shared" si="7"/>
        <v>0.46173535711190122</v>
      </c>
      <c r="J58" s="29">
        <f t="shared" si="8"/>
        <v>-0.85025746422242021</v>
      </c>
      <c r="K58" s="29">
        <f t="shared" si="9"/>
        <v>0.36131554485037842</v>
      </c>
    </row>
    <row r="59" spans="1:11">
      <c r="A59" s="29">
        <f t="shared" si="10"/>
        <v>331.39691716273387</v>
      </c>
      <c r="B59" s="25">
        <v>393</v>
      </c>
      <c r="C59" s="25">
        <v>65.52</v>
      </c>
      <c r="D59" s="25">
        <v>46.2</v>
      </c>
      <c r="E59" s="25">
        <v>29.1</v>
      </c>
      <c r="G59" s="25">
        <f t="shared" si="11"/>
        <v>-0.48882921811070101</v>
      </c>
      <c r="H59" s="29">
        <f t="shared" si="6"/>
        <v>-4.5026437789410532E-2</v>
      </c>
      <c r="I59" s="29">
        <f t="shared" si="7"/>
        <v>-1.5400121730520537E-2</v>
      </c>
      <c r="J59" s="29">
        <f t="shared" si="8"/>
        <v>6.8939794396412749E-2</v>
      </c>
      <c r="K59" s="29">
        <f t="shared" si="9"/>
        <v>-0.74783915096938458</v>
      </c>
    </row>
    <row r="60" spans="1:11">
      <c r="A60" s="29">
        <f t="shared" si="10"/>
        <v>551.36746784754155</v>
      </c>
      <c r="B60" s="25">
        <v>484</v>
      </c>
      <c r="C60" s="25">
        <v>80.86</v>
      </c>
      <c r="D60" s="25">
        <v>23.7</v>
      </c>
      <c r="E60" s="25">
        <v>32.799999999999997</v>
      </c>
      <c r="G60" s="25">
        <f t="shared" si="11"/>
        <v>1.0958892324351981</v>
      </c>
      <c r="H60" s="29">
        <f t="shared" si="6"/>
        <v>0.61055849642440685</v>
      </c>
      <c r="I60" s="29">
        <f t="shared" si="7"/>
        <v>0.97235402745203547</v>
      </c>
      <c r="J60" s="29">
        <f t="shared" si="8"/>
        <v>-1.4083415140981403</v>
      </c>
      <c r="K60" s="29">
        <f t="shared" si="9"/>
        <v>1.1175573829093062</v>
      </c>
    </row>
    <row r="61" spans="1:11">
      <c r="A61" s="29">
        <f t="shared" si="10"/>
        <v>259.92587626838326</v>
      </c>
      <c r="B61" s="25">
        <v>253</v>
      </c>
      <c r="C61" s="25">
        <v>61.83</v>
      </c>
      <c r="D61" s="25">
        <v>51.8</v>
      </c>
      <c r="E61" s="25">
        <v>27.8</v>
      </c>
      <c r="G61" s="25">
        <f t="shared" si="11"/>
        <v>-1.0037230383625249</v>
      </c>
      <c r="H61" s="29">
        <f t="shared" si="6"/>
        <v>-1.0536186442722064</v>
      </c>
      <c r="I61" s="29">
        <f t="shared" si="7"/>
        <v>-0.25300199985852762</v>
      </c>
      <c r="J61" s="29">
        <f t="shared" si="8"/>
        <v>0.43661869784394558</v>
      </c>
      <c r="K61" s="29">
        <f t="shared" si="9"/>
        <v>-1.4032487439537906</v>
      </c>
    </row>
    <row r="62" spans="1:11">
      <c r="A62" s="29">
        <f t="shared" si="10"/>
        <v>273.64329962174202</v>
      </c>
      <c r="B62" s="25">
        <v>270</v>
      </c>
      <c r="C62" s="25">
        <v>47.83</v>
      </c>
      <c r="D62" s="25">
        <v>69.400000000000006</v>
      </c>
      <c r="E62" s="25">
        <v>29.2</v>
      </c>
      <c r="G62" s="25">
        <f t="shared" si="11"/>
        <v>-0.90489956488236256</v>
      </c>
      <c r="H62" s="29">
        <f t="shared" si="6"/>
        <v>-0.93114673348500987</v>
      </c>
      <c r="I62" s="29">
        <f t="shared" si="7"/>
        <v>-1.1544725401815903</v>
      </c>
      <c r="J62" s="29">
        <f t="shared" si="8"/>
        <v>1.5921809658219075</v>
      </c>
      <c r="K62" s="29">
        <f t="shared" si="9"/>
        <v>-0.69742302843212367</v>
      </c>
    </row>
    <row r="63" spans="1:11">
      <c r="A63" s="29">
        <f t="shared" si="10"/>
        <v>492.71903742561949</v>
      </c>
      <c r="B63" s="25">
        <v>506</v>
      </c>
      <c r="C63" s="25">
        <v>59.87</v>
      </c>
      <c r="D63" s="25">
        <v>47.9</v>
      </c>
      <c r="E63" s="25">
        <v>33.299999999999997</v>
      </c>
      <c r="G63" s="25">
        <f t="shared" si="11"/>
        <v>0.67337244782092043</v>
      </c>
      <c r="H63" s="29">
        <f t="shared" si="6"/>
        <v>0.76905155744313192</v>
      </c>
      <c r="I63" s="29">
        <f t="shared" si="7"/>
        <v>-0.37920787550375645</v>
      </c>
      <c r="J63" s="29">
        <f t="shared" si="8"/>
        <v>0.18055660437155646</v>
      </c>
      <c r="K63" s="29">
        <f t="shared" si="9"/>
        <v>1.3696379955956159</v>
      </c>
    </row>
    <row r="64" spans="1:11">
      <c r="A64" s="25" t="s">
        <v>196</v>
      </c>
      <c r="B64" s="33">
        <f>AVERAGE(B52:B63)</f>
        <v>399.25</v>
      </c>
      <c r="C64" s="33">
        <f>AVERAGE(C52:C63)</f>
        <v>65.759166666666687</v>
      </c>
      <c r="D64" s="33">
        <f>AVERAGE(D52:D63)</f>
        <v>45.15</v>
      </c>
      <c r="E64" s="33">
        <f>AVERAGE(E52:E63)</f>
        <v>30.583333333333332</v>
      </c>
      <c r="H64" s="33">
        <f>AVERAGE(H52:H63)</f>
        <v>0</v>
      </c>
      <c r="I64" s="33">
        <f>AVERAGE(I52:I63)</f>
        <v>-1.2952601953960159E-15</v>
      </c>
      <c r="J64" s="33">
        <f>AVERAGE(J52:J63)</f>
        <v>8.7892656116158222E-17</v>
      </c>
      <c r="K64" s="33">
        <f>AVERAGE(K52:K63)</f>
        <v>4.2558549277297669E-16</v>
      </c>
    </row>
    <row r="65" spans="1:16">
      <c r="A65" s="25" t="s">
        <v>244</v>
      </c>
      <c r="B65" s="33">
        <f>STDEV(B52:B63)</f>
        <v>138.80733868469372</v>
      </c>
      <c r="C65" s="33">
        <f>STDEV(C52:C63)</f>
        <v>15.530180270763788</v>
      </c>
      <c r="D65" s="33">
        <f>STDEV(D52:D63)</f>
        <v>15.230680758378364</v>
      </c>
      <c r="E65" s="33">
        <f>STDEV(E52:E63)</f>
        <v>1.9834924815190054</v>
      </c>
      <c r="H65" s="33">
        <f>STDEV(H52:H63)</f>
        <v>1</v>
      </c>
      <c r="I65" s="33">
        <f>STDEV(I52:I63)</f>
        <v>1.0000000000000071</v>
      </c>
      <c r="J65" s="33">
        <f>STDEV(J52:J63)</f>
        <v>0.99999999999999878</v>
      </c>
      <c r="K65" s="33">
        <f>STDEV(K52:K63)</f>
        <v>1</v>
      </c>
    </row>
    <row r="66" spans="1:16">
      <c r="A66" s="25">
        <f>CORREL(A52:A63,B52:B63)</f>
        <v>0.95284937048981488</v>
      </c>
      <c r="G66" s="25">
        <f>CORREL(G52:G63,H52:H63)</f>
        <v>0.95284937048981522</v>
      </c>
    </row>
    <row r="67" spans="1:16">
      <c r="H67" s="122" t="s">
        <v>197</v>
      </c>
      <c r="I67" s="122"/>
      <c r="J67" s="122"/>
      <c r="K67" s="122"/>
    </row>
    <row r="68" spans="1:16">
      <c r="I68" s="26" t="s">
        <v>283</v>
      </c>
      <c r="J68" s="26" t="s">
        <v>263</v>
      </c>
      <c r="K68" s="26" t="s">
        <v>224</v>
      </c>
    </row>
    <row r="69" spans="1:16">
      <c r="H69" s="26" t="s">
        <v>283</v>
      </c>
      <c r="I69" s="29">
        <f>CORREL($I$52:$I$63,I52:I63)</f>
        <v>0.99999999999999989</v>
      </c>
      <c r="J69" s="29">
        <f>CORREL($I$52:$I$63,J52:J63)</f>
        <v>-0.93233761909487523</v>
      </c>
      <c r="K69" s="29">
        <f>CORREL($I$52:$I$63,K52:K63)</f>
        <v>0.40471087584412418</v>
      </c>
    </row>
    <row r="70" spans="1:16">
      <c r="H70" s="26" t="s">
        <v>263</v>
      </c>
      <c r="I70" s="29">
        <f>CORREL($J$52:$J$63,I52:I63)</f>
        <v>-0.93233761909487523</v>
      </c>
      <c r="J70" s="29">
        <f>CORREL($J$52:$J$63,J52:J63)</f>
        <v>1.0000000000000002</v>
      </c>
      <c r="K70" s="29">
        <f>CORREL($J$52:$J$63,K52:K63)</f>
        <v>-0.53889546234177332</v>
      </c>
    </row>
    <row r="71" spans="1:16">
      <c r="H71" s="26" t="s">
        <v>224</v>
      </c>
      <c r="I71" s="29">
        <f>CORREL($K$52:$K$63,I52:I63)</f>
        <v>0.40471087584412418</v>
      </c>
      <c r="J71" s="29">
        <f>CORREL($K$52:$K$63,J52:J63)</f>
        <v>-0.53889546234177332</v>
      </c>
      <c r="K71" s="29">
        <f>CORREL($K$52:$K$63,K52:K63)</f>
        <v>1.0000000000000002</v>
      </c>
    </row>
    <row r="73" spans="1:16">
      <c r="H73" s="122" t="s">
        <v>198</v>
      </c>
      <c r="I73" s="122"/>
      <c r="J73" s="122"/>
      <c r="K73" s="122"/>
      <c r="M73" s="10"/>
      <c r="N73" s="10"/>
      <c r="O73" s="10"/>
      <c r="P73" s="10"/>
    </row>
    <row r="74" spans="1:16">
      <c r="H74" s="10"/>
      <c r="I74" s="10" t="s">
        <v>193</v>
      </c>
      <c r="J74" s="10" t="s">
        <v>194</v>
      </c>
      <c r="K74" s="10" t="s">
        <v>195</v>
      </c>
      <c r="M74" s="9"/>
      <c r="N74" s="9"/>
      <c r="O74" s="9"/>
      <c r="P74" s="9"/>
    </row>
    <row r="75" spans="1:16">
      <c r="H75" s="9" t="s">
        <v>198</v>
      </c>
      <c r="I75" s="9">
        <v>2.2809865548276651</v>
      </c>
      <c r="J75" s="9">
        <v>0.6640682649739662</v>
      </c>
      <c r="K75" s="9">
        <v>5.4945180198368991E-2</v>
      </c>
      <c r="M75" s="9"/>
      <c r="N75" s="9"/>
      <c r="O75" s="9"/>
      <c r="P75" s="9"/>
    </row>
    <row r="76" spans="1:16">
      <c r="H76" s="9" t="s">
        <v>286</v>
      </c>
      <c r="I76" s="9">
        <f>I75/SUM(I75:K75)</f>
        <v>0.76032885160922159</v>
      </c>
      <c r="J76" s="9">
        <f>J75/SUM(I75:K75)</f>
        <v>0.22135608832465536</v>
      </c>
      <c r="K76" s="9">
        <f>K75/SUM(I75:K75)</f>
        <v>1.8315060066122994E-2</v>
      </c>
      <c r="M76" s="9"/>
      <c r="N76" s="9"/>
      <c r="O76" s="9"/>
      <c r="P76" s="9"/>
    </row>
    <row r="77" spans="1:16">
      <c r="H77" s="9" t="s">
        <v>301</v>
      </c>
      <c r="I77" s="9">
        <f>I76</f>
        <v>0.76032885160922159</v>
      </c>
      <c r="J77" s="9">
        <f>I77+J76</f>
        <v>0.98168493993387695</v>
      </c>
      <c r="K77" s="9">
        <f>J77+K76</f>
        <v>1</v>
      </c>
      <c r="M77" s="9"/>
      <c r="N77" s="9"/>
      <c r="O77" s="9"/>
      <c r="P77" s="9"/>
    </row>
    <row r="78" spans="1:16">
      <c r="H78" s="9"/>
      <c r="I78" s="9"/>
      <c r="J78" s="9"/>
      <c r="K78" s="9"/>
      <c r="M78" s="9"/>
      <c r="N78" s="9"/>
      <c r="O78" s="9"/>
      <c r="P78" s="9"/>
    </row>
    <row r="79" spans="1:16">
      <c r="H79" s="122" t="s">
        <v>302</v>
      </c>
      <c r="I79" s="122"/>
      <c r="J79" s="122"/>
      <c r="K79" s="122"/>
      <c r="M79" s="9"/>
      <c r="N79" s="9"/>
      <c r="O79" s="9"/>
      <c r="P79" s="9"/>
    </row>
    <row r="80" spans="1:16">
      <c r="H80" s="9"/>
      <c r="I80" s="9" t="s">
        <v>193</v>
      </c>
      <c r="J80" s="9" t="s">
        <v>194</v>
      </c>
      <c r="K80" s="9" t="s">
        <v>195</v>
      </c>
      <c r="M80" s="9"/>
      <c r="N80" s="9"/>
      <c r="O80" s="9"/>
      <c r="P80" s="9"/>
    </row>
    <row r="81" spans="8:16">
      <c r="H81" s="26" t="s">
        <v>303</v>
      </c>
      <c r="I81" s="9">
        <v>-0.61254722012439466</v>
      </c>
      <c r="J81" s="9">
        <v>-0.42459393548240409</v>
      </c>
      <c r="K81" s="9">
        <v>0.66671275154255183</v>
      </c>
      <c r="M81" s="9"/>
      <c r="N81" s="9"/>
      <c r="O81" s="9"/>
      <c r="P81" s="9"/>
    </row>
    <row r="82" spans="8:16">
      <c r="H82" s="26" t="s">
        <v>263</v>
      </c>
      <c r="I82" s="9">
        <v>0.64061859198812876</v>
      </c>
      <c r="J82" s="9">
        <v>0.22742392684738072</v>
      </c>
      <c r="K82" s="9">
        <v>0.73340723823566434</v>
      </c>
      <c r="M82" s="9"/>
      <c r="N82" s="9"/>
      <c r="O82" s="9"/>
      <c r="P82" s="9"/>
    </row>
    <row r="83" spans="8:16">
      <c r="H83" s="26" t="s">
        <v>224</v>
      </c>
      <c r="I83" s="9">
        <v>-0.46302669762879123</v>
      </c>
      <c r="J83" s="9">
        <v>0.87635514915408652</v>
      </c>
      <c r="K83" s="9">
        <v>0.13269487493529933</v>
      </c>
      <c r="M83" s="9"/>
      <c r="N83" s="9"/>
      <c r="O83" s="9"/>
      <c r="P83" s="9"/>
    </row>
    <row r="85" spans="8:16">
      <c r="H85" s="122" t="s">
        <v>304</v>
      </c>
      <c r="I85" s="122"/>
      <c r="J85" s="122"/>
      <c r="K85" s="122"/>
    </row>
    <row r="86" spans="8:16">
      <c r="H86" s="26" t="s">
        <v>510</v>
      </c>
      <c r="I86" s="26" t="s">
        <v>193</v>
      </c>
      <c r="J86" s="26" t="s">
        <v>194</v>
      </c>
      <c r="K86" s="26" t="s">
        <v>195</v>
      </c>
    </row>
    <row r="87" spans="8:16">
      <c r="H87" s="29">
        <f>H52</f>
        <v>1.1364672898047219</v>
      </c>
      <c r="I87" s="29">
        <f t="array" ref="I87:K98">MMULT(I52:K63,I81:K83)</f>
        <v>-1.2404907427784224</v>
      </c>
      <c r="J87" s="29">
        <v>0.48476944404260558</v>
      </c>
      <c r="K87" s="29">
        <v>0.13199158849385847</v>
      </c>
    </row>
    <row r="88" spans="8:16">
      <c r="H88" s="29">
        <f t="shared" ref="H88:H98" si="12">H53</f>
        <v>-1.8028585690879979</v>
      </c>
      <c r="I88" s="29">
        <v>2.3919501550841171</v>
      </c>
      <c r="J88" s="29">
        <v>0.53211419666810966</v>
      </c>
      <c r="K88" s="29">
        <v>-0.42358277549411438</v>
      </c>
    </row>
    <row r="89" spans="8:16">
      <c r="H89" s="29">
        <f t="shared" si="12"/>
        <v>-0.52770985089189149</v>
      </c>
      <c r="I89" s="29">
        <v>1.2724018709392713</v>
      </c>
      <c r="J89" s="29">
        <v>-3.0852524474299647E-3</v>
      </c>
      <c r="K89" s="29">
        <v>0.34428724114921427</v>
      </c>
    </row>
    <row r="90" spans="8:16">
      <c r="H90" s="29">
        <f t="shared" si="12"/>
        <v>0.62496695651701817</v>
      </c>
      <c r="I90" s="29">
        <v>-1.9001701153918222</v>
      </c>
      <c r="J90" s="29">
        <v>-1.3655811608975124</v>
      </c>
      <c r="K90" s="29">
        <v>0.17190219557952408</v>
      </c>
    </row>
    <row r="91" spans="8:16">
      <c r="H91" s="29">
        <f t="shared" si="12"/>
        <v>-0.84469597292934162</v>
      </c>
      <c r="I91" s="29">
        <v>0.52445873328947079</v>
      </c>
      <c r="J91" s="29">
        <v>-0.73072851714062403</v>
      </c>
      <c r="K91" s="29">
        <v>-0.11960842226492116</v>
      </c>
    </row>
    <row r="92" spans="8:16">
      <c r="H92" s="29">
        <f t="shared" si="12"/>
        <v>1.0644249893416651</v>
      </c>
      <c r="I92" s="29">
        <v>-1.2861814021511186</v>
      </c>
      <c r="J92" s="29">
        <v>0.92178404061846941</v>
      </c>
      <c r="K92" s="29">
        <v>0.12590991586803491</v>
      </c>
    </row>
    <row r="93" spans="8:16">
      <c r="H93" s="29">
        <f t="shared" si="12"/>
        <v>0.99958691892491391</v>
      </c>
      <c r="I93" s="29">
        <v>-0.99482419252362142</v>
      </c>
      <c r="J93" s="29">
        <v>-7.2778185573231069E-2</v>
      </c>
      <c r="K93" s="29">
        <v>-0.26779540716396544</v>
      </c>
    </row>
    <row r="94" spans="8:16">
      <c r="H94" s="29">
        <f t="shared" si="12"/>
        <v>-4.5026437789410532E-2</v>
      </c>
      <c r="I94" s="29">
        <v>0.39986690820466186</v>
      </c>
      <c r="J94" s="29">
        <v>-0.63315533364088739</v>
      </c>
      <c r="K94" s="29">
        <v>-5.8940935929840919E-2</v>
      </c>
    </row>
    <row r="95" spans="8:16">
      <c r="H95" s="29">
        <f t="shared" si="12"/>
        <v>0.61055849642440685</v>
      </c>
      <c r="I95" s="29">
        <v>-2.0152814187116541</v>
      </c>
      <c r="J95" s="29">
        <v>0.24623098631132545</v>
      </c>
      <c r="K95" s="29">
        <v>-0.23631289407315165</v>
      </c>
    </row>
    <row r="96" spans="8:16">
      <c r="H96" s="29">
        <f t="shared" si="12"/>
        <v>-1.0536186442722064</v>
      </c>
      <c r="I96" s="29">
        <v>1.0844233590124053</v>
      </c>
      <c r="J96" s="29">
        <v>-1.0230236087043978</v>
      </c>
      <c r="K96" s="29">
        <v>-3.4664262705731225E-2</v>
      </c>
    </row>
    <row r="97" spans="8:19">
      <c r="H97" s="29">
        <f t="shared" si="12"/>
        <v>-0.93114673348500987</v>
      </c>
      <c r="I97" s="29">
        <v>2.0500751554185079</v>
      </c>
      <c r="J97" s="29">
        <v>0.24109182463581436</v>
      </c>
      <c r="K97" s="29">
        <v>0.30547101953525213</v>
      </c>
    </row>
    <row r="98" spans="8:19">
      <c r="H98" s="29">
        <f t="shared" si="12"/>
        <v>0.76905155744313192</v>
      </c>
      <c r="I98" s="29">
        <v>-0.28622831039178731</v>
      </c>
      <c r="J98" s="29">
        <v>1.40236156612777</v>
      </c>
      <c r="K98" s="29">
        <v>6.1342737005832093E-2</v>
      </c>
    </row>
    <row r="100" spans="8:19">
      <c r="H100" s="122" t="s">
        <v>290</v>
      </c>
      <c r="I100" s="122"/>
      <c r="J100" s="122"/>
      <c r="K100" s="122"/>
      <c r="L100" s="122"/>
      <c r="M100" s="122"/>
      <c r="N100" s="122"/>
      <c r="O100" s="122"/>
      <c r="P100" s="122"/>
      <c r="Q100" s="122"/>
      <c r="R100" s="122"/>
      <c r="S100" s="122"/>
    </row>
    <row r="101" spans="8:19">
      <c r="H101" s="29">
        <f t="array" ref="H101:S103">TRANSPOSE(I87:K98)</f>
        <v>-1.2404907427784224</v>
      </c>
      <c r="I101" s="29">
        <v>2.3919501550841171</v>
      </c>
      <c r="J101" s="29">
        <v>1.2724018709392713</v>
      </c>
      <c r="K101" s="29">
        <v>-1.9001701153918222</v>
      </c>
      <c r="L101" s="29">
        <v>0.52445873328947079</v>
      </c>
      <c r="M101" s="29">
        <v>-1.2861814021511186</v>
      </c>
      <c r="N101" s="29">
        <v>-0.99482419252362142</v>
      </c>
      <c r="O101" s="29">
        <v>0.39986690820466186</v>
      </c>
      <c r="P101" s="29">
        <v>-2.0152814187116541</v>
      </c>
      <c r="Q101" s="29">
        <v>1.0844233590124053</v>
      </c>
      <c r="R101" s="29">
        <v>2.0500751554185079</v>
      </c>
      <c r="S101" s="29">
        <v>-0.28622831039178731</v>
      </c>
    </row>
    <row r="102" spans="8:19">
      <c r="H102" s="29">
        <v>0.48476944404260558</v>
      </c>
      <c r="I102" s="29">
        <v>0.53211419666810966</v>
      </c>
      <c r="J102" s="29">
        <v>-3.0852524474299647E-3</v>
      </c>
      <c r="K102" s="29">
        <v>-1.3655811608975124</v>
      </c>
      <c r="L102" s="29">
        <v>-0.73072851714062403</v>
      </c>
      <c r="M102" s="29">
        <v>0.92178404061846941</v>
      </c>
      <c r="N102" s="29">
        <v>-7.2778185573231069E-2</v>
      </c>
      <c r="O102" s="29">
        <v>-0.63315533364088739</v>
      </c>
      <c r="P102" s="29">
        <v>0.24623098631132545</v>
      </c>
      <c r="Q102" s="29">
        <v>-1.0230236087043978</v>
      </c>
      <c r="R102" s="29">
        <v>0.24109182463581436</v>
      </c>
      <c r="S102" s="29">
        <v>1.40236156612777</v>
      </c>
    </row>
    <row r="103" spans="8:19">
      <c r="H103" s="29">
        <v>0.13199158849385847</v>
      </c>
      <c r="I103" s="29">
        <v>-0.42358277549411438</v>
      </c>
      <c r="J103" s="29">
        <v>0.34428724114921427</v>
      </c>
      <c r="K103" s="29">
        <v>0.17190219557952408</v>
      </c>
      <c r="L103" s="29">
        <v>-0.11960842226492116</v>
      </c>
      <c r="M103" s="29">
        <v>0.12590991586803491</v>
      </c>
      <c r="N103" s="29">
        <v>-0.26779540716396544</v>
      </c>
      <c r="O103" s="29">
        <v>-5.8940935929840919E-2</v>
      </c>
      <c r="P103" s="29">
        <v>-0.23631289407315165</v>
      </c>
      <c r="Q103" s="29">
        <v>-3.4664262705731225E-2</v>
      </c>
      <c r="R103" s="29">
        <v>0.30547101953525213</v>
      </c>
      <c r="S103" s="29">
        <v>6.1342737005832093E-2</v>
      </c>
    </row>
    <row r="105" spans="8:19">
      <c r="H105" s="122" t="s">
        <v>291</v>
      </c>
      <c r="I105" s="122"/>
      <c r="L105" s="122" t="s">
        <v>292</v>
      </c>
      <c r="M105" s="122"/>
      <c r="P105" s="28" t="s">
        <v>293</v>
      </c>
      <c r="S105" s="36" t="s">
        <v>294</v>
      </c>
    </row>
    <row r="106" spans="8:19">
      <c r="H106" s="29">
        <f t="array" ref="H106:J108">MMULT(H101:S103,I87:K98)</f>
        <v>25.090852103104428</v>
      </c>
      <c r="I106" s="29">
        <v>-9.7736224669020544E-10</v>
      </c>
      <c r="J106" s="29">
        <v>-9.3567514847237021E-14</v>
      </c>
      <c r="L106" s="29">
        <f t="array" ref="L106:N108">MINVERSE(H106:J108)</f>
        <v>3.9855162984929977E-2</v>
      </c>
      <c r="M106" s="29">
        <v>5.3325475559603651E-12</v>
      </c>
      <c r="N106" s="29">
        <v>6.1700317247896411E-15</v>
      </c>
      <c r="P106" s="29">
        <f t="array" ref="P106:P108">MMULT(H101:S103,H87:H98)</f>
        <v>-14.907658133541553</v>
      </c>
      <c r="R106" s="26" t="s">
        <v>295</v>
      </c>
      <c r="S106" s="29">
        <f t="array" ref="S106:S108">MMULT(L106:N108,P106:P108)</f>
        <v>-0.59414714462324159</v>
      </c>
    </row>
    <row r="107" spans="8:19">
      <c r="H107" s="29">
        <v>-9.7736224669020544E-10</v>
      </c>
      <c r="I107" s="29">
        <v>7.3047509147136438</v>
      </c>
      <c r="J107" s="29">
        <v>-1.8554602299047929E-14</v>
      </c>
      <c r="L107" s="29">
        <v>5.3325475559603635E-12</v>
      </c>
      <c r="M107" s="29">
        <v>0.13689720726626603</v>
      </c>
      <c r="N107" s="29">
        <v>4.2026570483598439E-15</v>
      </c>
      <c r="P107" s="29">
        <v>2.376168653450037</v>
      </c>
      <c r="R107" s="26" t="s">
        <v>296</v>
      </c>
      <c r="S107" s="29">
        <v>0.32529085257146012</v>
      </c>
    </row>
    <row r="108" spans="8:19">
      <c r="H108" s="29">
        <v>-9.3567514847237021E-14</v>
      </c>
      <c r="I108" s="29">
        <v>-1.8554602299047929E-14</v>
      </c>
      <c r="J108" s="29">
        <v>0.60439698218206006</v>
      </c>
      <c r="L108" s="29">
        <v>6.1700317247896418E-15</v>
      </c>
      <c r="M108" s="29">
        <v>4.2026570483598439E-15</v>
      </c>
      <c r="N108" s="29">
        <v>1.6545416828351636</v>
      </c>
      <c r="P108" s="29">
        <v>0.46441436417972892</v>
      </c>
      <c r="R108" s="26" t="s">
        <v>305</v>
      </c>
      <c r="S108" s="29">
        <v>0.7683929236426692</v>
      </c>
    </row>
  </sheetData>
  <mergeCells count="18">
    <mergeCell ref="C50:E50"/>
    <mergeCell ref="H50:K50"/>
    <mergeCell ref="P2:S2"/>
    <mergeCell ref="C3:E3"/>
    <mergeCell ref="H3:K3"/>
    <mergeCell ref="P8:S8"/>
    <mergeCell ref="P14:S14"/>
    <mergeCell ref="H105:I105"/>
    <mergeCell ref="L105:M105"/>
    <mergeCell ref="H21:K21"/>
    <mergeCell ref="H36:S36"/>
    <mergeCell ref="H41:I41"/>
    <mergeCell ref="K41:L41"/>
    <mergeCell ref="H67:K67"/>
    <mergeCell ref="H73:K73"/>
    <mergeCell ref="H79:K79"/>
    <mergeCell ref="H85:K85"/>
    <mergeCell ref="H100:S100"/>
  </mergeCells>
  <phoneticPr fontId="1" type="noConversion"/>
  <pageMargins left="0.7" right="0.7" top="0.75" bottom="0.75" header="0.3" footer="0.3"/>
  <pageSetup paperSize="9" orientation="portrait" r:id="rId1"/>
  <ignoredErrors>
    <ignoredError sqref="A5:A16" formulaRange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B134"/>
  <sheetViews>
    <sheetView zoomScale="55" zoomScaleNormal="55" workbookViewId="0">
      <selection activeCell="O1" sqref="O1:O32"/>
    </sheetView>
  </sheetViews>
  <sheetFormatPr defaultRowHeight="17.399999999999999"/>
  <cols>
    <col min="1" max="1" width="9.19921875" style="37" bestFit="1" customWidth="1"/>
    <col min="2" max="2" width="20" style="37" bestFit="1" customWidth="1"/>
    <col min="3" max="3" width="9.8984375" style="37" bestFit="1" customWidth="1"/>
    <col min="4" max="4" width="18.09765625" style="37" bestFit="1" customWidth="1"/>
    <col min="5" max="5" width="7" style="37" bestFit="1" customWidth="1"/>
    <col min="6" max="6" width="6.796875" style="37" bestFit="1" customWidth="1"/>
    <col min="7" max="7" width="9.19921875" style="37" bestFit="1" customWidth="1"/>
    <col min="8" max="8" width="20" style="37" bestFit="1" customWidth="1"/>
    <col min="9" max="9" width="9.8984375" style="37" bestFit="1" customWidth="1"/>
    <col min="10" max="10" width="18.09765625" style="37" bestFit="1" customWidth="1"/>
    <col min="11" max="11" width="9.8984375" style="37" bestFit="1" customWidth="1"/>
    <col min="12" max="13" width="6.796875" style="37" bestFit="1" customWidth="1"/>
    <col min="14" max="14" width="4.09765625" style="37" customWidth="1"/>
    <col min="15" max="15" width="8.296875" style="37" bestFit="1" customWidth="1"/>
    <col min="16" max="16" width="20" style="37" bestFit="1" customWidth="1"/>
    <col min="17" max="17" width="7.796875" style="37" bestFit="1" customWidth="1"/>
    <col min="18" max="19" width="6.796875" style="37" bestFit="1" customWidth="1"/>
    <col min="20" max="20" width="7.8984375" style="37" bestFit="1" customWidth="1"/>
    <col min="21" max="22" width="6.796875" style="37" bestFit="1" customWidth="1"/>
    <col min="23" max="23" width="7" style="37" bestFit="1" customWidth="1"/>
    <col min="24" max="28" width="6.796875" style="37" bestFit="1" customWidth="1"/>
    <col min="29" max="34" width="8.796875" style="37"/>
    <col min="35" max="35" width="5.796875" style="37" bestFit="1" customWidth="1"/>
    <col min="36" max="16384" width="8.796875" style="37"/>
  </cols>
  <sheetData>
    <row r="1" spans="1:28" ht="17.399999999999999" customHeight="1">
      <c r="J1" s="125" t="s">
        <v>306</v>
      </c>
      <c r="K1" s="125"/>
      <c r="O1" s="126" t="s">
        <v>505</v>
      </c>
      <c r="P1" s="38" t="s">
        <v>510</v>
      </c>
      <c r="Q1" s="39">
        <f t="array" ref="Q1:AB4">TRANSPOSE(H7:K18)</f>
        <v>1.1364672898047219</v>
      </c>
      <c r="R1" s="39">
        <v>-1.8028585690879979</v>
      </c>
      <c r="S1" s="39">
        <v>-0.52770985089189149</v>
      </c>
      <c r="T1" s="39">
        <v>0.62496695651701817</v>
      </c>
      <c r="U1" s="39">
        <v>-0.84469597292934162</v>
      </c>
      <c r="V1" s="39">
        <v>1.0644249893416651</v>
      </c>
      <c r="W1" s="39">
        <v>0.99958691892491391</v>
      </c>
      <c r="X1" s="39">
        <v>-4.5026437789410532E-2</v>
      </c>
      <c r="Y1" s="39">
        <v>0.61055849642440685</v>
      </c>
      <c r="Z1" s="39">
        <v>-1.0536186442722064</v>
      </c>
      <c r="AA1" s="39">
        <v>-0.93114673348500987</v>
      </c>
      <c r="AB1" s="39">
        <v>0.76905155744313192</v>
      </c>
    </row>
    <row r="2" spans="1:28">
      <c r="J2" s="40" t="s">
        <v>552</v>
      </c>
      <c r="K2" s="41">
        <f t="array" ref="K2:K4">MMULT(H25:I27,K48:K49)</f>
        <v>0.27568424513182321</v>
      </c>
      <c r="O2" s="126"/>
      <c r="P2" s="42" t="s">
        <v>307</v>
      </c>
      <c r="Q2" s="39">
        <v>0.6420294651765136</v>
      </c>
      <c r="R2" s="39">
        <v>-1.9735229168179729</v>
      </c>
      <c r="S2" s="39">
        <v>-0.54855555557873148</v>
      </c>
      <c r="T2" s="39">
        <v>1.858370787083846</v>
      </c>
      <c r="U2" s="39">
        <v>-9.0737302600376601E-2</v>
      </c>
      <c r="V2" s="39">
        <v>0.48040867544716415</v>
      </c>
      <c r="W2" s="39">
        <v>0.46173535711190122</v>
      </c>
      <c r="X2" s="39">
        <v>-1.5400121730520537E-2</v>
      </c>
      <c r="Y2" s="39">
        <v>0.97235402745203547</v>
      </c>
      <c r="Z2" s="39">
        <v>-0.25300199985852762</v>
      </c>
      <c r="AA2" s="39">
        <v>-1.1544725401815903</v>
      </c>
      <c r="AB2" s="39">
        <v>-0.37920787550375645</v>
      </c>
    </row>
    <row r="3" spans="1:28">
      <c r="B3" s="40" t="s">
        <v>308</v>
      </c>
      <c r="C3" s="40" t="s">
        <v>254</v>
      </c>
      <c r="D3" s="40" t="s">
        <v>255</v>
      </c>
      <c r="E3" s="40" t="s">
        <v>256</v>
      </c>
      <c r="J3" s="40" t="s">
        <v>553</v>
      </c>
      <c r="K3" s="41">
        <v>-0.24097184277225275</v>
      </c>
      <c r="O3" s="126"/>
      <c r="P3" s="42" t="s">
        <v>263</v>
      </c>
      <c r="Q3" s="39">
        <v>-0.58762967604561078</v>
      </c>
      <c r="R3" s="39">
        <v>1.3426845670539378</v>
      </c>
      <c r="S3" s="39">
        <v>1.0669253894682882</v>
      </c>
      <c r="T3" s="39">
        <v>-1.4017758193937202</v>
      </c>
      <c r="U3" s="39">
        <v>8.207118380525294E-2</v>
      </c>
      <c r="V3" s="39">
        <v>-0.52197272900140845</v>
      </c>
      <c r="W3" s="39">
        <v>-0.85025746422242021</v>
      </c>
      <c r="X3" s="39">
        <v>6.8939794396412749E-2</v>
      </c>
      <c r="Y3" s="39">
        <v>-1.4083415140981403</v>
      </c>
      <c r="Z3" s="39">
        <v>0.43661869784394558</v>
      </c>
      <c r="AA3" s="39">
        <v>1.5921809658219075</v>
      </c>
      <c r="AB3" s="39">
        <v>0.18055660437155646</v>
      </c>
    </row>
    <row r="4" spans="1:28">
      <c r="B4" s="27">
        <f>B19-SUMPRODUCT(C4:E4,C19:E19)</f>
        <v>-914.95255246894044</v>
      </c>
      <c r="C4" s="27">
        <f>K2*$B$20/C20</f>
        <v>2.4640407076334028</v>
      </c>
      <c r="D4" s="27">
        <f>K3*$B$20/D20</f>
        <v>-2.1961369110020126</v>
      </c>
      <c r="E4" s="27">
        <f>K4*$B$20/E20</f>
        <v>40.915254619094227</v>
      </c>
      <c r="J4" s="40" t="s">
        <v>554</v>
      </c>
      <c r="K4" s="41">
        <v>0.58466000922873484</v>
      </c>
      <c r="O4" s="126"/>
      <c r="P4" s="42" t="s">
        <v>224</v>
      </c>
      <c r="Q4" s="39">
        <v>1.0167251378347844</v>
      </c>
      <c r="R4" s="39">
        <v>-0.69742302843212367</v>
      </c>
      <c r="S4" s="39">
        <v>-0.54617466082033739</v>
      </c>
      <c r="T4" s="39">
        <v>-0.29409404813402756</v>
      </c>
      <c r="U4" s="39">
        <v>-0.89908751858117086</v>
      </c>
      <c r="V4" s="39">
        <v>1.4200541181328787</v>
      </c>
      <c r="W4" s="39">
        <v>0.36131554485037842</v>
      </c>
      <c r="X4" s="39">
        <v>-0.74783915096938458</v>
      </c>
      <c r="Y4" s="39">
        <v>1.1175573829093062</v>
      </c>
      <c r="Z4" s="39">
        <v>-1.4032487439537906</v>
      </c>
      <c r="AA4" s="39">
        <v>-0.69742302843212367</v>
      </c>
      <c r="AB4" s="39">
        <v>1.3696379955956159</v>
      </c>
    </row>
    <row r="5" spans="1:28">
      <c r="A5" s="43" t="s">
        <v>309</v>
      </c>
      <c r="B5" s="43" t="s">
        <v>310</v>
      </c>
      <c r="C5" s="125"/>
      <c r="D5" s="125"/>
      <c r="E5" s="125"/>
      <c r="G5" s="43" t="s">
        <v>309</v>
      </c>
      <c r="H5" s="125" t="s">
        <v>311</v>
      </c>
      <c r="I5" s="125"/>
      <c r="J5" s="125"/>
      <c r="K5" s="125"/>
      <c r="O5" s="126"/>
    </row>
    <row r="6" spans="1:28">
      <c r="A6" s="43"/>
      <c r="B6" s="40" t="s">
        <v>510</v>
      </c>
      <c r="C6" s="40" t="s">
        <v>312</v>
      </c>
      <c r="D6" s="40" t="s">
        <v>263</v>
      </c>
      <c r="E6" s="40" t="s">
        <v>224</v>
      </c>
      <c r="G6" s="43"/>
      <c r="H6" s="40" t="s">
        <v>510</v>
      </c>
      <c r="I6" s="40" t="s">
        <v>312</v>
      </c>
      <c r="J6" s="40" t="s">
        <v>263</v>
      </c>
      <c r="K6" s="40" t="s">
        <v>224</v>
      </c>
      <c r="O6" s="126"/>
      <c r="Q6" s="44" t="s">
        <v>313</v>
      </c>
      <c r="R6" s="44" t="s">
        <v>314</v>
      </c>
      <c r="S6" s="44" t="s">
        <v>315</v>
      </c>
      <c r="T6" s="44" t="s">
        <v>316</v>
      </c>
      <c r="V6" s="44" t="s">
        <v>317</v>
      </c>
      <c r="W6" s="44" t="s">
        <v>318</v>
      </c>
      <c r="X6" s="44" t="s">
        <v>319</v>
      </c>
    </row>
    <row r="7" spans="1:28">
      <c r="A7" s="29">
        <f>$B$4+SUMPRODUCT($C$4:$E$4,C7:E7)</f>
        <v>525.98639472433615</v>
      </c>
      <c r="B7" s="37">
        <v>557</v>
      </c>
      <c r="C7" s="37">
        <v>75.73</v>
      </c>
      <c r="D7" s="37">
        <v>36.200000000000003</v>
      </c>
      <c r="E7" s="37">
        <v>32.6</v>
      </c>
      <c r="G7" s="41">
        <f t="array" ref="G7:G18">MMULT(I7:K18,K2:K4)</f>
        <v>0.91303814283351981</v>
      </c>
      <c r="H7" s="39">
        <f>(B7-B$19)/B$20</f>
        <v>1.1364672898047219</v>
      </c>
      <c r="I7" s="39">
        <f>(C7-C$19)/C$20</f>
        <v>0.6420294651765136</v>
      </c>
      <c r="J7" s="39">
        <f>(D7-D$19)/D$20</f>
        <v>-0.58762967604561078</v>
      </c>
      <c r="K7" s="39">
        <f>(E7-E$19)/E$20</f>
        <v>1.0167251378347844</v>
      </c>
      <c r="O7" s="126"/>
      <c r="Q7" s="45">
        <f t="array" ref="Q7:Q9">MMULT(Q2:AB4,H7:H18)</f>
        <v>8.4323687269255689</v>
      </c>
      <c r="R7" s="46">
        <f>Q7/Q12</f>
        <v>0.55832467692148779</v>
      </c>
      <c r="S7" s="45">
        <f t="array" ref="S7:S18">MMULT(I7:K18,R7:R9)</f>
        <v>1.3047755666686025</v>
      </c>
      <c r="T7" s="45">
        <f t="array" ref="T7:T9">MMULT(Q2:AB4,S7:S18)</f>
        <v>14.69498135425636</v>
      </c>
      <c r="V7" s="45">
        <f>T7/T12</f>
        <v>0.59669142816297338</v>
      </c>
      <c r="W7" s="45">
        <f t="array" ref="W7">MMULT(Q1:AB1,S7:S18)</f>
        <v>15.102984115658813</v>
      </c>
      <c r="X7" s="45">
        <f>W7/T12</f>
        <v>0.61325842777506556</v>
      </c>
    </row>
    <row r="8" spans="1:28">
      <c r="A8" s="29">
        <f t="shared" ref="A8:A18" si="0">$B$4+SUMPRODUCT($C$4:$E$4,C8:E8)</f>
        <v>222.21877029188772</v>
      </c>
      <c r="B8" s="37">
        <v>149</v>
      </c>
      <c r="C8" s="37">
        <v>35.11</v>
      </c>
      <c r="D8" s="37">
        <v>65.599999999999994</v>
      </c>
      <c r="E8" s="37">
        <v>29.2</v>
      </c>
      <c r="G8" s="41">
        <v>-1.2753737041976261</v>
      </c>
      <c r="H8" s="39">
        <f t="shared" ref="H8:K18" si="1">(B8-B$19)/B$20</f>
        <v>-1.8028585690879979</v>
      </c>
      <c r="I8" s="39">
        <f t="shared" si="1"/>
        <v>-1.9735229168179729</v>
      </c>
      <c r="J8" s="39">
        <f t="shared" si="1"/>
        <v>1.3426845670539378</v>
      </c>
      <c r="K8" s="39">
        <f t="shared" si="1"/>
        <v>-0.69742302843212367</v>
      </c>
      <c r="O8" s="126"/>
      <c r="Q8" s="45">
        <v>-8.6691205011004744</v>
      </c>
      <c r="R8" s="46">
        <f>Q8/Q12</f>
        <v>-0.57400050445079309</v>
      </c>
      <c r="S8" s="45">
        <v>-2.290322215182762</v>
      </c>
      <c r="T8" s="45">
        <v>-15.590785938774172</v>
      </c>
      <c r="V8" s="45">
        <f>T8/T12</f>
        <v>-0.6330656775754131</v>
      </c>
      <c r="W8" s="47"/>
      <c r="X8" s="47"/>
    </row>
    <row r="9" spans="1:28">
      <c r="A9" s="29">
        <f t="shared" si="0"/>
        <v>298.2463425637518</v>
      </c>
      <c r="B9" s="37">
        <v>326</v>
      </c>
      <c r="C9" s="37">
        <v>57.24</v>
      </c>
      <c r="D9" s="37">
        <v>61.4</v>
      </c>
      <c r="E9" s="37">
        <v>29.5</v>
      </c>
      <c r="G9" s="41">
        <v>-0.72765358368898692</v>
      </c>
      <c r="H9" s="39">
        <f t="shared" si="1"/>
        <v>-0.52770985089189149</v>
      </c>
      <c r="I9" s="39">
        <f t="shared" si="1"/>
        <v>-0.54855555557873148</v>
      </c>
      <c r="J9" s="39">
        <f t="shared" si="1"/>
        <v>1.0669253894682882</v>
      </c>
      <c r="K9" s="39">
        <f t="shared" si="1"/>
        <v>-0.54617466082033739</v>
      </c>
      <c r="O9" s="126"/>
      <c r="Q9" s="45">
        <v>9.0466367556351877</v>
      </c>
      <c r="R9" s="46">
        <f>Q9/Q12</f>
        <v>0.59899664108469863</v>
      </c>
      <c r="S9" s="45">
        <v>-1.2458446023850955</v>
      </c>
      <c r="T9" s="45">
        <v>12.477112750491443</v>
      </c>
      <c r="V9" s="45">
        <f>T9/T12</f>
        <v>0.50663461538076504</v>
      </c>
      <c r="W9" s="47"/>
      <c r="X9" s="47"/>
    </row>
    <row r="10" spans="1:28">
      <c r="A10" s="29">
        <f t="shared" si="0"/>
        <v>493.38455937831122</v>
      </c>
      <c r="B10" s="37">
        <v>486</v>
      </c>
      <c r="C10" s="37">
        <v>94.62</v>
      </c>
      <c r="D10" s="37">
        <v>23.8</v>
      </c>
      <c r="E10" s="37">
        <v>30</v>
      </c>
      <c r="G10" s="41">
        <v>0.67816702106897497</v>
      </c>
      <c r="H10" s="39">
        <f t="shared" si="1"/>
        <v>0.62496695651701817</v>
      </c>
      <c r="I10" s="39">
        <f t="shared" si="1"/>
        <v>1.858370787083846</v>
      </c>
      <c r="J10" s="39">
        <f t="shared" si="1"/>
        <v>-1.4017758193937202</v>
      </c>
      <c r="K10" s="39">
        <f t="shared" si="1"/>
        <v>-0.29409404813402756</v>
      </c>
      <c r="O10" s="126"/>
      <c r="R10" s="47"/>
      <c r="S10" s="45">
        <v>1.6660329497625543</v>
      </c>
      <c r="T10" s="47"/>
      <c r="U10" s="47"/>
      <c r="V10" s="47"/>
      <c r="W10" s="47"/>
      <c r="X10" s="47"/>
    </row>
    <row r="11" spans="1:28">
      <c r="A11" s="29">
        <f t="shared" si="0"/>
        <v>320.06704742668944</v>
      </c>
      <c r="B11" s="37">
        <v>282</v>
      </c>
      <c r="C11" s="37">
        <v>64.349999999999994</v>
      </c>
      <c r="D11" s="37">
        <v>46.4</v>
      </c>
      <c r="E11" s="37">
        <v>28.8</v>
      </c>
      <c r="G11" s="41">
        <v>-0.57045220608384239</v>
      </c>
      <c r="H11" s="39">
        <f t="shared" si="1"/>
        <v>-0.84469597292934162</v>
      </c>
      <c r="I11" s="39">
        <f t="shared" si="1"/>
        <v>-9.0737302600376601E-2</v>
      </c>
      <c r="J11" s="39">
        <f t="shared" si="1"/>
        <v>8.207118380525294E-2</v>
      </c>
      <c r="K11" s="39">
        <f t="shared" si="1"/>
        <v>-0.89908751858117086</v>
      </c>
      <c r="O11" s="126"/>
      <c r="Q11" s="44" t="s">
        <v>320</v>
      </c>
      <c r="R11" s="47"/>
      <c r="S11" s="45">
        <v>-0.63632017973546939</v>
      </c>
      <c r="T11" s="44" t="s">
        <v>321</v>
      </c>
      <c r="V11" s="44" t="s">
        <v>322</v>
      </c>
      <c r="W11" s="45">
        <f t="array" ref="W11:Y11">TRANSPOSE(V7:V9)</f>
        <v>0.59669142816297338</v>
      </c>
      <c r="X11" s="45">
        <v>-0.6330656775754131</v>
      </c>
      <c r="Y11" s="45">
        <v>0.50663461538076504</v>
      </c>
    </row>
    <row r="12" spans="1:28">
      <c r="A12" s="29">
        <f t="shared" si="0"/>
        <v>550.33771933244975</v>
      </c>
      <c r="B12" s="37">
        <v>547</v>
      </c>
      <c r="C12" s="37">
        <v>73.22</v>
      </c>
      <c r="D12" s="37">
        <v>37.200000000000003</v>
      </c>
      <c r="E12" s="37">
        <v>33.4</v>
      </c>
      <c r="G12" s="41">
        <v>1.0884706872426335</v>
      </c>
      <c r="H12" s="39">
        <f t="shared" si="1"/>
        <v>1.0644249893416651</v>
      </c>
      <c r="I12" s="39">
        <f t="shared" si="1"/>
        <v>0.48040867544716415</v>
      </c>
      <c r="J12" s="39">
        <f t="shared" si="1"/>
        <v>-0.52197272900140845</v>
      </c>
      <c r="K12" s="39">
        <f t="shared" si="1"/>
        <v>1.4200541181328787</v>
      </c>
      <c r="O12" s="126"/>
      <c r="Q12" s="48">
        <f>SQRT(SUMSQ(Q7:Q9))</f>
        <v>15.102984115658813</v>
      </c>
      <c r="R12" s="47"/>
      <c r="S12" s="45">
        <v>1.4184442751857715</v>
      </c>
      <c r="T12" s="45">
        <f>SUMSQ(S7:S18)</f>
        <v>24.627438338602616</v>
      </c>
      <c r="U12" s="47"/>
      <c r="V12" s="47"/>
      <c r="W12" s="47"/>
      <c r="X12" s="47"/>
    </row>
    <row r="13" spans="1:28">
      <c r="A13" s="29">
        <f t="shared" si="0"/>
        <v>474.68179738214826</v>
      </c>
      <c r="B13" s="37">
        <v>538</v>
      </c>
      <c r="C13" s="37">
        <v>72.930000000000007</v>
      </c>
      <c r="D13" s="37">
        <v>32.200000000000003</v>
      </c>
      <c r="E13" s="37">
        <v>31.3</v>
      </c>
      <c r="G13" s="41">
        <v>0.54342802114731426</v>
      </c>
      <c r="H13" s="39">
        <f t="shared" si="1"/>
        <v>0.99958691892491391</v>
      </c>
      <c r="I13" s="39">
        <f t="shared" si="1"/>
        <v>0.46173535711190122</v>
      </c>
      <c r="J13" s="39">
        <f t="shared" si="1"/>
        <v>-0.85025746422242021</v>
      </c>
      <c r="K13" s="39">
        <f t="shared" si="1"/>
        <v>0.36131554485037842</v>
      </c>
      <c r="O13" s="126"/>
      <c r="Q13" s="47"/>
      <c r="R13" s="47"/>
      <c r="S13" s="45">
        <v>0.96227325519651585</v>
      </c>
      <c r="T13" s="47"/>
      <c r="U13" s="47"/>
      <c r="V13" s="47"/>
      <c r="W13" s="47"/>
      <c r="X13" s="47"/>
    </row>
    <row r="14" spans="1:28">
      <c r="A14" s="29">
        <f t="shared" si="0"/>
        <v>335.66377882254938</v>
      </c>
      <c r="B14" s="37">
        <v>393</v>
      </c>
      <c r="C14" s="37">
        <v>65.52</v>
      </c>
      <c r="D14" s="37">
        <v>46.2</v>
      </c>
      <c r="E14" s="37">
        <v>29.1</v>
      </c>
      <c r="G14" s="41">
        <v>-0.45808976513763017</v>
      </c>
      <c r="H14" s="39">
        <f t="shared" si="1"/>
        <v>-4.5026437789410532E-2</v>
      </c>
      <c r="I14" s="39">
        <f t="shared" si="1"/>
        <v>-1.5400121730520537E-2</v>
      </c>
      <c r="J14" s="39">
        <f t="shared" si="1"/>
        <v>6.8939794396412749E-2</v>
      </c>
      <c r="K14" s="39">
        <f t="shared" si="1"/>
        <v>-0.74783915096938458</v>
      </c>
      <c r="O14" s="126"/>
      <c r="Q14" s="47"/>
      <c r="R14" s="47"/>
      <c r="S14" s="45">
        <v>-0.49612288425231355</v>
      </c>
      <c r="T14" s="47"/>
      <c r="U14" s="47"/>
      <c r="V14" s="47"/>
      <c r="W14" s="47"/>
      <c r="X14" s="47"/>
    </row>
    <row r="15" spans="1:28">
      <c r="A15" s="29">
        <f t="shared" si="0"/>
        <v>574.26168586583935</v>
      </c>
      <c r="B15" s="37">
        <v>484</v>
      </c>
      <c r="C15" s="37">
        <v>80.86</v>
      </c>
      <c r="D15" s="37">
        <v>23.7</v>
      </c>
      <c r="E15" s="37">
        <v>32.799999999999997</v>
      </c>
      <c r="G15" s="41">
        <v>1.2608244457692916</v>
      </c>
      <c r="H15" s="39">
        <f t="shared" si="1"/>
        <v>0.61055849642440685</v>
      </c>
      <c r="I15" s="39">
        <f t="shared" si="1"/>
        <v>0.97235402745203547</v>
      </c>
      <c r="J15" s="39">
        <f t="shared" si="1"/>
        <v>-1.4083415140981403</v>
      </c>
      <c r="K15" s="39">
        <f t="shared" si="1"/>
        <v>1.1175573829093062</v>
      </c>
      <c r="O15" s="126"/>
      <c r="Q15" s="47"/>
      <c r="R15" s="47"/>
      <c r="S15" s="45">
        <v>2.0206911063438722</v>
      </c>
      <c r="T15" s="47"/>
      <c r="U15" s="47"/>
      <c r="V15" s="47"/>
      <c r="W15" s="47"/>
      <c r="X15" s="47"/>
    </row>
    <row r="16" spans="1:28">
      <c r="A16" s="29">
        <f t="shared" si="0"/>
        <v>261.08327090494822</v>
      </c>
      <c r="B16" s="37">
        <v>253</v>
      </c>
      <c r="C16" s="37">
        <v>61.83</v>
      </c>
      <c r="D16" s="37">
        <v>51.8</v>
      </c>
      <c r="E16" s="37">
        <v>27.8</v>
      </c>
      <c r="G16" s="41">
        <v>-0.99538490114635059</v>
      </c>
      <c r="H16" s="39">
        <f t="shared" si="1"/>
        <v>-1.0536186442722064</v>
      </c>
      <c r="I16" s="39">
        <f t="shared" si="1"/>
        <v>-0.25300199985852762</v>
      </c>
      <c r="J16" s="39">
        <f t="shared" si="1"/>
        <v>0.43661869784394558</v>
      </c>
      <c r="K16" s="39">
        <f t="shared" si="1"/>
        <v>-1.4032487439537906</v>
      </c>
      <c r="O16" s="126"/>
      <c r="S16" s="39">
        <v>-1.2324178968812189</v>
      </c>
    </row>
    <row r="17" spans="1:25">
      <c r="A17" s="29">
        <f t="shared" si="0"/>
        <v>245.21604783117687</v>
      </c>
      <c r="B17" s="37">
        <v>270</v>
      </c>
      <c r="C17" s="37">
        <v>47.83</v>
      </c>
      <c r="D17" s="37">
        <v>69.400000000000006</v>
      </c>
      <c r="E17" s="37">
        <v>29.2</v>
      </c>
      <c r="G17" s="41">
        <v>-1.109696026365848</v>
      </c>
      <c r="H17" s="39">
        <f t="shared" si="1"/>
        <v>-0.93114673348500987</v>
      </c>
      <c r="I17" s="39">
        <f t="shared" si="1"/>
        <v>-1.1544725401815903</v>
      </c>
      <c r="J17" s="39">
        <f t="shared" si="1"/>
        <v>1.5921809658219075</v>
      </c>
      <c r="K17" s="39">
        <f t="shared" si="1"/>
        <v>-0.69742302843212367</v>
      </c>
      <c r="O17" s="126"/>
      <c r="S17" s="39">
        <v>-1.9762372370163019</v>
      </c>
    </row>
    <row r="18" spans="1:25">
      <c r="A18" s="29">
        <f t="shared" si="0"/>
        <v>489.85258547591252</v>
      </c>
      <c r="B18" s="37">
        <v>506</v>
      </c>
      <c r="C18" s="37">
        <v>59.87</v>
      </c>
      <c r="D18" s="37">
        <v>47.9</v>
      </c>
      <c r="E18" s="37">
        <v>33.299999999999997</v>
      </c>
      <c r="G18" s="41">
        <v>0.65272186855854863</v>
      </c>
      <c r="H18" s="39">
        <f t="shared" si="1"/>
        <v>0.76905155744313192</v>
      </c>
      <c r="I18" s="39">
        <f t="shared" si="1"/>
        <v>-0.37920787550375645</v>
      </c>
      <c r="J18" s="39">
        <f t="shared" si="1"/>
        <v>0.18055660437155646</v>
      </c>
      <c r="K18" s="39">
        <f t="shared" si="1"/>
        <v>1.3696379955956159</v>
      </c>
      <c r="O18" s="126"/>
      <c r="S18" s="39">
        <v>0.50504786229583898</v>
      </c>
    </row>
    <row r="19" spans="1:25">
      <c r="A19" s="40" t="s">
        <v>323</v>
      </c>
      <c r="B19" s="49">
        <f>AVERAGE(B7:B18)</f>
        <v>399.25</v>
      </c>
      <c r="C19" s="49">
        <f>AVERAGE(C7:C18)</f>
        <v>65.759166666666687</v>
      </c>
      <c r="D19" s="49">
        <f>AVERAGE(D7:D18)</f>
        <v>45.15</v>
      </c>
      <c r="E19" s="49">
        <f>AVERAGE(E7:E18)</f>
        <v>30.583333333333332</v>
      </c>
      <c r="G19" s="40" t="s">
        <v>323</v>
      </c>
      <c r="H19" s="49">
        <f>AVERAGE(H7:H18)</f>
        <v>0</v>
      </c>
      <c r="I19" s="49">
        <f>AVERAGE(I7:I18)</f>
        <v>-1.2952601953960159E-15</v>
      </c>
      <c r="J19" s="49">
        <f>AVERAGE(J7:J18)</f>
        <v>8.7892656116158222E-17</v>
      </c>
      <c r="K19" s="49">
        <f>AVERAGE(K7:K18)</f>
        <v>4.2558549277297669E-16</v>
      </c>
      <c r="O19" s="126"/>
    </row>
    <row r="20" spans="1:25">
      <c r="A20" s="40" t="s">
        <v>324</v>
      </c>
      <c r="B20" s="49">
        <f>_xlfn.STDEV.S(B7:B18)</f>
        <v>138.80733868469372</v>
      </c>
      <c r="C20" s="49">
        <f>_xlfn.STDEV.S(C7:C18)</f>
        <v>15.530180270763788</v>
      </c>
      <c r="D20" s="49">
        <f>_xlfn.STDEV.S(D7:D18)</f>
        <v>15.230680758378364</v>
      </c>
      <c r="E20" s="49">
        <f>_xlfn.STDEV.S(E7:E18)</f>
        <v>1.9834924815190054</v>
      </c>
      <c r="G20" s="40" t="s">
        <v>324</v>
      </c>
      <c r="H20" s="49">
        <f>_xlfn.STDEV.S(H7:H18)</f>
        <v>1</v>
      </c>
      <c r="I20" s="49">
        <f>_xlfn.STDEV.S(I7:I18)</f>
        <v>1.0000000000000071</v>
      </c>
      <c r="J20" s="49">
        <f>_xlfn.STDEV.S(J7:J18)</f>
        <v>0.99999999999999878</v>
      </c>
      <c r="K20" s="49">
        <f>_xlfn.STDEV.S(K7:K18)</f>
        <v>1</v>
      </c>
      <c r="O20" s="126"/>
      <c r="Q20" s="50" t="s">
        <v>325</v>
      </c>
      <c r="R20" s="124" t="s">
        <v>326</v>
      </c>
      <c r="S20" s="124"/>
      <c r="T20" s="124"/>
      <c r="U20" s="51"/>
      <c r="V20" s="50" t="s">
        <v>327</v>
      </c>
      <c r="W20" s="124" t="s">
        <v>328</v>
      </c>
      <c r="X20" s="124"/>
      <c r="Y20" s="124"/>
    </row>
    <row r="21" spans="1:25">
      <c r="O21" s="126"/>
      <c r="Q21" s="39">
        <f t="array" ref="Q21:Q32">MMULT(S7:S18,X7)</f>
        <v>0.80016461261450744</v>
      </c>
      <c r="R21" s="39">
        <f t="array" ref="R21:T32">MMULT(S7:S18,W11:Y11)</f>
        <v>0.77854839630764128</v>
      </c>
      <c r="S21" s="39">
        <v>-0.82600862819690246</v>
      </c>
      <c r="T21" s="39">
        <v>0.66104446737736722</v>
      </c>
      <c r="V21" s="39">
        <f t="array" ref="V21:Y32">H7:K18-Q21:T32</f>
        <v>0.33630267719021445</v>
      </c>
      <c r="W21" s="39">
        <v>-0.13651893113112767</v>
      </c>
      <c r="X21" s="39">
        <v>0.23837895215129168</v>
      </c>
      <c r="Y21" s="39">
        <v>0.35568067045741714</v>
      </c>
    </row>
    <row r="22" spans="1:25">
      <c r="A22" s="40" t="s">
        <v>329</v>
      </c>
      <c r="B22" s="41">
        <f>CORREL(A7:A18,B7:B18)</f>
        <v>0.9391917162480844</v>
      </c>
      <c r="G22" s="40" t="s">
        <v>329</v>
      </c>
      <c r="H22" s="41">
        <f>CORREL(G7:G18,H7:H18)</f>
        <v>0.93919171624808451</v>
      </c>
      <c r="O22" s="126"/>
      <c r="Q22" s="39">
        <v>-1.404559400781286</v>
      </c>
      <c r="R22" s="39">
        <v>-1.3666156335307871</v>
      </c>
      <c r="S22" s="39">
        <v>1.4499243850206964</v>
      </c>
      <c r="T22" s="39">
        <v>-1.1603565145871404</v>
      </c>
      <c r="V22" s="39">
        <v>-0.39829916830671186</v>
      </c>
      <c r="W22" s="39">
        <v>-0.60690728328718579</v>
      </c>
      <c r="X22" s="39">
        <v>-0.10723981796675863</v>
      </c>
      <c r="Y22" s="39">
        <v>0.46293348615501673</v>
      </c>
    </row>
    <row r="23" spans="1:25">
      <c r="O23" s="126"/>
      <c r="Q23" s="39">
        <v>-0.76402470211073537</v>
      </c>
      <c r="R23" s="39">
        <v>-0.7433847950662944</v>
      </c>
      <c r="S23" s="39">
        <v>0.78870145736259167</v>
      </c>
      <c r="T23" s="39">
        <v>-0.63118800095357508</v>
      </c>
      <c r="V23" s="39">
        <v>0.23631485121884388</v>
      </c>
      <c r="W23" s="39">
        <v>0.19482923948756292</v>
      </c>
      <c r="X23" s="39">
        <v>0.27822393210569651</v>
      </c>
      <c r="Y23" s="39">
        <v>8.5013340133237691E-2</v>
      </c>
    </row>
    <row r="24" spans="1:25">
      <c r="H24" s="52" t="s">
        <v>330</v>
      </c>
      <c r="I24" s="52" t="s">
        <v>331</v>
      </c>
      <c r="J24" s="52" t="s">
        <v>332</v>
      </c>
      <c r="O24" s="126"/>
      <c r="Q24" s="39">
        <v>1.0217087473928388</v>
      </c>
      <c r="R24" s="39">
        <v>0.9941075801603898</v>
      </c>
      <c r="S24" s="39">
        <v>-1.0547082782043957</v>
      </c>
      <c r="T24" s="39">
        <v>0.84406996271463319</v>
      </c>
      <c r="V24" s="39">
        <v>-0.39674179087582062</v>
      </c>
      <c r="W24" s="39">
        <v>0.86426320692345615</v>
      </c>
      <c r="X24" s="39">
        <v>-0.34706754118932448</v>
      </c>
      <c r="Y24" s="39">
        <v>-1.1381640108486608</v>
      </c>
    </row>
    <row r="25" spans="1:25">
      <c r="H25" s="53">
        <f>R7</f>
        <v>0.55832467692148779</v>
      </c>
      <c r="I25" s="53">
        <f>R40</f>
        <v>-0.33031308293885614</v>
      </c>
      <c r="J25" s="53">
        <f>R40</f>
        <v>-0.33031308293885614</v>
      </c>
      <c r="O25" s="126"/>
      <c r="Q25" s="39">
        <v>-0.39022871298612111</v>
      </c>
      <c r="R25" s="39">
        <v>-0.37968679681527717</v>
      </c>
      <c r="S25" s="39">
        <v>0.40283246573914355</v>
      </c>
      <c r="T25" s="39">
        <v>-0.32238182951929883</v>
      </c>
      <c r="V25" s="39">
        <v>-0.45446725994322051</v>
      </c>
      <c r="W25" s="39">
        <v>0.28894949421490057</v>
      </c>
      <c r="X25" s="39">
        <v>-0.32076128193389064</v>
      </c>
      <c r="Y25" s="39">
        <v>-0.57670568906187203</v>
      </c>
    </row>
    <row r="26" spans="1:25">
      <c r="H26" s="53">
        <f>R8</f>
        <v>-0.57400050445079309</v>
      </c>
      <c r="I26" s="53">
        <f>R41</f>
        <v>0.50851319952299245</v>
      </c>
      <c r="J26" s="53">
        <f>R41</f>
        <v>0.50851319952299245</v>
      </c>
      <c r="O26" s="126"/>
      <c r="Q26" s="39">
        <v>0.86987290608696866</v>
      </c>
      <c r="R26" s="39">
        <v>0.84637354033019163</v>
      </c>
      <c r="S26" s="39">
        <v>-0.89796838617344621</v>
      </c>
      <c r="T26" s="39">
        <v>0.71863296979779145</v>
      </c>
      <c r="V26" s="39">
        <v>0.19455208325469642</v>
      </c>
      <c r="W26" s="39">
        <v>-0.36596486488302749</v>
      </c>
      <c r="X26" s="39">
        <v>0.37599565717203776</v>
      </c>
      <c r="Y26" s="39">
        <v>0.70142114833508729</v>
      </c>
    </row>
    <row r="27" spans="1:25">
      <c r="H27" s="53">
        <f>R9</f>
        <v>0.59899664108469863</v>
      </c>
      <c r="I27" s="53">
        <f>R42</f>
        <v>0.79517771167853901</v>
      </c>
      <c r="J27" s="53">
        <f>R42</f>
        <v>0.79517771167853901</v>
      </c>
      <c r="O27" s="126"/>
      <c r="Q27" s="39">
        <v>0.59012218357180979</v>
      </c>
      <c r="R27" s="39">
        <v>0.57418020292624239</v>
      </c>
      <c r="S27" s="39">
        <v>-0.60918217031368072</v>
      </c>
      <c r="T27" s="39">
        <v>0.48752094053768358</v>
      </c>
      <c r="V27" s="39">
        <v>0.40946473535310413</v>
      </c>
      <c r="W27" s="39">
        <v>-0.11244484581434117</v>
      </c>
      <c r="X27" s="39">
        <v>-0.2410752939087395</v>
      </c>
      <c r="Y27" s="39">
        <v>-0.12620539568730516</v>
      </c>
    </row>
    <row r="28" spans="1:25">
      <c r="O28" s="126"/>
      <c r="Q28" s="39">
        <v>-0.30425153997980464</v>
      </c>
      <c r="R28" s="39">
        <v>-0.29603227234884649</v>
      </c>
      <c r="S28" s="39">
        <v>0.3140783698798591</v>
      </c>
      <c r="T28" s="39">
        <v>-0.25135302664476666</v>
      </c>
      <c r="V28" s="39">
        <v>0.25922510219039413</v>
      </c>
      <c r="W28" s="39">
        <v>0.28063215061832597</v>
      </c>
      <c r="X28" s="39">
        <v>-0.24513857548344636</v>
      </c>
      <c r="Y28" s="39">
        <v>-0.49648612432461792</v>
      </c>
    </row>
    <row r="29" spans="1:25">
      <c r="H29" s="40" t="s">
        <v>510</v>
      </c>
      <c r="I29" s="40" t="s">
        <v>333</v>
      </c>
      <c r="J29" s="40" t="s">
        <v>334</v>
      </c>
      <c r="K29" s="40" t="s">
        <v>335</v>
      </c>
      <c r="O29" s="126"/>
      <c r="Q29" s="39">
        <v>1.2392058508955008</v>
      </c>
      <c r="R29" s="39">
        <v>1.2057290621205439</v>
      </c>
      <c r="S29" s="39">
        <v>-1.2792301844081946</v>
      </c>
      <c r="T29" s="39">
        <v>1.0237520614658602</v>
      </c>
      <c r="V29" s="39">
        <v>-0.62864735447109399</v>
      </c>
      <c r="W29" s="39">
        <v>-0.2333750346685084</v>
      </c>
      <c r="X29" s="39">
        <v>-0.12911132968994576</v>
      </c>
      <c r="Y29" s="39">
        <v>9.3805321443445999E-2</v>
      </c>
    </row>
    <row r="30" spans="1:25">
      <c r="H30" s="41">
        <f>H7</f>
        <v>1.1364672898047219</v>
      </c>
      <c r="I30" s="54">
        <f t="array" ref="I30:K41">MMULT(I7:K18,H25:J27)</f>
        <v>1.3047755666686025</v>
      </c>
      <c r="J30" s="54">
        <v>0.29758898982885873</v>
      </c>
      <c r="K30" s="54">
        <v>0.29758898982885873</v>
      </c>
      <c r="O30" s="126"/>
      <c r="Q30" s="39">
        <v>-0.75579066180322918</v>
      </c>
      <c r="R30" s="39">
        <v>-0.7353731949836626</v>
      </c>
      <c r="S30" s="39">
        <v>0.78020147094517445</v>
      </c>
      <c r="T30" s="39">
        <v>-0.62438556717478766</v>
      </c>
      <c r="V30" s="39">
        <v>-0.29782798246897724</v>
      </c>
      <c r="W30" s="39">
        <v>0.48237119512513499</v>
      </c>
      <c r="X30" s="39">
        <v>-0.34358277310122887</v>
      </c>
      <c r="Y30" s="39">
        <v>-0.77886317677900296</v>
      </c>
    </row>
    <row r="31" spans="1:25">
      <c r="H31" s="41">
        <f t="shared" ref="H31:H41" si="2">H8</f>
        <v>-1.8028585690879979</v>
      </c>
      <c r="I31" s="54">
        <v>-2.290322215182762</v>
      </c>
      <c r="J31" s="54">
        <v>0.78007801622679729</v>
      </c>
      <c r="K31" s="54">
        <v>0.78007801622679729</v>
      </c>
      <c r="O31" s="126"/>
      <c r="Q31" s="39">
        <v>-1.2119441408831568</v>
      </c>
      <c r="R31" s="39">
        <v>-1.1792038193441057</v>
      </c>
      <c r="S31" s="39">
        <v>1.2510879655014875</v>
      </c>
      <c r="T31" s="39">
        <v>-1.0012301924769</v>
      </c>
      <c r="V31" s="39">
        <v>0.28079740739814696</v>
      </c>
      <c r="W31" s="39">
        <v>2.4731279162515385E-2</v>
      </c>
      <c r="X31" s="39">
        <v>0.34109300032042</v>
      </c>
      <c r="Y31" s="39">
        <v>0.30380716404477637</v>
      </c>
    </row>
    <row r="32" spans="1:25">
      <c r="H32" s="41">
        <f t="shared" si="2"/>
        <v>-0.52770985089189149</v>
      </c>
      <c r="I32" s="54">
        <v>-1.2458446023850955</v>
      </c>
      <c r="J32" s="54">
        <v>0.28943480320936388</v>
      </c>
      <c r="K32" s="54">
        <v>0.28943480320936388</v>
      </c>
      <c r="O32" s="126"/>
      <c r="Q32" s="39">
        <v>0.30972485798270405</v>
      </c>
      <c r="R32" s="39">
        <v>0.3013577302439609</v>
      </c>
      <c r="S32" s="39">
        <v>-0.31972846715232922</v>
      </c>
      <c r="T32" s="39">
        <v>0.25587472946312995</v>
      </c>
      <c r="V32" s="39">
        <v>0.45932669946042787</v>
      </c>
      <c r="W32" s="39">
        <v>-0.68056560574771741</v>
      </c>
      <c r="X32" s="39">
        <v>0.50028507152388568</v>
      </c>
      <c r="Y32" s="39">
        <v>1.1137632661324859</v>
      </c>
    </row>
    <row r="33" spans="1:28">
      <c r="H33" s="41">
        <f t="shared" si="2"/>
        <v>0.62496695651701817</v>
      </c>
      <c r="I33" s="54">
        <v>1.6660329497625543</v>
      </c>
      <c r="J33" s="54">
        <v>-1.5605227230725329</v>
      </c>
      <c r="K33" s="54">
        <v>-1.5605227230725329</v>
      </c>
    </row>
    <row r="34" spans="1:28" ht="17.399999999999999" customHeight="1">
      <c r="H34" s="41">
        <f t="shared" si="2"/>
        <v>-0.84469597292934162</v>
      </c>
      <c r="I34" s="54">
        <v>-0.63632017973546939</v>
      </c>
      <c r="J34" s="54">
        <v>-0.64322835719917626</v>
      </c>
      <c r="K34" s="54">
        <v>-0.64322835719917626</v>
      </c>
      <c r="O34" s="126" t="s">
        <v>506</v>
      </c>
      <c r="P34" s="38" t="s">
        <v>336</v>
      </c>
      <c r="Q34" s="39">
        <f t="array" ref="Q34:AB34">TRANSPOSE(V21:V32)</f>
        <v>0.33630267719021445</v>
      </c>
      <c r="R34" s="39">
        <v>-0.39829916830671186</v>
      </c>
      <c r="S34" s="39">
        <v>0.23631485121884388</v>
      </c>
      <c r="T34" s="39">
        <v>-0.39674179087582062</v>
      </c>
      <c r="U34" s="39">
        <v>-0.45446725994322051</v>
      </c>
      <c r="V34" s="39">
        <v>0.19455208325469642</v>
      </c>
      <c r="W34" s="39">
        <v>0.40946473535310413</v>
      </c>
      <c r="X34" s="39">
        <v>0.25922510219039413</v>
      </c>
      <c r="Y34" s="39">
        <v>-0.62864735447109399</v>
      </c>
      <c r="Z34" s="39">
        <v>-0.29782798246897724</v>
      </c>
      <c r="AA34" s="39">
        <v>0.28079740739814696</v>
      </c>
      <c r="AB34" s="39">
        <v>0.45932669946042787</v>
      </c>
    </row>
    <row r="35" spans="1:28">
      <c r="H35" s="41">
        <f t="shared" si="2"/>
        <v>1.0644249893416651</v>
      </c>
      <c r="I35" s="54">
        <v>1.4184442751857715</v>
      </c>
      <c r="J35" s="54">
        <v>0.70508009097080904</v>
      </c>
      <c r="K35" s="54">
        <v>0.70508009097080904</v>
      </c>
      <c r="O35" s="126"/>
      <c r="P35" s="127" t="s">
        <v>337</v>
      </c>
      <c r="Q35" s="39">
        <f t="array" ref="Q35:AB37">TRANSPOSE(W21:Y32)</f>
        <v>-0.13651893113112767</v>
      </c>
      <c r="R35" s="39">
        <v>-0.60690728328718579</v>
      </c>
      <c r="S35" s="39">
        <v>0.19482923948756292</v>
      </c>
      <c r="T35" s="39">
        <v>0.86426320692345615</v>
      </c>
      <c r="U35" s="39">
        <v>0.28894949421490057</v>
      </c>
      <c r="V35" s="39">
        <v>-0.36596486488302749</v>
      </c>
      <c r="W35" s="39">
        <v>-0.11244484581434117</v>
      </c>
      <c r="X35" s="39">
        <v>0.28063215061832597</v>
      </c>
      <c r="Y35" s="39">
        <v>-0.2333750346685084</v>
      </c>
      <c r="Z35" s="39">
        <v>0.48237119512513499</v>
      </c>
      <c r="AA35" s="39">
        <v>2.4731279162515385E-2</v>
      </c>
      <c r="AB35" s="39">
        <v>-0.68056560574771741</v>
      </c>
    </row>
    <row r="36" spans="1:28">
      <c r="H36" s="41">
        <f t="shared" si="2"/>
        <v>0.99958691892491391</v>
      </c>
      <c r="I36" s="54">
        <v>0.96227325519651585</v>
      </c>
      <c r="J36" s="54">
        <v>-0.2975743047115465</v>
      </c>
      <c r="K36" s="54">
        <v>-0.2975743047115465</v>
      </c>
      <c r="O36" s="126"/>
      <c r="P36" s="127"/>
      <c r="Q36" s="39">
        <v>0.23837895215129168</v>
      </c>
      <c r="R36" s="39">
        <v>-0.10723981796675863</v>
      </c>
      <c r="S36" s="39">
        <v>0.27822393210569651</v>
      </c>
      <c r="T36" s="39">
        <v>-0.34706754118932448</v>
      </c>
      <c r="U36" s="39">
        <v>-0.32076128193389064</v>
      </c>
      <c r="V36" s="39">
        <v>0.37599565717203776</v>
      </c>
      <c r="W36" s="39">
        <v>-0.2410752939087395</v>
      </c>
      <c r="X36" s="39">
        <v>-0.24513857548344636</v>
      </c>
      <c r="Y36" s="39">
        <v>-0.12911132968994576</v>
      </c>
      <c r="Z36" s="39">
        <v>-0.34358277310122887</v>
      </c>
      <c r="AA36" s="39">
        <v>0.34109300032042</v>
      </c>
      <c r="AB36" s="39">
        <v>0.50028507152388568</v>
      </c>
    </row>
    <row r="37" spans="1:28">
      <c r="H37" s="41">
        <f t="shared" si="2"/>
        <v>-4.5026437789410532E-2</v>
      </c>
      <c r="I37" s="54">
        <v>-0.49612288425231355</v>
      </c>
      <c r="J37" s="54">
        <v>-0.55452136766203763</v>
      </c>
      <c r="K37" s="54">
        <v>-0.55452136766203763</v>
      </c>
      <c r="O37" s="126"/>
      <c r="P37" s="127"/>
      <c r="Q37" s="39">
        <v>0.35568067045741714</v>
      </c>
      <c r="R37" s="39">
        <v>0.46293348615501673</v>
      </c>
      <c r="S37" s="39">
        <v>8.5013340133237691E-2</v>
      </c>
      <c r="T37" s="39">
        <v>-1.1381640108486608</v>
      </c>
      <c r="U37" s="39">
        <v>-0.57670568906187203</v>
      </c>
      <c r="V37" s="39">
        <v>0.70142114833508729</v>
      </c>
      <c r="W37" s="39">
        <v>-0.12620539568730516</v>
      </c>
      <c r="X37" s="39">
        <v>-0.49648612432461792</v>
      </c>
      <c r="Y37" s="39">
        <v>9.3805321443445999E-2</v>
      </c>
      <c r="Z37" s="39">
        <v>-0.77886317677900296</v>
      </c>
      <c r="AA37" s="39">
        <v>0.30380716404477637</v>
      </c>
      <c r="AB37" s="39">
        <v>1.1137632661324859</v>
      </c>
    </row>
    <row r="38" spans="1:28">
      <c r="H38" s="41">
        <f t="shared" si="2"/>
        <v>0.61055849642440685</v>
      </c>
      <c r="I38" s="54">
        <v>2.0206911063438722</v>
      </c>
      <c r="J38" s="54">
        <v>-0.14868478345951708</v>
      </c>
      <c r="K38" s="54">
        <v>-0.14868478345951708</v>
      </c>
      <c r="O38" s="126"/>
    </row>
    <row r="39" spans="1:28">
      <c r="H39" s="41">
        <f t="shared" si="2"/>
        <v>-1.0536186442722064</v>
      </c>
      <c r="I39" s="54">
        <v>-1.2324178968812189</v>
      </c>
      <c r="J39" s="54">
        <v>-0.81023588355780551</v>
      </c>
      <c r="K39" s="54">
        <v>-0.81023588355780551</v>
      </c>
      <c r="O39" s="126"/>
      <c r="Q39" s="44" t="s">
        <v>313</v>
      </c>
      <c r="R39" s="44" t="s">
        <v>338</v>
      </c>
      <c r="S39" s="44" t="s">
        <v>339</v>
      </c>
      <c r="T39" s="44" t="s">
        <v>340</v>
      </c>
      <c r="V39" s="44" t="s">
        <v>341</v>
      </c>
      <c r="W39" s="44" t="s">
        <v>342</v>
      </c>
      <c r="X39" s="44" t="s">
        <v>343</v>
      </c>
      <c r="Y39" s="47"/>
    </row>
    <row r="40" spans="1:28">
      <c r="H40" s="41">
        <f t="shared" si="2"/>
        <v>-0.93114673348500987</v>
      </c>
      <c r="I40" s="54">
        <v>-1.9762372370163019</v>
      </c>
      <c r="J40" s="54">
        <v>0.63640717324476714</v>
      </c>
      <c r="K40" s="54">
        <v>0.63640717324476714</v>
      </c>
      <c r="O40" s="126"/>
      <c r="Q40" s="45">
        <f t="array" ref="Q40:Q42">MMULT(Q35:AB37,V21:V32)</f>
        <v>-0.57945243456958906</v>
      </c>
      <c r="R40" s="46">
        <f>Q40/Q45</f>
        <v>-0.33031308293885614</v>
      </c>
      <c r="S40" s="45">
        <f t="array" ref="S40:S51">MMULT(W21:Y32,R40:R42)</f>
        <v>0.44914217430144932</v>
      </c>
      <c r="T40" s="45">
        <f t="array" ref="T40:T42">MMULT(Q35:AB37,S40:S51)</f>
        <v>-3.6017604756894968</v>
      </c>
      <c r="V40" s="45">
        <f>T40/T45</f>
        <v>-0.51597787862783984</v>
      </c>
      <c r="W40" s="45">
        <f t="array" ref="W40">MMULT(Q34:AB34,S40:S51)</f>
        <v>1.7542521459159124</v>
      </c>
      <c r="X40" s="45">
        <f>W40/T45</f>
        <v>0.25130913255822523</v>
      </c>
      <c r="Y40" s="47"/>
    </row>
    <row r="41" spans="1:28">
      <c r="H41" s="41">
        <f t="shared" si="2"/>
        <v>0.76905155744313192</v>
      </c>
      <c r="I41" s="54">
        <v>0.50504786229583898</v>
      </c>
      <c r="J41" s="54">
        <v>1.3061783461820298</v>
      </c>
      <c r="K41" s="54">
        <v>1.3061783461820298</v>
      </c>
      <c r="O41" s="126"/>
      <c r="Q41" s="45">
        <v>0.89206037148977591</v>
      </c>
      <c r="R41" s="46">
        <f>Q41/Q45</f>
        <v>0.50851319952299245</v>
      </c>
      <c r="S41" s="45">
        <v>0.51405094303021115</v>
      </c>
      <c r="T41" s="45">
        <v>2.4566357376440484</v>
      </c>
      <c r="V41" s="45">
        <f>T41/T45</f>
        <v>0.35193059200536081</v>
      </c>
      <c r="W41" s="47"/>
      <c r="X41" s="47"/>
      <c r="Y41" s="47"/>
    </row>
    <row r="42" spans="1:28">
      <c r="O42" s="126"/>
      <c r="Q42" s="45">
        <v>1.3949422070965816</v>
      </c>
      <c r="R42" s="46">
        <f>Q42/Q45</f>
        <v>0.79517771167853901</v>
      </c>
      <c r="S42" s="45">
        <v>0.14472660842646318</v>
      </c>
      <c r="T42" s="45">
        <v>5.7113206852085012</v>
      </c>
      <c r="V42" s="45">
        <f>T42/T45</f>
        <v>0.81818742562358904</v>
      </c>
      <c r="W42" s="47"/>
      <c r="X42" s="47"/>
      <c r="Y42" s="47"/>
    </row>
    <row r="43" spans="1:28">
      <c r="B43" s="122" t="s">
        <v>344</v>
      </c>
      <c r="C43" s="122"/>
      <c r="D43" s="122"/>
      <c r="E43" s="122"/>
      <c r="F43" s="122"/>
      <c r="G43" s="122"/>
      <c r="H43" s="122"/>
      <c r="I43" s="122"/>
      <c r="J43" s="122"/>
      <c r="K43" s="122"/>
      <c r="L43" s="122"/>
      <c r="M43" s="122"/>
      <c r="O43" s="126"/>
      <c r="R43" s="47"/>
      <c r="S43" s="45">
        <v>-1.3670085238317766</v>
      </c>
      <c r="T43" s="47"/>
      <c r="V43" s="47"/>
      <c r="W43" s="47"/>
      <c r="X43" s="47"/>
      <c r="Y43" s="47"/>
    </row>
    <row r="44" spans="1:28">
      <c r="A44" s="52" t="s">
        <v>345</v>
      </c>
      <c r="B44" s="39">
        <f t="array" ref="B44:M45">TRANSPOSE(I30:J41)</f>
        <v>1.3047755666686025</v>
      </c>
      <c r="C44" s="39">
        <v>-2.290322215182762</v>
      </c>
      <c r="D44" s="39">
        <v>-1.2458446023850955</v>
      </c>
      <c r="E44" s="39">
        <v>1.6660329497625543</v>
      </c>
      <c r="F44" s="39">
        <v>-0.63632017973546939</v>
      </c>
      <c r="G44" s="39">
        <v>1.4184442751857715</v>
      </c>
      <c r="H44" s="39">
        <v>0.96227325519651585</v>
      </c>
      <c r="I44" s="39">
        <v>-0.49612288425231355</v>
      </c>
      <c r="J44" s="39">
        <v>2.0206911063438722</v>
      </c>
      <c r="K44" s="39">
        <v>-1.2324178968812189</v>
      </c>
      <c r="L44" s="39">
        <v>-1.9762372370163019</v>
      </c>
      <c r="M44" s="39">
        <v>0.50504786229583898</v>
      </c>
      <c r="O44" s="126"/>
      <c r="Q44" s="44" t="s">
        <v>320</v>
      </c>
      <c r="R44" s="47"/>
      <c r="S44" s="45">
        <v>-0.71713865414726086</v>
      </c>
      <c r="T44" s="44" t="s">
        <v>346</v>
      </c>
      <c r="V44" s="44" t="s">
        <v>347</v>
      </c>
      <c r="W44" s="45">
        <f t="array" ref="W44:Y44">TRANSPOSE(V40:V42)</f>
        <v>-0.51597787862783984</v>
      </c>
      <c r="X44" s="45">
        <v>0.35193059200536081</v>
      </c>
      <c r="Y44" s="45">
        <v>0.81818742562358904</v>
      </c>
    </row>
    <row r="45" spans="1:28">
      <c r="A45" s="52" t="s">
        <v>334</v>
      </c>
      <c r="B45" s="39">
        <v>0.29758898982885873</v>
      </c>
      <c r="C45" s="39">
        <v>0.78007801622679729</v>
      </c>
      <c r="D45" s="39">
        <v>0.28943480320936388</v>
      </c>
      <c r="E45" s="39">
        <v>-1.5605227230725329</v>
      </c>
      <c r="F45" s="39">
        <v>-0.64322835719917626</v>
      </c>
      <c r="G45" s="39">
        <v>0.70508009097080904</v>
      </c>
      <c r="H45" s="39">
        <v>-0.2975743047115465</v>
      </c>
      <c r="I45" s="39">
        <v>-0.55452136766203763</v>
      </c>
      <c r="J45" s="39">
        <v>-0.14868478345951708</v>
      </c>
      <c r="K45" s="39">
        <v>-0.81023588355780551</v>
      </c>
      <c r="L45" s="39">
        <v>0.63640717324476714</v>
      </c>
      <c r="M45" s="39">
        <v>1.3061783461820298</v>
      </c>
      <c r="O45" s="126"/>
      <c r="Q45" s="48">
        <f>SQRT(SUMSQ(Q40:Q42))</f>
        <v>1.7542521459159122</v>
      </c>
      <c r="R45" s="47"/>
      <c r="S45" s="45">
        <v>0.86983620105814563</v>
      </c>
      <c r="T45" s="45">
        <f>SUMSQ(S40:S51)</f>
        <v>6.9804552188706221</v>
      </c>
      <c r="U45" s="47"/>
      <c r="V45" s="47"/>
      <c r="W45" s="47"/>
      <c r="X45" s="47"/>
    </row>
    <row r="46" spans="1:28">
      <c r="O46" s="126"/>
      <c r="Q46" s="47"/>
      <c r="R46" s="47"/>
      <c r="S46" s="45">
        <v>-0.18580368309407541</v>
      </c>
      <c r="T46" s="47"/>
      <c r="U46" s="47"/>
      <c r="V46" s="47"/>
      <c r="W46" s="47"/>
      <c r="X46" s="47"/>
    </row>
    <row r="47" spans="1:28">
      <c r="A47" s="125" t="s">
        <v>348</v>
      </c>
      <c r="B47" s="125"/>
      <c r="D47" s="125" t="s">
        <v>349</v>
      </c>
      <c r="E47" s="125"/>
      <c r="H47" s="43" t="s">
        <v>350</v>
      </c>
      <c r="K47" s="55" t="s">
        <v>351</v>
      </c>
      <c r="O47" s="126"/>
      <c r="Q47" s="47"/>
      <c r="R47" s="47"/>
      <c r="S47" s="45">
        <v>-0.61214737240869288</v>
      </c>
      <c r="T47" s="47"/>
      <c r="U47" s="47"/>
      <c r="V47" s="47"/>
      <c r="W47" s="47"/>
      <c r="X47" s="47"/>
    </row>
    <row r="48" spans="1:28">
      <c r="A48" s="39">
        <f t="array" ref="A48:B49">MMULT(B44:M45,I30:J41)</f>
        <v>24.627438338602616</v>
      </c>
      <c r="B48" s="39">
        <v>-2.8605430703666546</v>
      </c>
      <c r="D48" s="39">
        <f t="array" ref="D48:E49">MINVERSE(A48:B49)</f>
        <v>4.2537862265494171E-2</v>
      </c>
      <c r="E48" s="39">
        <v>1.6639700514394867E-2</v>
      </c>
      <c r="H48" s="39">
        <f t="array" ref="H48:H49">MMULT(B44:M45,H30:H41)</f>
        <v>15.102984115658813</v>
      </c>
      <c r="J48" s="40" t="s">
        <v>352</v>
      </c>
      <c r="K48" s="56">
        <f t="array" ref="K48:K49">MMULT(D48:E49,H48:H49)</f>
        <v>0.64244865810984086</v>
      </c>
      <c r="O48" s="126"/>
      <c r="Q48" s="47"/>
      <c r="R48" s="47"/>
      <c r="S48" s="45">
        <v>8.6023912675684364E-2</v>
      </c>
      <c r="T48" s="47"/>
      <c r="U48" s="47"/>
      <c r="V48" s="47"/>
      <c r="W48" s="47"/>
      <c r="X48" s="47"/>
    </row>
    <row r="49" spans="1:25">
      <c r="A49" s="39">
        <v>-2.8605430703666546</v>
      </c>
      <c r="B49" s="39">
        <v>7.312714975038463</v>
      </c>
      <c r="D49" s="39">
        <v>1.6639700514394867E-2</v>
      </c>
      <c r="E49" s="39">
        <v>0.14325713275785354</v>
      </c>
      <c r="H49" s="39">
        <v>-1.1102230246251565E-15</v>
      </c>
      <c r="J49" s="40" t="s">
        <v>353</v>
      </c>
      <c r="K49" s="56">
        <v>0.25130913255822529</v>
      </c>
      <c r="O49" s="126"/>
      <c r="S49" s="39">
        <v>-0.95338453045517702</v>
      </c>
    </row>
    <row r="50" spans="1:25">
      <c r="O50" s="126"/>
      <c r="S50" s="39">
        <v>0.40686191335931371</v>
      </c>
    </row>
    <row r="51" spans="1:25">
      <c r="O51" s="126"/>
      <c r="S51" s="39">
        <v>1.3648410110857248</v>
      </c>
    </row>
    <row r="52" spans="1:25">
      <c r="O52" s="126"/>
    </row>
    <row r="53" spans="1:25">
      <c r="O53" s="126"/>
      <c r="Q53" s="50" t="s">
        <v>354</v>
      </c>
      <c r="R53" s="124" t="s">
        <v>355</v>
      </c>
      <c r="S53" s="124"/>
      <c r="T53" s="124"/>
      <c r="U53" s="51"/>
      <c r="V53" s="50" t="s">
        <v>356</v>
      </c>
      <c r="W53" s="124" t="s">
        <v>357</v>
      </c>
      <c r="X53" s="124"/>
      <c r="Y53" s="124"/>
    </row>
    <row r="54" spans="1:25">
      <c r="O54" s="126"/>
      <c r="Q54" s="39">
        <f t="array" ref="Q54:Q65">MMULT(S40:S51,X40)</f>
        <v>0.11287353021901243</v>
      </c>
      <c r="R54" s="39">
        <f t="array" ref="R54:T65">MMULT(S40:S51,W44:Y44)</f>
        <v>-0.23174742629835729</v>
      </c>
      <c r="S54" s="39">
        <v>0.158066871296484</v>
      </c>
      <c r="T54" s="39">
        <v>0.36748247933068412</v>
      </c>
      <c r="V54" s="39">
        <f t="array" ref="V54:Y65">V21:Y32-Q54:T65</f>
        <v>0.22342914697120203</v>
      </c>
      <c r="W54" s="39">
        <v>9.5228495167229615E-2</v>
      </c>
      <c r="X54" s="39">
        <v>8.0312080854807677E-2</v>
      </c>
      <c r="Y54" s="39">
        <v>-1.1801808873266983E-2</v>
      </c>
    </row>
    <row r="55" spans="1:25">
      <c r="O55" s="126"/>
      <c r="Q55" s="39">
        <v>0.12918569658366003</v>
      </c>
      <c r="R55" s="39">
        <v>-0.26523891509136888</v>
      </c>
      <c r="S55" s="39">
        <v>0.18091025270153621</v>
      </c>
      <c r="T55" s="39">
        <v>0.42059001771726667</v>
      </c>
      <c r="V55" s="39">
        <v>-0.52748486489037183</v>
      </c>
      <c r="W55" s="39">
        <v>-0.34166836819581692</v>
      </c>
      <c r="X55" s="39">
        <v>-0.28815007066829484</v>
      </c>
      <c r="Y55" s="39">
        <v>4.2343468437750054E-2</v>
      </c>
    </row>
    <row r="56" spans="1:25">
      <c r="O56" s="126"/>
      <c r="Q56" s="39">
        <v>3.6371118421748394E-2</v>
      </c>
      <c r="R56" s="39">
        <v>-7.4675728396888519E-2</v>
      </c>
      <c r="S56" s="39">
        <v>5.0933720982453225E-2</v>
      </c>
      <c r="T56" s="39">
        <v>0.11841349116768113</v>
      </c>
      <c r="V56" s="39">
        <v>0.19994373279709549</v>
      </c>
      <c r="W56" s="39">
        <v>0.26950496788445144</v>
      </c>
      <c r="X56" s="39">
        <v>0.2272902111232433</v>
      </c>
      <c r="Y56" s="39">
        <v>-3.3400151034443437E-2</v>
      </c>
    </row>
    <row r="57" spans="1:25">
      <c r="O57" s="126"/>
      <c r="Q57" s="39">
        <v>-0.34354172632386376</v>
      </c>
      <c r="R57" s="39">
        <v>0.70534615819289492</v>
      </c>
      <c r="S57" s="39">
        <v>-0.48109211906849153</v>
      </c>
      <c r="T57" s="39">
        <v>-1.1184691849194239</v>
      </c>
      <c r="V57" s="39">
        <v>-5.320006455195686E-2</v>
      </c>
      <c r="W57" s="39">
        <v>0.15891704873056123</v>
      </c>
      <c r="X57" s="39">
        <v>0.13402457787916705</v>
      </c>
      <c r="Y57" s="39">
        <v>-1.9694825929236881E-2</v>
      </c>
    </row>
    <row r="58" spans="1:25">
      <c r="O58" s="126"/>
      <c r="Q58" s="39">
        <v>-0.18022349309772123</v>
      </c>
      <c r="R58" s="39">
        <v>0.37002768144892778</v>
      </c>
      <c r="S58" s="39">
        <v>-0.2523830311039732</v>
      </c>
      <c r="T58" s="39">
        <v>-0.58675382925191277</v>
      </c>
      <c r="V58" s="39">
        <v>-0.27424376684549928</v>
      </c>
      <c r="W58" s="39">
        <v>-8.107818723402721E-2</v>
      </c>
      <c r="X58" s="39">
        <v>-6.8378250829917442E-2</v>
      </c>
      <c r="Y58" s="39">
        <v>1.0048140190040744E-2</v>
      </c>
    </row>
    <row r="59" spans="1:25">
      <c r="O59" s="126"/>
      <c r="Q59" s="39">
        <v>0.21859778115566458</v>
      </c>
      <c r="R59" s="39">
        <v>-0.44881623777568114</v>
      </c>
      <c r="S59" s="39">
        <v>0.30612196918608725</v>
      </c>
      <c r="T59" s="39">
        <v>0.71168904205796679</v>
      </c>
      <c r="V59" s="39">
        <v>-2.4045697900968166E-2</v>
      </c>
      <c r="W59" s="39">
        <v>8.2851372892653652E-2</v>
      </c>
      <c r="X59" s="39">
        <v>6.9873687985950506E-2</v>
      </c>
      <c r="Y59" s="39">
        <v>-1.0267893722879506E-2</v>
      </c>
    </row>
    <row r="60" spans="1:25">
      <c r="O60" s="126"/>
      <c r="Q60" s="39">
        <v>-4.6694162424495471E-2</v>
      </c>
      <c r="R60" s="39">
        <v>9.5870590244120465E-2</v>
      </c>
      <c r="S60" s="39">
        <v>-6.5390000188074407E-2</v>
      </c>
      <c r="T60" s="39">
        <v>-0.15202223714212273</v>
      </c>
      <c r="V60" s="39">
        <v>0.4561588977775996</v>
      </c>
      <c r="W60" s="39">
        <v>-0.20831543605846164</v>
      </c>
      <c r="X60" s="39">
        <v>-0.1756852937206651</v>
      </c>
      <c r="Y60" s="39">
        <v>2.581684145481758E-2</v>
      </c>
    </row>
    <row r="61" spans="1:25">
      <c r="O61" s="126"/>
      <c r="Q61" s="39">
        <v>-0.15383822515782547</v>
      </c>
      <c r="R61" s="39">
        <v>0.3158545026230436</v>
      </c>
      <c r="S61" s="39">
        <v>-0.21543338716631735</v>
      </c>
      <c r="T61" s="39">
        <v>-0.50085128273331292</v>
      </c>
      <c r="V61" s="39">
        <v>0.4130633273482196</v>
      </c>
      <c r="W61" s="39">
        <v>-3.5222352004717628E-2</v>
      </c>
      <c r="X61" s="39">
        <v>-2.9705188317129011E-2</v>
      </c>
      <c r="Y61" s="39">
        <v>4.3651584086950024E-3</v>
      </c>
    </row>
    <row r="62" spans="1:25">
      <c r="O62" s="126"/>
      <c r="Q62" s="39">
        <v>2.1618594873790753E-2</v>
      </c>
      <c r="R62" s="39">
        <v>-4.4386435973666157E-2</v>
      </c>
      <c r="S62" s="39">
        <v>3.0274446514571059E-2</v>
      </c>
      <c r="T62" s="39">
        <v>7.0383683654186624E-2</v>
      </c>
      <c r="V62" s="39">
        <v>-0.6502659493448848</v>
      </c>
      <c r="W62" s="39">
        <v>-0.18898859869484225</v>
      </c>
      <c r="X62" s="39">
        <v>-0.15938577620451683</v>
      </c>
      <c r="Y62" s="39">
        <v>2.3421637789259375E-2</v>
      </c>
    </row>
    <row r="63" spans="1:25">
      <c r="O63" s="126"/>
      <c r="Q63" s="39">
        <v>-0.23959423934312141</v>
      </c>
      <c r="R63" s="39">
        <v>0.49192532754086138</v>
      </c>
      <c r="S63" s="39">
        <v>-0.33552518221184341</v>
      </c>
      <c r="T63" s="39">
        <v>-0.78004723460247549</v>
      </c>
      <c r="V63" s="39">
        <v>-5.823374312585583E-2</v>
      </c>
      <c r="W63" s="39">
        <v>-9.5541324157263907E-3</v>
      </c>
      <c r="X63" s="39">
        <v>-8.0575908893854575E-3</v>
      </c>
      <c r="Y63" s="39">
        <v>1.1840578234725285E-3</v>
      </c>
    </row>
    <row r="64" spans="1:25">
      <c r="O64" s="126"/>
      <c r="Q64" s="39">
        <v>0.10224811451730892</v>
      </c>
      <c r="R64" s="39">
        <v>-0.20993174694960265</v>
      </c>
      <c r="S64" s="39">
        <v>0.1431871540329771</v>
      </c>
      <c r="T64" s="39">
        <v>0.33288930147574464</v>
      </c>
      <c r="V64" s="39">
        <v>0.17854929288083804</v>
      </c>
      <c r="W64" s="39">
        <v>0.23466302611211803</v>
      </c>
      <c r="X64" s="39">
        <v>0.1979058462874429</v>
      </c>
      <c r="Y64" s="39">
        <v>-2.9082137430968269E-2</v>
      </c>
    </row>
    <row r="65" spans="15:28">
      <c r="O65" s="126"/>
      <c r="Q65" s="39">
        <v>0.34299701057584459</v>
      </c>
      <c r="R65" s="39">
        <v>-0.70422776956428834</v>
      </c>
      <c r="S65" s="39">
        <v>0.48032930502459431</v>
      </c>
      <c r="T65" s="39">
        <v>1.1166957532457256</v>
      </c>
      <c r="V65" s="39">
        <v>0.11632968888458328</v>
      </c>
      <c r="W65" s="39">
        <v>2.3662163816570936E-2</v>
      </c>
      <c r="X65" s="39">
        <v>1.9955766499291372E-2</v>
      </c>
      <c r="Y65" s="39">
        <v>-2.932487113239679E-3</v>
      </c>
    </row>
    <row r="67" spans="15:28" ht="17.399999999999999" customHeight="1">
      <c r="O67" s="126" t="s">
        <v>507</v>
      </c>
      <c r="P67" s="38" t="s">
        <v>358</v>
      </c>
      <c r="Q67" s="39">
        <f t="array" ref="Q67:AB70">TRANSPOSE(V54:Y65)</f>
        <v>0.22342914697120203</v>
      </c>
      <c r="R67" s="39">
        <v>-0.52748486489037183</v>
      </c>
      <c r="S67" s="39">
        <v>0.19994373279709549</v>
      </c>
      <c r="T67" s="39">
        <v>-5.320006455195686E-2</v>
      </c>
      <c r="U67" s="39">
        <v>-0.27424376684549928</v>
      </c>
      <c r="V67" s="39">
        <v>-2.4045697900968166E-2</v>
      </c>
      <c r="W67" s="39">
        <v>0.4561588977775996</v>
      </c>
      <c r="X67" s="39">
        <v>0.4130633273482196</v>
      </c>
      <c r="Y67" s="39">
        <v>-0.6502659493448848</v>
      </c>
      <c r="Z67" s="39">
        <v>-5.823374312585583E-2</v>
      </c>
      <c r="AA67" s="39">
        <v>0.17854929288083804</v>
      </c>
      <c r="AB67" s="39">
        <v>0.11632968888458328</v>
      </c>
    </row>
    <row r="68" spans="15:28">
      <c r="O68" s="126"/>
      <c r="P68" s="127" t="s">
        <v>359</v>
      </c>
      <c r="Q68" s="39">
        <v>9.5228495167229615E-2</v>
      </c>
      <c r="R68" s="39">
        <v>-0.34166836819581692</v>
      </c>
      <c r="S68" s="39">
        <v>0.26950496788445144</v>
      </c>
      <c r="T68" s="39">
        <v>0.15891704873056123</v>
      </c>
      <c r="U68" s="39">
        <v>-8.107818723402721E-2</v>
      </c>
      <c r="V68" s="39">
        <v>8.2851372892653652E-2</v>
      </c>
      <c r="W68" s="39">
        <v>-0.20831543605846164</v>
      </c>
      <c r="X68" s="39">
        <v>-3.5222352004717628E-2</v>
      </c>
      <c r="Y68" s="39">
        <v>-0.18898859869484225</v>
      </c>
      <c r="Z68" s="39">
        <v>-9.5541324157263907E-3</v>
      </c>
      <c r="AA68" s="39">
        <v>0.23466302611211803</v>
      </c>
      <c r="AB68" s="39">
        <v>2.3662163816570936E-2</v>
      </c>
    </row>
    <row r="69" spans="15:28">
      <c r="O69" s="126"/>
      <c r="P69" s="127"/>
      <c r="Q69" s="39">
        <v>8.0312080854807677E-2</v>
      </c>
      <c r="R69" s="39">
        <v>-0.28815007066829484</v>
      </c>
      <c r="S69" s="39">
        <v>0.2272902111232433</v>
      </c>
      <c r="T69" s="39">
        <v>0.13402457787916705</v>
      </c>
      <c r="U69" s="39">
        <v>-6.8378250829917442E-2</v>
      </c>
      <c r="V69" s="39">
        <v>6.9873687985950506E-2</v>
      </c>
      <c r="W69" s="39">
        <v>-0.1756852937206651</v>
      </c>
      <c r="X69" s="39">
        <v>-2.9705188317129011E-2</v>
      </c>
      <c r="Y69" s="39">
        <v>-0.15938577620451683</v>
      </c>
      <c r="Z69" s="39">
        <v>-8.0575908893854575E-3</v>
      </c>
      <c r="AA69" s="39">
        <v>0.1979058462874429</v>
      </c>
      <c r="AB69" s="39">
        <v>1.9955766499291372E-2</v>
      </c>
    </row>
    <row r="70" spans="15:28">
      <c r="O70" s="126"/>
      <c r="P70" s="127"/>
      <c r="Q70" s="39">
        <v>-1.1801808873266983E-2</v>
      </c>
      <c r="R70" s="39">
        <v>4.2343468437750054E-2</v>
      </c>
      <c r="S70" s="39">
        <v>-3.3400151034443437E-2</v>
      </c>
      <c r="T70" s="39">
        <v>-1.9694825929236881E-2</v>
      </c>
      <c r="U70" s="39">
        <v>1.0048140190040744E-2</v>
      </c>
      <c r="V70" s="39">
        <v>-1.0267893722879506E-2</v>
      </c>
      <c r="W70" s="39">
        <v>2.581684145481758E-2</v>
      </c>
      <c r="X70" s="39">
        <v>4.3651584086950024E-3</v>
      </c>
      <c r="Y70" s="39">
        <v>2.3421637789259375E-2</v>
      </c>
      <c r="Z70" s="39">
        <v>1.1840578234725285E-3</v>
      </c>
      <c r="AA70" s="39">
        <v>-2.9082137430968269E-2</v>
      </c>
      <c r="AB70" s="39">
        <v>-2.932487113239679E-3</v>
      </c>
    </row>
    <row r="71" spans="15:28">
      <c r="O71" s="126"/>
    </row>
    <row r="72" spans="15:28">
      <c r="O72" s="126"/>
      <c r="Q72" s="44" t="s">
        <v>313</v>
      </c>
      <c r="R72" s="44" t="s">
        <v>508</v>
      </c>
      <c r="S72" s="44" t="s">
        <v>360</v>
      </c>
      <c r="T72" s="44" t="s">
        <v>361</v>
      </c>
      <c r="V72" s="44" t="s">
        <v>362</v>
      </c>
      <c r="W72" s="44" t="s">
        <v>363</v>
      </c>
      <c r="X72" s="44" t="s">
        <v>364</v>
      </c>
      <c r="Y72" s="47"/>
    </row>
    <row r="73" spans="15:28">
      <c r="O73" s="126"/>
      <c r="Q73" s="45">
        <f t="array" ref="Q73:Q75">MMULT(Q68:AB70,V54:V65)</f>
        <v>0.32570286625843919</v>
      </c>
      <c r="R73" s="46">
        <f>Q73/Q78</f>
        <v>0.76103010609301458</v>
      </c>
      <c r="S73" s="45">
        <f t="array" ref="S73:S84">MMULT(W54:Y65,R73:R75)</f>
        <v>0.12513104856799276</v>
      </c>
      <c r="T73" s="45">
        <f t="array" ref="T73:T75">MMULT(Q68:AB70,S73:S84)</f>
        <v>0.49039040156341168</v>
      </c>
      <c r="V73" s="45">
        <f>T73/T78</f>
        <v>0.76103010609301458</v>
      </c>
      <c r="W73" s="45">
        <f t="array" ref="W73">MMULT(Q67:AB67,S73:S84)</f>
        <v>0.42797632268523045</v>
      </c>
      <c r="X73" s="45">
        <f>W73/T78</f>
        <v>0.66417055721332874</v>
      </c>
      <c r="Y73" s="47"/>
    </row>
    <row r="74" spans="15:28">
      <c r="O74" s="126"/>
      <c r="Q74" s="45">
        <v>0.27468537525091419</v>
      </c>
      <c r="R74" s="46">
        <f>Q74/Q78</f>
        <v>0.64182376615479431</v>
      </c>
      <c r="S74" s="45">
        <v>-0.44895512734690352</v>
      </c>
      <c r="T74" s="45">
        <v>0.41357656142334304</v>
      </c>
      <c r="V74" s="45">
        <f>T74/T78</f>
        <v>0.64182376615479453</v>
      </c>
      <c r="W74" s="47"/>
      <c r="X74" s="47"/>
      <c r="Y74" s="47"/>
    </row>
    <row r="75" spans="15:28">
      <c r="O75" s="126"/>
      <c r="Q75" s="45">
        <v>-4.0364840065015513E-2</v>
      </c>
      <c r="R75" s="46">
        <f>Q75/Q78</f>
        <v>-9.4315591600386703E-2</v>
      </c>
      <c r="S75" s="45">
        <v>0.35413180861929272</v>
      </c>
      <c r="T75" s="45">
        <v>-6.0774810967795606E-2</v>
      </c>
      <c r="V75" s="45">
        <f>T75/T78</f>
        <v>-9.4315591600386758E-2</v>
      </c>
      <c r="W75" s="47"/>
      <c r="X75" s="47"/>
      <c r="Y75" s="47"/>
    </row>
    <row r="76" spans="15:28">
      <c r="O76" s="126"/>
      <c r="R76" s="47"/>
      <c r="S76" s="45">
        <v>0.20881834694610391</v>
      </c>
      <c r="T76" s="47"/>
      <c r="V76" s="47"/>
      <c r="W76" s="47"/>
      <c r="X76" s="47"/>
      <c r="Y76" s="47"/>
    </row>
    <row r="77" spans="15:28">
      <c r="O77" s="126"/>
      <c r="Q77" s="44" t="s">
        <v>320</v>
      </c>
      <c r="R77" s="47"/>
      <c r="S77" s="45">
        <v>-0.10653742418978315</v>
      </c>
      <c r="T77" s="44" t="s">
        <v>365</v>
      </c>
      <c r="V77" s="44" t="s">
        <v>366</v>
      </c>
      <c r="W77" s="45">
        <f t="array" ref="W77:Y77">TRANSPOSE(V73:V75)</f>
        <v>0.76103010609301458</v>
      </c>
      <c r="X77" s="45">
        <v>0.64182376615479453</v>
      </c>
      <c r="Y77" s="45">
        <v>-9.4315591600386758E-2</v>
      </c>
    </row>
    <row r="78" spans="15:28">
      <c r="O78" s="126"/>
      <c r="Q78" s="48">
        <f>SQRT(SUMSQ(Q73:Q75))</f>
        <v>0.4279763226852305</v>
      </c>
      <c r="R78" s="47"/>
      <c r="S78" s="45">
        <v>0.10886740515167916</v>
      </c>
      <c r="T78" s="45">
        <f>SUMSQ(S73:S84)</f>
        <v>0.64437713782570805</v>
      </c>
      <c r="U78" s="47"/>
      <c r="V78" s="47"/>
      <c r="W78" s="47"/>
      <c r="X78" s="47"/>
    </row>
    <row r="79" spans="15:28">
      <c r="O79" s="126"/>
      <c r="Q79" s="47"/>
      <c r="R79" s="47"/>
      <c r="S79" s="45">
        <v>-0.27372824595325668</v>
      </c>
      <c r="T79" s="47"/>
      <c r="U79" s="47"/>
      <c r="V79" s="47"/>
      <c r="W79" s="47"/>
      <c r="X79" s="47"/>
    </row>
    <row r="80" spans="15:28">
      <c r="O80" s="126"/>
      <c r="Q80" s="47"/>
      <c r="R80" s="47"/>
      <c r="S80" s="45">
        <v>-4.6282468620778366E-2</v>
      </c>
      <c r="T80" s="47"/>
      <c r="U80" s="47"/>
      <c r="V80" s="47"/>
      <c r="W80" s="47"/>
      <c r="X80" s="47"/>
    </row>
    <row r="81" spans="15:25">
      <c r="O81" s="126"/>
      <c r="Q81" s="47"/>
      <c r="R81" s="47"/>
      <c r="S81" s="45">
        <v>-0.2483326180945381</v>
      </c>
      <c r="T81" s="47"/>
      <c r="U81" s="47"/>
      <c r="V81" s="47"/>
      <c r="W81" s="47"/>
      <c r="X81" s="47"/>
    </row>
    <row r="82" spans="15:25">
      <c r="O82" s="126"/>
      <c r="S82" s="39">
        <v>-1.2554210850836776E-2</v>
      </c>
    </row>
    <row r="83" spans="15:25">
      <c r="O83" s="126"/>
      <c r="S83" s="39">
        <v>0.30834920226327694</v>
      </c>
    </row>
    <row r="84" spans="15:25">
      <c r="O84" s="126"/>
      <c r="S84" s="39">
        <v>3.1092283507741843E-2</v>
      </c>
    </row>
    <row r="85" spans="15:25">
      <c r="O85" s="126"/>
    </row>
    <row r="86" spans="15:25">
      <c r="O86" s="126"/>
      <c r="Q86" s="50" t="s">
        <v>367</v>
      </c>
      <c r="R86" s="124" t="s">
        <v>368</v>
      </c>
      <c r="S86" s="124"/>
      <c r="T86" s="124"/>
      <c r="U86" s="51"/>
      <c r="V86" s="50" t="s">
        <v>369</v>
      </c>
      <c r="W86" s="124" t="s">
        <v>370</v>
      </c>
      <c r="X86" s="124"/>
      <c r="Y86" s="124"/>
    </row>
    <row r="87" spans="15:25">
      <c r="O87" s="126"/>
      <c r="Q87" s="39">
        <f t="array" ref="Q87:Q98">MMULT(S73:S84,X73)</f>
        <v>8.3108358252091855E-2</v>
      </c>
      <c r="R87" s="39">
        <f t="array" ref="R87:T98">MMULT(S73:S84,W77:Y77)</f>
        <v>9.5228495167229685E-2</v>
      </c>
      <c r="S87" s="39">
        <v>8.0312080854807621E-2</v>
      </c>
      <c r="T87" s="39">
        <v>-1.1801808873266966E-2</v>
      </c>
      <c r="V87" s="39">
        <f t="array" ref="V87:Y98">V54:Y65-Q87:T98</f>
        <v>0.14032078871911019</v>
      </c>
      <c r="W87" s="39">
        <v>0</v>
      </c>
      <c r="X87" s="39">
        <v>0</v>
      </c>
      <c r="Y87" s="39">
        <v>-1.7347234759768071E-17</v>
      </c>
    </row>
    <row r="88" spans="15:25">
      <c r="O88" s="126"/>
      <c r="Q88" s="39">
        <v>-0.29818277709377389</v>
      </c>
      <c r="R88" s="39">
        <v>-0.34166836819581686</v>
      </c>
      <c r="S88" s="39">
        <v>-0.28815007066829501</v>
      </c>
      <c r="T88" s="39">
        <v>4.2343468437750179E-2</v>
      </c>
      <c r="V88" s="39">
        <v>-0.22930208779659794</v>
      </c>
      <c r="W88" s="39">
        <v>0</v>
      </c>
      <c r="X88" s="39">
        <v>0</v>
      </c>
      <c r="Y88" s="39">
        <v>-1.2490009027033011E-16</v>
      </c>
    </row>
    <row r="89" spans="15:25">
      <c r="O89" s="126"/>
      <c r="Q89" s="39">
        <v>0.23520392065763954</v>
      </c>
      <c r="R89" s="39">
        <v>0.2695049678844515</v>
      </c>
      <c r="S89" s="39">
        <v>0.22729021112324338</v>
      </c>
      <c r="T89" s="39">
        <v>-3.3400151034443534E-2</v>
      </c>
      <c r="V89" s="39">
        <v>-3.5260187860544051E-2</v>
      </c>
      <c r="W89" s="39">
        <v>0</v>
      </c>
      <c r="X89" s="39">
        <v>0</v>
      </c>
      <c r="Y89" s="39">
        <v>9.7144514654701197E-17</v>
      </c>
    </row>
    <row r="90" spans="15:25">
      <c r="O90" s="126"/>
      <c r="Q90" s="39">
        <v>0.13869099784756003</v>
      </c>
      <c r="R90" s="39">
        <v>0.15891704873056139</v>
      </c>
      <c r="S90" s="39">
        <v>0.13402457787916694</v>
      </c>
      <c r="T90" s="39">
        <v>-1.9694825929236607E-2</v>
      </c>
      <c r="V90" s="39">
        <v>-0.19189106239951689</v>
      </c>
      <c r="W90" s="39">
        <v>0</v>
      </c>
      <c r="X90" s="39">
        <v>0</v>
      </c>
      <c r="Y90" s="39">
        <v>-2.7408630920433552E-16</v>
      </c>
    </row>
    <row r="91" spans="15:25">
      <c r="O91" s="126"/>
      <c r="Q91" s="39">
        <v>-7.0759020388201047E-2</v>
      </c>
      <c r="R91" s="39">
        <v>-8.1078187234027169E-2</v>
      </c>
      <c r="S91" s="39">
        <v>-6.8378250829917539E-2</v>
      </c>
      <c r="T91" s="39">
        <v>1.0048140190040753E-2</v>
      </c>
      <c r="V91" s="39">
        <v>-0.20348474645729825</v>
      </c>
      <c r="W91" s="39">
        <v>0</v>
      </c>
      <c r="X91" s="39">
        <v>0</v>
      </c>
      <c r="Y91" s="39">
        <v>0</v>
      </c>
    </row>
    <row r="92" spans="15:25">
      <c r="O92" s="126"/>
      <c r="Q92" s="39">
        <v>7.2306525141959954E-2</v>
      </c>
      <c r="R92" s="39">
        <v>8.2851372892653596E-2</v>
      </c>
      <c r="S92" s="39">
        <v>6.9873687985950589E-2</v>
      </c>
      <c r="T92" s="39">
        <v>-1.0267893722879612E-2</v>
      </c>
      <c r="V92" s="39">
        <v>-9.635222304292812E-2</v>
      </c>
      <c r="W92" s="39">
        <v>0</v>
      </c>
      <c r="X92" s="39">
        <v>0</v>
      </c>
      <c r="Y92" s="39">
        <v>1.0581813203458523E-16</v>
      </c>
    </row>
    <row r="93" spans="15:25">
      <c r="O93" s="126"/>
      <c r="Q93" s="39">
        <v>-0.18180224163980158</v>
      </c>
      <c r="R93" s="39">
        <v>-0.20831543605846173</v>
      </c>
      <c r="S93" s="39">
        <v>-0.1756852937206651</v>
      </c>
      <c r="T93" s="39">
        <v>2.5816841454817576E-2</v>
      </c>
      <c r="V93" s="39">
        <v>0.63796113941740118</v>
      </c>
      <c r="W93" s="39">
        <v>0</v>
      </c>
      <c r="X93" s="39">
        <v>0</v>
      </c>
      <c r="Y93" s="39">
        <v>0</v>
      </c>
    </row>
    <row r="94" spans="15:25">
      <c r="O94" s="126"/>
      <c r="Q94" s="39">
        <v>-3.073945297307077E-2</v>
      </c>
      <c r="R94" s="39">
        <v>-3.5222352004717579E-2</v>
      </c>
      <c r="S94" s="39">
        <v>-2.970518831712907E-2</v>
      </c>
      <c r="T94" s="39">
        <v>4.3651584086950475E-3</v>
      </c>
      <c r="V94" s="39">
        <v>0.44380278032129039</v>
      </c>
      <c r="W94" s="39">
        <v>0</v>
      </c>
      <c r="X94" s="39">
        <v>5.8980598183211441E-17</v>
      </c>
      <c r="Y94" s="39">
        <v>-4.5102810375396984E-17</v>
      </c>
    </row>
    <row r="95" spans="15:25">
      <c r="O95" s="126"/>
      <c r="Q95" s="39">
        <v>-0.16493521333409414</v>
      </c>
      <c r="R95" s="39">
        <v>-0.18898859869484241</v>
      </c>
      <c r="S95" s="39">
        <v>-0.15938577620451672</v>
      </c>
      <c r="T95" s="39">
        <v>2.3421637789259271E-2</v>
      </c>
      <c r="V95" s="39">
        <v>-0.48533073601079069</v>
      </c>
      <c r="W95" s="39">
        <v>0</v>
      </c>
      <c r="X95" s="39">
        <v>0</v>
      </c>
      <c r="Y95" s="39">
        <v>1.0408340855860843E-16</v>
      </c>
    </row>
    <row r="96" spans="15:25">
      <c r="O96" s="126"/>
      <c r="Q96" s="39">
        <v>-8.3381372161738798E-3</v>
      </c>
      <c r="R96" s="39">
        <v>-9.5541324157263855E-3</v>
      </c>
      <c r="S96" s="39">
        <v>-8.0575908893854471E-3</v>
      </c>
      <c r="T96" s="39">
        <v>1.1840578234726654E-3</v>
      </c>
      <c r="V96" s="39">
        <v>-4.989560590968195E-2</v>
      </c>
      <c r="W96" s="39">
        <v>0</v>
      </c>
      <c r="X96" s="39">
        <v>0</v>
      </c>
      <c r="Y96" s="39">
        <v>-1.3682631416767066E-16</v>
      </c>
    </row>
    <row r="97" spans="15:25">
      <c r="O97" s="126"/>
      <c r="Q97" s="39">
        <v>0.20479646148348604</v>
      </c>
      <c r="R97" s="39">
        <v>0.23466302611211806</v>
      </c>
      <c r="S97" s="39">
        <v>0.1979058462874429</v>
      </c>
      <c r="T97" s="39">
        <v>-2.9082137430968279E-2</v>
      </c>
      <c r="V97" s="39">
        <v>-2.6247168602648002E-2</v>
      </c>
      <c r="W97" s="39">
        <v>0</v>
      </c>
      <c r="X97" s="39">
        <v>0</v>
      </c>
      <c r="Y97" s="39">
        <v>0</v>
      </c>
    </row>
    <row r="98" spans="15:25">
      <c r="O98" s="126"/>
      <c r="Q98" s="39">
        <v>2.0650579262371693E-2</v>
      </c>
      <c r="R98" s="39">
        <v>2.3662163816570863E-2</v>
      </c>
      <c r="S98" s="39">
        <v>1.9955766499291476E-2</v>
      </c>
      <c r="T98" s="39">
        <v>-2.9324871132396205E-3</v>
      </c>
      <c r="V98" s="39">
        <v>9.5679109622211586E-2</v>
      </c>
      <c r="W98" s="39">
        <v>7.2858385991025898E-17</v>
      </c>
      <c r="X98" s="39">
        <v>-1.0408340855860843E-16</v>
      </c>
      <c r="Y98" s="39">
        <v>-5.8546917314217239E-17</v>
      </c>
    </row>
    <row r="132" spans="11:13">
      <c r="K132" s="37" t="s">
        <v>371</v>
      </c>
      <c r="L132" s="37">
        <v>0.59623426999999996</v>
      </c>
      <c r="M132" s="37">
        <v>-0.51742783000000003</v>
      </c>
    </row>
    <row r="133" spans="11:13">
      <c r="L133" s="37">
        <v>-0.63297963999999995</v>
      </c>
      <c r="M133" s="37">
        <v>0.35129701000000002</v>
      </c>
    </row>
    <row r="134" spans="11:13">
      <c r="L134" s="37">
        <v>0.50732522999999996</v>
      </c>
      <c r="M134" s="37">
        <v>0.81707275999999995</v>
      </c>
    </row>
  </sheetData>
  <mergeCells count="17">
    <mergeCell ref="O67:O98"/>
    <mergeCell ref="P68:P70"/>
    <mergeCell ref="R86:T86"/>
    <mergeCell ref="W86:Y86"/>
    <mergeCell ref="O34:O65"/>
    <mergeCell ref="P35:P37"/>
    <mergeCell ref="J1:K1"/>
    <mergeCell ref="O1:O32"/>
    <mergeCell ref="C5:E5"/>
    <mergeCell ref="H5:K5"/>
    <mergeCell ref="R20:T20"/>
    <mergeCell ref="W20:Y20"/>
    <mergeCell ref="B43:M43"/>
    <mergeCell ref="A47:B47"/>
    <mergeCell ref="D47:E47"/>
    <mergeCell ref="R53:T53"/>
    <mergeCell ref="W53:Y53"/>
  </mergeCells>
  <phoneticPr fontId="1" type="noConversion"/>
  <pageMargins left="0.7" right="0.7" top="0.75" bottom="0.75" header="0.3" footer="0.3"/>
  <pageSetup paperSize="9" orientation="portrait" r:id="rId1"/>
  <ignoredErrors>
    <ignoredError sqref="A7:A18" formulaRange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1"/>
  <sheetViews>
    <sheetView zoomScale="70" zoomScaleNormal="70" workbookViewId="0">
      <selection activeCell="L2" sqref="L2"/>
    </sheetView>
  </sheetViews>
  <sheetFormatPr defaultRowHeight="17.399999999999999"/>
  <cols>
    <col min="1" max="16384" width="8.796875" style="57"/>
  </cols>
  <sheetData>
    <row r="1" spans="1:12">
      <c r="A1" s="122" t="s">
        <v>555</v>
      </c>
      <c r="B1" s="122"/>
      <c r="D1" s="122" t="s">
        <v>556</v>
      </c>
      <c r="E1" s="122"/>
      <c r="G1" s="122" t="s">
        <v>558</v>
      </c>
      <c r="H1" s="122"/>
      <c r="J1" s="80" t="s">
        <v>559</v>
      </c>
      <c r="L1" s="80" t="s">
        <v>560</v>
      </c>
    </row>
    <row r="2" spans="1:12">
      <c r="A2" s="57">
        <v>0.42</v>
      </c>
      <c r="B2" s="57">
        <v>0.55000000000000004</v>
      </c>
      <c r="D2" s="57">
        <v>1</v>
      </c>
      <c r="E2" s="57">
        <v>-0.77</v>
      </c>
      <c r="G2" s="84">
        <f t="array" ref="G2:H2">MMULT(A2:B2,D10:E11)</f>
        <v>2.0719724883321051</v>
      </c>
      <c r="H2" s="84">
        <v>2.145418816015721</v>
      </c>
      <c r="J2" s="84">
        <f>SUMPRODUCT(A2:B2,G2:H2)</f>
        <v>2.0502087939081308</v>
      </c>
      <c r="L2" s="84">
        <f>J2/2</f>
        <v>1.0251043969540654</v>
      </c>
    </row>
    <row r="3" spans="1:12">
      <c r="D3" s="57">
        <v>-0.77</v>
      </c>
      <c r="E3" s="57">
        <v>1</v>
      </c>
    </row>
    <row r="4" spans="1:12">
      <c r="D4" s="57" t="s">
        <v>561</v>
      </c>
    </row>
    <row r="9" spans="1:12">
      <c r="D9" s="122" t="s">
        <v>557</v>
      </c>
      <c r="E9" s="122"/>
    </row>
    <row r="10" spans="1:12">
      <c r="D10" s="84">
        <f t="array" ref="D10:E11">MINVERSE(D2:E3)</f>
        <v>2.4563989191844757</v>
      </c>
      <c r="E10" s="84">
        <v>1.891427167772046</v>
      </c>
    </row>
    <row r="11" spans="1:12">
      <c r="D11" s="84">
        <v>1.8914271677720462</v>
      </c>
      <c r="E11" s="84">
        <v>2.4563989191844753</v>
      </c>
    </row>
  </sheetData>
  <mergeCells count="4">
    <mergeCell ref="A1:B1"/>
    <mergeCell ref="D9:E9"/>
    <mergeCell ref="G1:H1"/>
    <mergeCell ref="D1:E1"/>
  </mergeCells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08"/>
  <sheetViews>
    <sheetView topLeftCell="F1" zoomScale="85" zoomScaleNormal="85" workbookViewId="0">
      <selection activeCell="I14" sqref="I14"/>
    </sheetView>
  </sheetViews>
  <sheetFormatPr defaultRowHeight="17.399999999999999"/>
  <cols>
    <col min="1" max="1" width="8.3984375" bestFit="1" customWidth="1"/>
    <col min="2" max="2" width="12.3984375" bestFit="1" customWidth="1"/>
    <col min="3" max="3" width="18.8984375" bestFit="1" customWidth="1"/>
    <col min="4" max="5" width="14.3984375" bestFit="1" customWidth="1"/>
    <col min="6" max="6" width="8.59765625" bestFit="1" customWidth="1"/>
    <col min="7" max="8" width="12.3984375" bestFit="1" customWidth="1"/>
    <col min="9" max="9" width="13" bestFit="1" customWidth="1"/>
    <col min="10" max="10" width="8.59765625" bestFit="1" customWidth="1"/>
    <col min="11" max="11" width="12.3984375" bestFit="1" customWidth="1"/>
    <col min="12" max="12" width="8.59765625" bestFit="1" customWidth="1"/>
    <col min="13" max="13" width="12.3984375" bestFit="1" customWidth="1"/>
    <col min="14" max="14" width="8.59765625" bestFit="1" customWidth="1"/>
  </cols>
  <sheetData>
    <row r="1" spans="1:14">
      <c r="A1" s="112" t="s">
        <v>562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97" t="s">
        <v>563</v>
      </c>
    </row>
    <row r="2" spans="1:14">
      <c r="A2" t="s">
        <v>584</v>
      </c>
      <c r="B2" t="s">
        <v>593</v>
      </c>
      <c r="C2" t="s">
        <v>595</v>
      </c>
      <c r="D2" t="s">
        <v>596</v>
      </c>
      <c r="E2" t="s">
        <v>598</v>
      </c>
      <c r="F2" t="s">
        <v>586</v>
      </c>
      <c r="G2" t="s">
        <v>600</v>
      </c>
      <c r="H2" t="s">
        <v>602</v>
      </c>
      <c r="I2" t="s">
        <v>588</v>
      </c>
      <c r="J2" t="s">
        <v>604</v>
      </c>
      <c r="K2" t="s">
        <v>590</v>
      </c>
      <c r="L2" t="s">
        <v>606</v>
      </c>
      <c r="M2" t="s">
        <v>608</v>
      </c>
      <c r="N2" t="s">
        <v>592</v>
      </c>
    </row>
    <row r="3" spans="1:14">
      <c r="A3">
        <v>6.3200000000000001E-3</v>
      </c>
      <c r="B3">
        <v>18</v>
      </c>
      <c r="C3">
        <v>2.31</v>
      </c>
      <c r="D3">
        <v>0</v>
      </c>
      <c r="E3">
        <v>0.53800000000000003</v>
      </c>
      <c r="F3">
        <v>6.5750000000000002</v>
      </c>
      <c r="G3">
        <v>65.2</v>
      </c>
      <c r="H3">
        <v>4.09</v>
      </c>
      <c r="I3">
        <v>1</v>
      </c>
      <c r="J3">
        <v>296</v>
      </c>
      <c r="K3">
        <v>15.3</v>
      </c>
      <c r="L3">
        <v>396.9</v>
      </c>
      <c r="M3">
        <v>4.9800000000000004</v>
      </c>
      <c r="N3">
        <v>24</v>
      </c>
    </row>
    <row r="4" spans="1:14">
      <c r="A4">
        <v>2.7310000000000001E-2</v>
      </c>
      <c r="B4">
        <v>0</v>
      </c>
      <c r="C4">
        <v>7.07</v>
      </c>
      <c r="D4">
        <v>0</v>
      </c>
      <c r="E4">
        <v>0.46899999999999997</v>
      </c>
      <c r="F4">
        <v>6.4210000000000003</v>
      </c>
      <c r="G4">
        <v>78.900000000000006</v>
      </c>
      <c r="H4">
        <v>4.9671000000000003</v>
      </c>
      <c r="I4">
        <v>2</v>
      </c>
      <c r="J4">
        <v>242</v>
      </c>
      <c r="K4">
        <v>17.8</v>
      </c>
      <c r="L4">
        <v>396.9</v>
      </c>
      <c r="M4">
        <v>9.14</v>
      </c>
      <c r="N4">
        <v>21.6</v>
      </c>
    </row>
    <row r="5" spans="1:14">
      <c r="A5">
        <v>2.7289999999999998E-2</v>
      </c>
      <c r="B5">
        <v>0</v>
      </c>
      <c r="C5">
        <v>7.07</v>
      </c>
      <c r="D5">
        <v>0</v>
      </c>
      <c r="E5">
        <v>0.46899999999999997</v>
      </c>
      <c r="F5">
        <v>7.1849999999999996</v>
      </c>
      <c r="G5">
        <v>61.1</v>
      </c>
      <c r="H5">
        <v>4.9671000000000003</v>
      </c>
      <c r="I5">
        <v>2</v>
      </c>
      <c r="J5">
        <v>242</v>
      </c>
      <c r="K5">
        <v>17.8</v>
      </c>
      <c r="L5">
        <v>392.83</v>
      </c>
      <c r="M5">
        <v>4.03</v>
      </c>
      <c r="N5">
        <v>34.700000000000003</v>
      </c>
    </row>
    <row r="6" spans="1:14">
      <c r="A6">
        <v>3.2370000000000003E-2</v>
      </c>
      <c r="B6">
        <v>0</v>
      </c>
      <c r="C6">
        <v>2.1800000000000002</v>
      </c>
      <c r="D6">
        <v>0</v>
      </c>
      <c r="E6">
        <v>0.45800000000000002</v>
      </c>
      <c r="F6">
        <v>6.9980000000000002</v>
      </c>
      <c r="G6">
        <v>45.8</v>
      </c>
      <c r="H6">
        <v>6.0621999999999998</v>
      </c>
      <c r="I6">
        <v>3</v>
      </c>
      <c r="J6">
        <v>222</v>
      </c>
      <c r="K6">
        <v>18.7</v>
      </c>
      <c r="L6">
        <v>394.63</v>
      </c>
      <c r="M6">
        <v>2.94</v>
      </c>
      <c r="N6">
        <v>33.4</v>
      </c>
    </row>
    <row r="7" spans="1:14">
      <c r="A7">
        <v>6.905E-2</v>
      </c>
      <c r="B7">
        <v>0</v>
      </c>
      <c r="C7">
        <v>2.1800000000000002</v>
      </c>
      <c r="D7">
        <v>0</v>
      </c>
      <c r="E7">
        <v>0.45800000000000002</v>
      </c>
      <c r="F7">
        <v>7.1470000000000002</v>
      </c>
      <c r="G7">
        <v>54.2</v>
      </c>
      <c r="H7">
        <v>6.0621999999999998</v>
      </c>
      <c r="I7">
        <v>3</v>
      </c>
      <c r="J7">
        <v>222</v>
      </c>
      <c r="K7">
        <v>18.7</v>
      </c>
      <c r="L7">
        <v>396.9</v>
      </c>
      <c r="M7">
        <v>5.33</v>
      </c>
      <c r="N7">
        <v>36.200000000000003</v>
      </c>
    </row>
    <row r="8" spans="1:14">
      <c r="A8">
        <v>2.9850000000000002E-2</v>
      </c>
      <c r="B8">
        <v>0</v>
      </c>
      <c r="C8">
        <v>2.1800000000000002</v>
      </c>
      <c r="D8">
        <v>0</v>
      </c>
      <c r="E8">
        <v>0.45800000000000002</v>
      </c>
      <c r="F8">
        <v>6.43</v>
      </c>
      <c r="G8">
        <v>58.7</v>
      </c>
      <c r="H8">
        <v>6.0621999999999998</v>
      </c>
      <c r="I8">
        <v>3</v>
      </c>
      <c r="J8">
        <v>222</v>
      </c>
      <c r="K8">
        <v>18.7</v>
      </c>
      <c r="L8">
        <v>394.12</v>
      </c>
      <c r="M8">
        <v>5.21</v>
      </c>
      <c r="N8">
        <v>28.7</v>
      </c>
    </row>
    <row r="9" spans="1:14">
      <c r="A9">
        <v>8.8289999999999993E-2</v>
      </c>
      <c r="B9">
        <v>12.5</v>
      </c>
      <c r="C9">
        <v>7.87</v>
      </c>
      <c r="D9">
        <v>0</v>
      </c>
      <c r="E9">
        <v>0.52400000000000002</v>
      </c>
      <c r="F9">
        <v>6.0119999999999996</v>
      </c>
      <c r="G9">
        <v>66.599999999999994</v>
      </c>
      <c r="H9">
        <v>5.5605000000000002</v>
      </c>
      <c r="I9">
        <v>5</v>
      </c>
      <c r="J9">
        <v>311</v>
      </c>
      <c r="K9">
        <v>15.2</v>
      </c>
      <c r="L9">
        <v>395.6</v>
      </c>
      <c r="M9">
        <v>12.43</v>
      </c>
      <c r="N9">
        <v>22.9</v>
      </c>
    </row>
    <row r="10" spans="1:14">
      <c r="A10">
        <v>0.14455000000000001</v>
      </c>
      <c r="B10">
        <v>12.5</v>
      </c>
      <c r="C10">
        <v>7.87</v>
      </c>
      <c r="D10">
        <v>0</v>
      </c>
      <c r="E10">
        <v>0.52400000000000002</v>
      </c>
      <c r="F10">
        <v>6.1719999999999997</v>
      </c>
      <c r="G10">
        <v>96.1</v>
      </c>
      <c r="H10">
        <v>5.9504999999999999</v>
      </c>
      <c r="I10">
        <v>5</v>
      </c>
      <c r="J10">
        <v>311</v>
      </c>
      <c r="K10">
        <v>15.2</v>
      </c>
      <c r="L10">
        <v>396.9</v>
      </c>
      <c r="M10">
        <v>19.149999999999999</v>
      </c>
      <c r="N10">
        <v>27.1</v>
      </c>
    </row>
    <row r="11" spans="1:14">
      <c r="A11">
        <v>0.21124000000000001</v>
      </c>
      <c r="B11">
        <v>12.5</v>
      </c>
      <c r="C11">
        <v>7.87</v>
      </c>
      <c r="D11">
        <v>0</v>
      </c>
      <c r="E11">
        <v>0.52400000000000002</v>
      </c>
      <c r="F11">
        <v>5.6310000000000002</v>
      </c>
      <c r="G11">
        <v>100</v>
      </c>
      <c r="H11">
        <v>6.0820999999999996</v>
      </c>
      <c r="I11">
        <v>5</v>
      </c>
      <c r="J11">
        <v>311</v>
      </c>
      <c r="K11">
        <v>15.2</v>
      </c>
      <c r="L11">
        <v>386.63</v>
      </c>
      <c r="M11">
        <v>29.93</v>
      </c>
      <c r="N11">
        <v>16.5</v>
      </c>
    </row>
    <row r="12" spans="1:14">
      <c r="A12">
        <v>0.17004</v>
      </c>
      <c r="B12">
        <v>12.5</v>
      </c>
      <c r="C12">
        <v>7.87</v>
      </c>
      <c r="D12">
        <v>0</v>
      </c>
      <c r="E12">
        <v>0.52400000000000002</v>
      </c>
      <c r="F12">
        <v>6.0039999999999996</v>
      </c>
      <c r="G12">
        <v>85.9</v>
      </c>
      <c r="H12">
        <v>6.5921000000000003</v>
      </c>
      <c r="I12">
        <v>5</v>
      </c>
      <c r="J12">
        <v>311</v>
      </c>
      <c r="K12">
        <v>15.2</v>
      </c>
      <c r="L12">
        <v>386.71</v>
      </c>
      <c r="M12">
        <v>17.100000000000001</v>
      </c>
      <c r="N12">
        <v>18.899999999999999</v>
      </c>
    </row>
    <row r="13" spans="1:14">
      <c r="A13">
        <v>0.22489000000000001</v>
      </c>
      <c r="B13">
        <v>12.5</v>
      </c>
      <c r="C13">
        <v>7.87</v>
      </c>
      <c r="D13">
        <v>0</v>
      </c>
      <c r="E13">
        <v>0.52400000000000002</v>
      </c>
      <c r="F13">
        <v>6.3769999999999998</v>
      </c>
      <c r="G13">
        <v>94.3</v>
      </c>
      <c r="H13">
        <v>6.3467000000000002</v>
      </c>
      <c r="I13">
        <v>5</v>
      </c>
      <c r="J13">
        <v>311</v>
      </c>
      <c r="K13">
        <v>15.2</v>
      </c>
      <c r="L13">
        <v>392.52</v>
      </c>
      <c r="M13">
        <v>20.45</v>
      </c>
      <c r="N13">
        <v>15</v>
      </c>
    </row>
    <row r="14" spans="1:14">
      <c r="A14">
        <v>0.11747</v>
      </c>
      <c r="B14">
        <v>12.5</v>
      </c>
      <c r="C14">
        <v>7.87</v>
      </c>
      <c r="D14">
        <v>0</v>
      </c>
      <c r="E14">
        <v>0.52400000000000002</v>
      </c>
      <c r="F14">
        <v>6.0090000000000003</v>
      </c>
      <c r="G14">
        <v>82.9</v>
      </c>
      <c r="H14">
        <v>6.2267000000000001</v>
      </c>
      <c r="I14">
        <v>5</v>
      </c>
      <c r="J14">
        <v>311</v>
      </c>
      <c r="K14">
        <v>15.2</v>
      </c>
      <c r="L14">
        <v>396.9</v>
      </c>
      <c r="M14">
        <v>13.27</v>
      </c>
      <c r="N14">
        <v>18.899999999999999</v>
      </c>
    </row>
    <row r="15" spans="1:14">
      <c r="A15">
        <v>9.3780000000000002E-2</v>
      </c>
      <c r="B15">
        <v>12.5</v>
      </c>
      <c r="C15">
        <v>7.87</v>
      </c>
      <c r="D15">
        <v>0</v>
      </c>
      <c r="E15">
        <v>0.52400000000000002</v>
      </c>
      <c r="F15">
        <v>5.8890000000000002</v>
      </c>
      <c r="G15">
        <v>39</v>
      </c>
      <c r="H15">
        <v>5.4508999999999999</v>
      </c>
      <c r="I15">
        <v>5</v>
      </c>
      <c r="J15">
        <v>311</v>
      </c>
      <c r="K15">
        <v>15.2</v>
      </c>
      <c r="L15">
        <v>390.5</v>
      </c>
      <c r="M15">
        <v>15.71</v>
      </c>
      <c r="N15">
        <v>21.7</v>
      </c>
    </row>
    <row r="16" spans="1:14">
      <c r="A16">
        <v>0.62975999999999999</v>
      </c>
      <c r="B16">
        <v>0</v>
      </c>
      <c r="C16">
        <v>8.14</v>
      </c>
      <c r="D16">
        <v>0</v>
      </c>
      <c r="E16">
        <v>0.53800000000000003</v>
      </c>
      <c r="F16">
        <v>5.9489999999999998</v>
      </c>
      <c r="G16">
        <v>61.8</v>
      </c>
      <c r="H16">
        <v>4.7074999999999996</v>
      </c>
      <c r="I16">
        <v>4</v>
      </c>
      <c r="J16">
        <v>307</v>
      </c>
      <c r="K16">
        <v>21</v>
      </c>
      <c r="L16">
        <v>396.9</v>
      </c>
      <c r="M16">
        <v>8.26</v>
      </c>
      <c r="N16">
        <v>20.399999999999999</v>
      </c>
    </row>
    <row r="17" spans="1:14">
      <c r="A17">
        <v>0.63795999999999997</v>
      </c>
      <c r="B17">
        <v>0</v>
      </c>
      <c r="C17">
        <v>8.14</v>
      </c>
      <c r="D17">
        <v>0</v>
      </c>
      <c r="E17">
        <v>0.53800000000000003</v>
      </c>
      <c r="F17">
        <v>6.0960000000000001</v>
      </c>
      <c r="G17">
        <v>84.5</v>
      </c>
      <c r="H17">
        <v>4.4619</v>
      </c>
      <c r="I17">
        <v>4</v>
      </c>
      <c r="J17">
        <v>307</v>
      </c>
      <c r="K17">
        <v>21</v>
      </c>
      <c r="L17">
        <v>380.02</v>
      </c>
      <c r="M17">
        <v>10.26</v>
      </c>
      <c r="N17">
        <v>18.2</v>
      </c>
    </row>
    <row r="18" spans="1:14">
      <c r="A18">
        <v>0.62739</v>
      </c>
      <c r="B18">
        <v>0</v>
      </c>
      <c r="C18">
        <v>8.14</v>
      </c>
      <c r="D18">
        <v>0</v>
      </c>
      <c r="E18">
        <v>0.53800000000000003</v>
      </c>
      <c r="F18">
        <v>5.8339999999999996</v>
      </c>
      <c r="G18">
        <v>56.5</v>
      </c>
      <c r="H18">
        <v>4.4985999999999997</v>
      </c>
      <c r="I18">
        <v>4</v>
      </c>
      <c r="J18">
        <v>307</v>
      </c>
      <c r="K18">
        <v>21</v>
      </c>
      <c r="L18">
        <v>395.62</v>
      </c>
      <c r="M18">
        <v>8.4700000000000006</v>
      </c>
      <c r="N18">
        <v>19.899999999999999</v>
      </c>
    </row>
    <row r="19" spans="1:14">
      <c r="A19">
        <v>1.05393</v>
      </c>
      <c r="B19">
        <v>0</v>
      </c>
      <c r="C19">
        <v>8.14</v>
      </c>
      <c r="D19">
        <v>0</v>
      </c>
      <c r="E19">
        <v>0.53800000000000003</v>
      </c>
      <c r="F19">
        <v>5.9349999999999996</v>
      </c>
      <c r="G19">
        <v>29.3</v>
      </c>
      <c r="H19">
        <v>4.4985999999999997</v>
      </c>
      <c r="I19">
        <v>4</v>
      </c>
      <c r="J19">
        <v>307</v>
      </c>
      <c r="K19">
        <v>21</v>
      </c>
      <c r="L19">
        <v>386.85</v>
      </c>
      <c r="M19">
        <v>6.58</v>
      </c>
      <c r="N19">
        <v>23.1</v>
      </c>
    </row>
    <row r="20" spans="1:14">
      <c r="A20">
        <v>0.78420000000000001</v>
      </c>
      <c r="B20">
        <v>0</v>
      </c>
      <c r="C20">
        <v>8.14</v>
      </c>
      <c r="D20">
        <v>0</v>
      </c>
      <c r="E20">
        <v>0.53800000000000003</v>
      </c>
      <c r="F20">
        <v>5.99</v>
      </c>
      <c r="G20">
        <v>81.7</v>
      </c>
      <c r="H20">
        <v>4.2579000000000002</v>
      </c>
      <c r="I20">
        <v>4</v>
      </c>
      <c r="J20">
        <v>307</v>
      </c>
      <c r="K20">
        <v>21</v>
      </c>
      <c r="L20">
        <v>386.75</v>
      </c>
      <c r="M20">
        <v>14.67</v>
      </c>
      <c r="N20">
        <v>17.5</v>
      </c>
    </row>
    <row r="21" spans="1:14">
      <c r="A21">
        <v>0.80271000000000003</v>
      </c>
      <c r="B21">
        <v>0</v>
      </c>
      <c r="C21">
        <v>8.14</v>
      </c>
      <c r="D21">
        <v>0</v>
      </c>
      <c r="E21">
        <v>0.53800000000000003</v>
      </c>
      <c r="F21">
        <v>5.4560000000000004</v>
      </c>
      <c r="G21">
        <v>36.6</v>
      </c>
      <c r="H21">
        <v>3.7965</v>
      </c>
      <c r="I21">
        <v>4</v>
      </c>
      <c r="J21">
        <v>307</v>
      </c>
      <c r="K21">
        <v>21</v>
      </c>
      <c r="L21">
        <v>288.99</v>
      </c>
      <c r="M21">
        <v>11.69</v>
      </c>
      <c r="N21">
        <v>20.2</v>
      </c>
    </row>
    <row r="22" spans="1:14">
      <c r="A22">
        <v>0.7258</v>
      </c>
      <c r="B22">
        <v>0</v>
      </c>
      <c r="C22">
        <v>8.14</v>
      </c>
      <c r="D22">
        <v>0</v>
      </c>
      <c r="E22">
        <v>0.53800000000000003</v>
      </c>
      <c r="F22">
        <v>5.7270000000000003</v>
      </c>
      <c r="G22">
        <v>69.5</v>
      </c>
      <c r="H22">
        <v>3.7965</v>
      </c>
      <c r="I22">
        <v>4</v>
      </c>
      <c r="J22">
        <v>307</v>
      </c>
      <c r="K22">
        <v>21</v>
      </c>
      <c r="L22">
        <v>390.95</v>
      </c>
      <c r="M22">
        <v>11.28</v>
      </c>
      <c r="N22">
        <v>18.2</v>
      </c>
    </row>
    <row r="23" spans="1:14">
      <c r="A23">
        <v>1.25179</v>
      </c>
      <c r="B23">
        <v>0</v>
      </c>
      <c r="C23">
        <v>8.14</v>
      </c>
      <c r="D23">
        <v>0</v>
      </c>
      <c r="E23">
        <v>0.53800000000000003</v>
      </c>
      <c r="F23">
        <v>5.57</v>
      </c>
      <c r="G23">
        <v>98.1</v>
      </c>
      <c r="H23">
        <v>3.7978999999999998</v>
      </c>
      <c r="I23">
        <v>4</v>
      </c>
      <c r="J23">
        <v>307</v>
      </c>
      <c r="K23">
        <v>21</v>
      </c>
      <c r="L23">
        <v>376.57</v>
      </c>
      <c r="M23">
        <v>21.02</v>
      </c>
      <c r="N23">
        <v>13.6</v>
      </c>
    </row>
    <row r="24" spans="1:14">
      <c r="A24">
        <v>0.85204000000000002</v>
      </c>
      <c r="B24">
        <v>0</v>
      </c>
      <c r="C24">
        <v>8.14</v>
      </c>
      <c r="D24">
        <v>0</v>
      </c>
      <c r="E24">
        <v>0.53800000000000003</v>
      </c>
      <c r="F24">
        <v>5.9649999999999999</v>
      </c>
      <c r="G24">
        <v>89.2</v>
      </c>
      <c r="H24">
        <v>4.0122999999999998</v>
      </c>
      <c r="I24">
        <v>4</v>
      </c>
      <c r="J24">
        <v>307</v>
      </c>
      <c r="K24">
        <v>21</v>
      </c>
      <c r="L24">
        <v>392.53</v>
      </c>
      <c r="M24">
        <v>13.83</v>
      </c>
      <c r="N24">
        <v>19.600000000000001</v>
      </c>
    </row>
    <row r="25" spans="1:14">
      <c r="A25">
        <v>1.23247</v>
      </c>
      <c r="B25">
        <v>0</v>
      </c>
      <c r="C25">
        <v>8.14</v>
      </c>
      <c r="D25">
        <v>0</v>
      </c>
      <c r="E25">
        <v>0.53800000000000003</v>
      </c>
      <c r="F25">
        <v>6.1420000000000003</v>
      </c>
      <c r="G25">
        <v>91.7</v>
      </c>
      <c r="H25">
        <v>3.9769000000000001</v>
      </c>
      <c r="I25">
        <v>4</v>
      </c>
      <c r="J25">
        <v>307</v>
      </c>
      <c r="K25">
        <v>21</v>
      </c>
      <c r="L25">
        <v>396.9</v>
      </c>
      <c r="M25">
        <v>18.72</v>
      </c>
      <c r="N25">
        <v>15.2</v>
      </c>
    </row>
    <row r="26" spans="1:14">
      <c r="A26">
        <v>0.98843000000000003</v>
      </c>
      <c r="B26">
        <v>0</v>
      </c>
      <c r="C26">
        <v>8.14</v>
      </c>
      <c r="D26">
        <v>0</v>
      </c>
      <c r="E26">
        <v>0.53800000000000003</v>
      </c>
      <c r="F26">
        <v>5.8129999999999997</v>
      </c>
      <c r="G26">
        <v>100</v>
      </c>
      <c r="H26">
        <v>4.0952000000000002</v>
      </c>
      <c r="I26">
        <v>4</v>
      </c>
      <c r="J26">
        <v>307</v>
      </c>
      <c r="K26">
        <v>21</v>
      </c>
      <c r="L26">
        <v>394.54</v>
      </c>
      <c r="M26">
        <v>19.88</v>
      </c>
      <c r="N26">
        <v>14.5</v>
      </c>
    </row>
    <row r="27" spans="1:14">
      <c r="A27">
        <v>0.75026000000000004</v>
      </c>
      <c r="B27">
        <v>0</v>
      </c>
      <c r="C27">
        <v>8.14</v>
      </c>
      <c r="D27">
        <v>0</v>
      </c>
      <c r="E27">
        <v>0.53800000000000003</v>
      </c>
      <c r="F27">
        <v>5.9240000000000004</v>
      </c>
      <c r="G27">
        <v>94.1</v>
      </c>
      <c r="H27">
        <v>4.3996000000000004</v>
      </c>
      <c r="I27">
        <v>4</v>
      </c>
      <c r="J27">
        <v>307</v>
      </c>
      <c r="K27">
        <v>21</v>
      </c>
      <c r="L27">
        <v>394.33</v>
      </c>
      <c r="M27">
        <v>16.3</v>
      </c>
      <c r="N27">
        <v>15.6</v>
      </c>
    </row>
    <row r="28" spans="1:14">
      <c r="A28">
        <v>0.84053999999999995</v>
      </c>
      <c r="B28">
        <v>0</v>
      </c>
      <c r="C28">
        <v>8.14</v>
      </c>
      <c r="D28">
        <v>0</v>
      </c>
      <c r="E28">
        <v>0.53800000000000003</v>
      </c>
      <c r="F28">
        <v>5.5990000000000002</v>
      </c>
      <c r="G28">
        <v>85.7</v>
      </c>
      <c r="H28">
        <v>4.4546000000000001</v>
      </c>
      <c r="I28">
        <v>4</v>
      </c>
      <c r="J28">
        <v>307</v>
      </c>
      <c r="K28">
        <v>21</v>
      </c>
      <c r="L28">
        <v>303.42</v>
      </c>
      <c r="M28">
        <v>16.510000000000002</v>
      </c>
      <c r="N28">
        <v>13.9</v>
      </c>
    </row>
    <row r="29" spans="1:14">
      <c r="A29">
        <v>0.67191000000000001</v>
      </c>
      <c r="B29">
        <v>0</v>
      </c>
      <c r="C29">
        <v>8.14</v>
      </c>
      <c r="D29">
        <v>0</v>
      </c>
      <c r="E29">
        <v>0.53800000000000003</v>
      </c>
      <c r="F29">
        <v>5.8129999999999997</v>
      </c>
      <c r="G29">
        <v>90.3</v>
      </c>
      <c r="H29">
        <v>4.6820000000000004</v>
      </c>
      <c r="I29">
        <v>4</v>
      </c>
      <c r="J29">
        <v>307</v>
      </c>
      <c r="K29">
        <v>21</v>
      </c>
      <c r="L29">
        <v>376.88</v>
      </c>
      <c r="M29">
        <v>14.81</v>
      </c>
      <c r="N29">
        <v>16.600000000000001</v>
      </c>
    </row>
    <row r="30" spans="1:14">
      <c r="A30">
        <v>0.95577000000000001</v>
      </c>
      <c r="B30">
        <v>0</v>
      </c>
      <c r="C30">
        <v>8.14</v>
      </c>
      <c r="D30">
        <v>0</v>
      </c>
      <c r="E30">
        <v>0.53800000000000003</v>
      </c>
      <c r="F30">
        <v>6.0469999999999997</v>
      </c>
      <c r="G30">
        <v>88.8</v>
      </c>
      <c r="H30">
        <v>4.4534000000000002</v>
      </c>
      <c r="I30">
        <v>4</v>
      </c>
      <c r="J30">
        <v>307</v>
      </c>
      <c r="K30">
        <v>21</v>
      </c>
      <c r="L30">
        <v>306.38</v>
      </c>
      <c r="M30">
        <v>17.28</v>
      </c>
      <c r="N30">
        <v>14.8</v>
      </c>
    </row>
    <row r="31" spans="1:14">
      <c r="A31">
        <v>0.77298999999999995</v>
      </c>
      <c r="B31">
        <v>0</v>
      </c>
      <c r="C31">
        <v>8.14</v>
      </c>
      <c r="D31">
        <v>0</v>
      </c>
      <c r="E31">
        <v>0.53800000000000003</v>
      </c>
      <c r="F31">
        <v>6.4950000000000001</v>
      </c>
      <c r="G31">
        <v>94.4</v>
      </c>
      <c r="H31">
        <v>4.4546999999999999</v>
      </c>
      <c r="I31">
        <v>4</v>
      </c>
      <c r="J31">
        <v>307</v>
      </c>
      <c r="K31">
        <v>21</v>
      </c>
      <c r="L31">
        <v>387.94</v>
      </c>
      <c r="M31">
        <v>12.8</v>
      </c>
      <c r="N31">
        <v>18.399999999999999</v>
      </c>
    </row>
    <row r="32" spans="1:14">
      <c r="A32">
        <v>1.0024500000000001</v>
      </c>
      <c r="B32">
        <v>0</v>
      </c>
      <c r="C32">
        <v>8.14</v>
      </c>
      <c r="D32">
        <v>0</v>
      </c>
      <c r="E32">
        <v>0.53800000000000003</v>
      </c>
      <c r="F32">
        <v>6.6740000000000004</v>
      </c>
      <c r="G32">
        <v>87.3</v>
      </c>
      <c r="H32">
        <v>4.2389999999999999</v>
      </c>
      <c r="I32">
        <v>4</v>
      </c>
      <c r="J32">
        <v>307</v>
      </c>
      <c r="K32">
        <v>21</v>
      </c>
      <c r="L32">
        <v>380.23</v>
      </c>
      <c r="M32">
        <v>11.98</v>
      </c>
      <c r="N32">
        <v>21</v>
      </c>
    </row>
    <row r="33" spans="1:14">
      <c r="A33">
        <v>1.1308100000000001</v>
      </c>
      <c r="B33">
        <v>0</v>
      </c>
      <c r="C33">
        <v>8.14</v>
      </c>
      <c r="D33">
        <v>0</v>
      </c>
      <c r="E33">
        <v>0.53800000000000003</v>
      </c>
      <c r="F33">
        <v>5.7130000000000001</v>
      </c>
      <c r="G33">
        <v>94.1</v>
      </c>
      <c r="H33">
        <v>4.2329999999999997</v>
      </c>
      <c r="I33">
        <v>4</v>
      </c>
      <c r="J33">
        <v>307</v>
      </c>
      <c r="K33">
        <v>21</v>
      </c>
      <c r="L33">
        <v>360.17</v>
      </c>
      <c r="M33">
        <v>22.6</v>
      </c>
      <c r="N33">
        <v>12.7</v>
      </c>
    </row>
    <row r="34" spans="1:14">
      <c r="A34">
        <v>1.3547199999999999</v>
      </c>
      <c r="B34">
        <v>0</v>
      </c>
      <c r="C34">
        <v>8.14</v>
      </c>
      <c r="D34">
        <v>0</v>
      </c>
      <c r="E34">
        <v>0.53800000000000003</v>
      </c>
      <c r="F34">
        <v>6.0720000000000001</v>
      </c>
      <c r="G34">
        <v>100</v>
      </c>
      <c r="H34">
        <v>4.1749999999999998</v>
      </c>
      <c r="I34">
        <v>4</v>
      </c>
      <c r="J34">
        <v>307</v>
      </c>
      <c r="K34">
        <v>21</v>
      </c>
      <c r="L34">
        <v>376.73</v>
      </c>
      <c r="M34">
        <v>13.04</v>
      </c>
      <c r="N34">
        <v>14.5</v>
      </c>
    </row>
    <row r="35" spans="1:14">
      <c r="A35">
        <v>1.3879900000000001</v>
      </c>
      <c r="B35">
        <v>0</v>
      </c>
      <c r="C35">
        <v>8.14</v>
      </c>
      <c r="D35">
        <v>0</v>
      </c>
      <c r="E35">
        <v>0.53800000000000003</v>
      </c>
      <c r="F35">
        <v>5.95</v>
      </c>
      <c r="G35">
        <v>82</v>
      </c>
      <c r="H35">
        <v>3.99</v>
      </c>
      <c r="I35">
        <v>4</v>
      </c>
      <c r="J35">
        <v>307</v>
      </c>
      <c r="K35">
        <v>21</v>
      </c>
      <c r="L35">
        <v>232.6</v>
      </c>
      <c r="M35">
        <v>27.71</v>
      </c>
      <c r="N35">
        <v>13.2</v>
      </c>
    </row>
    <row r="36" spans="1:14">
      <c r="A36">
        <v>1.1517200000000001</v>
      </c>
      <c r="B36">
        <v>0</v>
      </c>
      <c r="C36">
        <v>8.14</v>
      </c>
      <c r="D36">
        <v>0</v>
      </c>
      <c r="E36">
        <v>0.53800000000000003</v>
      </c>
      <c r="F36">
        <v>5.7009999999999996</v>
      </c>
      <c r="G36">
        <v>95</v>
      </c>
      <c r="H36">
        <v>3.7871999999999999</v>
      </c>
      <c r="I36">
        <v>4</v>
      </c>
      <c r="J36">
        <v>307</v>
      </c>
      <c r="K36">
        <v>21</v>
      </c>
      <c r="L36">
        <v>358.77</v>
      </c>
      <c r="M36">
        <v>18.350000000000001</v>
      </c>
      <c r="N36">
        <v>13.1</v>
      </c>
    </row>
    <row r="37" spans="1:14">
      <c r="A37">
        <v>1.6128199999999999</v>
      </c>
      <c r="B37">
        <v>0</v>
      </c>
      <c r="C37">
        <v>8.14</v>
      </c>
      <c r="D37">
        <v>0</v>
      </c>
      <c r="E37">
        <v>0.53800000000000003</v>
      </c>
      <c r="F37">
        <v>6.0960000000000001</v>
      </c>
      <c r="G37">
        <v>96.9</v>
      </c>
      <c r="H37">
        <v>3.7597999999999998</v>
      </c>
      <c r="I37">
        <v>4</v>
      </c>
      <c r="J37">
        <v>307</v>
      </c>
      <c r="K37">
        <v>21</v>
      </c>
      <c r="L37">
        <v>248.31</v>
      </c>
      <c r="M37">
        <v>20.34</v>
      </c>
      <c r="N37">
        <v>13.5</v>
      </c>
    </row>
    <row r="38" spans="1:14">
      <c r="A38">
        <v>6.4170000000000005E-2</v>
      </c>
      <c r="B38">
        <v>0</v>
      </c>
      <c r="C38">
        <v>5.96</v>
      </c>
      <c r="D38">
        <v>0</v>
      </c>
      <c r="E38">
        <v>0.499</v>
      </c>
      <c r="F38">
        <v>5.9329999999999998</v>
      </c>
      <c r="G38">
        <v>68.2</v>
      </c>
      <c r="H38">
        <v>3.3603000000000001</v>
      </c>
      <c r="I38">
        <v>5</v>
      </c>
      <c r="J38">
        <v>279</v>
      </c>
      <c r="K38">
        <v>19.2</v>
      </c>
      <c r="L38">
        <v>396.9</v>
      </c>
      <c r="M38">
        <v>9.68</v>
      </c>
      <c r="N38">
        <v>18.899999999999999</v>
      </c>
    </row>
    <row r="39" spans="1:14">
      <c r="A39">
        <v>9.7439999999999999E-2</v>
      </c>
      <c r="B39">
        <v>0</v>
      </c>
      <c r="C39">
        <v>5.96</v>
      </c>
      <c r="D39">
        <v>0</v>
      </c>
      <c r="E39">
        <v>0.499</v>
      </c>
      <c r="F39">
        <v>5.8410000000000002</v>
      </c>
      <c r="G39">
        <v>61.4</v>
      </c>
      <c r="H39">
        <v>3.3778999999999999</v>
      </c>
      <c r="I39">
        <v>5</v>
      </c>
      <c r="J39">
        <v>279</v>
      </c>
      <c r="K39">
        <v>19.2</v>
      </c>
      <c r="L39">
        <v>377.56</v>
      </c>
      <c r="M39">
        <v>11.41</v>
      </c>
      <c r="N39">
        <v>20</v>
      </c>
    </row>
    <row r="40" spans="1:14">
      <c r="A40">
        <v>8.0140000000000003E-2</v>
      </c>
      <c r="B40">
        <v>0</v>
      </c>
      <c r="C40">
        <v>5.96</v>
      </c>
      <c r="D40">
        <v>0</v>
      </c>
      <c r="E40">
        <v>0.499</v>
      </c>
      <c r="F40">
        <v>5.85</v>
      </c>
      <c r="G40">
        <v>41.5</v>
      </c>
      <c r="H40">
        <v>3.9342000000000001</v>
      </c>
      <c r="I40">
        <v>5</v>
      </c>
      <c r="J40">
        <v>279</v>
      </c>
      <c r="K40">
        <v>19.2</v>
      </c>
      <c r="L40">
        <v>396.9</v>
      </c>
      <c r="M40">
        <v>8.77</v>
      </c>
      <c r="N40">
        <v>21</v>
      </c>
    </row>
    <row r="41" spans="1:14">
      <c r="A41">
        <v>0.17505000000000001</v>
      </c>
      <c r="B41">
        <v>0</v>
      </c>
      <c r="C41">
        <v>5.96</v>
      </c>
      <c r="D41">
        <v>0</v>
      </c>
      <c r="E41">
        <v>0.499</v>
      </c>
      <c r="F41">
        <v>5.9660000000000002</v>
      </c>
      <c r="G41">
        <v>30.2</v>
      </c>
      <c r="H41">
        <v>3.8473000000000002</v>
      </c>
      <c r="I41">
        <v>5</v>
      </c>
      <c r="J41">
        <v>279</v>
      </c>
      <c r="K41">
        <v>19.2</v>
      </c>
      <c r="L41">
        <v>393.43</v>
      </c>
      <c r="M41">
        <v>10.130000000000001</v>
      </c>
      <c r="N41">
        <v>24.7</v>
      </c>
    </row>
    <row r="42" spans="1:14">
      <c r="A42">
        <v>2.7629999999999998E-2</v>
      </c>
      <c r="B42">
        <v>75</v>
      </c>
      <c r="C42">
        <v>2.95</v>
      </c>
      <c r="D42">
        <v>0</v>
      </c>
      <c r="E42">
        <v>0.42799999999999999</v>
      </c>
      <c r="F42">
        <v>6.5949999999999998</v>
      </c>
      <c r="G42">
        <v>21.8</v>
      </c>
      <c r="H42">
        <v>5.4010999999999996</v>
      </c>
      <c r="I42">
        <v>3</v>
      </c>
      <c r="J42">
        <v>252</v>
      </c>
      <c r="K42">
        <v>18.3</v>
      </c>
      <c r="L42">
        <v>395.63</v>
      </c>
      <c r="M42">
        <v>4.32</v>
      </c>
      <c r="N42">
        <v>30.8</v>
      </c>
    </row>
    <row r="43" spans="1:14">
      <c r="A43">
        <v>3.3590000000000002E-2</v>
      </c>
      <c r="B43">
        <v>75</v>
      </c>
      <c r="C43">
        <v>2.95</v>
      </c>
      <c r="D43">
        <v>0</v>
      </c>
      <c r="E43">
        <v>0.42799999999999999</v>
      </c>
      <c r="F43">
        <v>7.024</v>
      </c>
      <c r="G43">
        <v>15.8</v>
      </c>
      <c r="H43">
        <v>5.4010999999999996</v>
      </c>
      <c r="I43">
        <v>3</v>
      </c>
      <c r="J43">
        <v>252</v>
      </c>
      <c r="K43">
        <v>18.3</v>
      </c>
      <c r="L43">
        <v>395.62</v>
      </c>
      <c r="M43">
        <v>1.98</v>
      </c>
      <c r="N43">
        <v>34.9</v>
      </c>
    </row>
    <row r="44" spans="1:14">
      <c r="A44">
        <v>0.12744</v>
      </c>
      <c r="B44">
        <v>0</v>
      </c>
      <c r="C44">
        <v>6.91</v>
      </c>
      <c r="D44">
        <v>0</v>
      </c>
      <c r="E44">
        <v>0.44800000000000001</v>
      </c>
      <c r="F44">
        <v>6.77</v>
      </c>
      <c r="G44">
        <v>2.9</v>
      </c>
      <c r="H44">
        <v>5.7209000000000003</v>
      </c>
      <c r="I44">
        <v>3</v>
      </c>
      <c r="J44">
        <v>233</v>
      </c>
      <c r="K44">
        <v>17.899999999999999</v>
      </c>
      <c r="L44">
        <v>385.41</v>
      </c>
      <c r="M44">
        <v>4.84</v>
      </c>
      <c r="N44">
        <v>26.6</v>
      </c>
    </row>
    <row r="45" spans="1:14">
      <c r="A45">
        <v>0.14149999999999999</v>
      </c>
      <c r="B45">
        <v>0</v>
      </c>
      <c r="C45">
        <v>6.91</v>
      </c>
      <c r="D45">
        <v>0</v>
      </c>
      <c r="E45">
        <v>0.44800000000000001</v>
      </c>
      <c r="F45">
        <v>6.1689999999999996</v>
      </c>
      <c r="G45">
        <v>6.6</v>
      </c>
      <c r="H45">
        <v>5.7209000000000003</v>
      </c>
      <c r="I45">
        <v>3</v>
      </c>
      <c r="J45">
        <v>233</v>
      </c>
      <c r="K45">
        <v>17.899999999999999</v>
      </c>
      <c r="L45">
        <v>383.37</v>
      </c>
      <c r="M45">
        <v>5.81</v>
      </c>
      <c r="N45">
        <v>25.3</v>
      </c>
    </row>
    <row r="46" spans="1:14">
      <c r="A46">
        <v>0.15936</v>
      </c>
      <c r="B46">
        <v>0</v>
      </c>
      <c r="C46">
        <v>6.91</v>
      </c>
      <c r="D46">
        <v>0</v>
      </c>
      <c r="E46">
        <v>0.44800000000000001</v>
      </c>
      <c r="F46">
        <v>6.2110000000000003</v>
      </c>
      <c r="G46">
        <v>6.5</v>
      </c>
      <c r="H46">
        <v>5.7209000000000003</v>
      </c>
      <c r="I46">
        <v>3</v>
      </c>
      <c r="J46">
        <v>233</v>
      </c>
      <c r="K46">
        <v>17.899999999999999</v>
      </c>
      <c r="L46">
        <v>394.46</v>
      </c>
      <c r="M46">
        <v>7.44</v>
      </c>
      <c r="N46">
        <v>24.7</v>
      </c>
    </row>
    <row r="47" spans="1:14">
      <c r="A47">
        <v>0.12268999999999999</v>
      </c>
      <c r="B47">
        <v>0</v>
      </c>
      <c r="C47">
        <v>6.91</v>
      </c>
      <c r="D47">
        <v>0</v>
      </c>
      <c r="E47">
        <v>0.44800000000000001</v>
      </c>
      <c r="F47">
        <v>6.069</v>
      </c>
      <c r="G47">
        <v>40</v>
      </c>
      <c r="H47">
        <v>5.7209000000000003</v>
      </c>
      <c r="I47">
        <v>3</v>
      </c>
      <c r="J47">
        <v>233</v>
      </c>
      <c r="K47">
        <v>17.899999999999999</v>
      </c>
      <c r="L47">
        <v>389.39</v>
      </c>
      <c r="M47">
        <v>9.5500000000000007</v>
      </c>
      <c r="N47">
        <v>21.2</v>
      </c>
    </row>
    <row r="48" spans="1:14">
      <c r="A48">
        <v>0.17141999999999999</v>
      </c>
      <c r="B48">
        <v>0</v>
      </c>
      <c r="C48">
        <v>6.91</v>
      </c>
      <c r="D48">
        <v>0</v>
      </c>
      <c r="E48">
        <v>0.44800000000000001</v>
      </c>
      <c r="F48">
        <v>5.6820000000000004</v>
      </c>
      <c r="G48">
        <v>33.799999999999997</v>
      </c>
      <c r="H48">
        <v>5.1003999999999996</v>
      </c>
      <c r="I48">
        <v>3</v>
      </c>
      <c r="J48">
        <v>233</v>
      </c>
      <c r="K48">
        <v>17.899999999999999</v>
      </c>
      <c r="L48">
        <v>396.9</v>
      </c>
      <c r="M48">
        <v>10.210000000000001</v>
      </c>
      <c r="N48">
        <v>19.3</v>
      </c>
    </row>
    <row r="49" spans="1:14">
      <c r="A49">
        <v>0.18836</v>
      </c>
      <c r="B49">
        <v>0</v>
      </c>
      <c r="C49">
        <v>6.91</v>
      </c>
      <c r="D49">
        <v>0</v>
      </c>
      <c r="E49">
        <v>0.44800000000000001</v>
      </c>
      <c r="F49">
        <v>5.7859999999999996</v>
      </c>
      <c r="G49">
        <v>33.299999999999997</v>
      </c>
      <c r="H49">
        <v>5.1003999999999996</v>
      </c>
      <c r="I49">
        <v>3</v>
      </c>
      <c r="J49">
        <v>233</v>
      </c>
      <c r="K49">
        <v>17.899999999999999</v>
      </c>
      <c r="L49">
        <v>396.9</v>
      </c>
      <c r="M49">
        <v>14.15</v>
      </c>
      <c r="N49">
        <v>20</v>
      </c>
    </row>
    <row r="50" spans="1:14">
      <c r="A50">
        <v>0.22927</v>
      </c>
      <c r="B50">
        <v>0</v>
      </c>
      <c r="C50">
        <v>6.91</v>
      </c>
      <c r="D50">
        <v>0</v>
      </c>
      <c r="E50">
        <v>0.44800000000000001</v>
      </c>
      <c r="F50">
        <v>6.03</v>
      </c>
      <c r="G50">
        <v>85.5</v>
      </c>
      <c r="H50">
        <v>5.6894</v>
      </c>
      <c r="I50">
        <v>3</v>
      </c>
      <c r="J50">
        <v>233</v>
      </c>
      <c r="K50">
        <v>17.899999999999999</v>
      </c>
      <c r="L50">
        <v>392.74</v>
      </c>
      <c r="M50">
        <v>18.8</v>
      </c>
      <c r="N50">
        <v>16.600000000000001</v>
      </c>
    </row>
    <row r="51" spans="1:14">
      <c r="A51">
        <v>0.25386999999999998</v>
      </c>
      <c r="B51">
        <v>0</v>
      </c>
      <c r="C51">
        <v>6.91</v>
      </c>
      <c r="D51">
        <v>0</v>
      </c>
      <c r="E51">
        <v>0.44800000000000001</v>
      </c>
      <c r="F51">
        <v>5.399</v>
      </c>
      <c r="G51">
        <v>95.3</v>
      </c>
      <c r="H51">
        <v>5.87</v>
      </c>
      <c r="I51">
        <v>3</v>
      </c>
      <c r="J51">
        <v>233</v>
      </c>
      <c r="K51">
        <v>17.899999999999999</v>
      </c>
      <c r="L51">
        <v>396.9</v>
      </c>
      <c r="M51">
        <v>30.81</v>
      </c>
      <c r="N51">
        <v>14.4</v>
      </c>
    </row>
    <row r="52" spans="1:14">
      <c r="A52">
        <v>0.21976999999999999</v>
      </c>
      <c r="B52">
        <v>0</v>
      </c>
      <c r="C52">
        <v>6.91</v>
      </c>
      <c r="D52">
        <v>0</v>
      </c>
      <c r="E52">
        <v>0.44800000000000001</v>
      </c>
      <c r="F52">
        <v>5.6020000000000003</v>
      </c>
      <c r="G52">
        <v>62</v>
      </c>
      <c r="H52">
        <v>6.0876999999999999</v>
      </c>
      <c r="I52">
        <v>3</v>
      </c>
      <c r="J52">
        <v>233</v>
      </c>
      <c r="K52">
        <v>17.899999999999999</v>
      </c>
      <c r="L52">
        <v>396.9</v>
      </c>
      <c r="M52">
        <v>16.2</v>
      </c>
      <c r="N52">
        <v>19.399999999999999</v>
      </c>
    </row>
    <row r="53" spans="1:14">
      <c r="A53">
        <v>8.8730000000000003E-2</v>
      </c>
      <c r="B53">
        <v>21</v>
      </c>
      <c r="C53">
        <v>5.64</v>
      </c>
      <c r="D53">
        <v>0</v>
      </c>
      <c r="E53">
        <v>0.439</v>
      </c>
      <c r="F53">
        <v>5.9630000000000001</v>
      </c>
      <c r="G53">
        <v>45.7</v>
      </c>
      <c r="H53">
        <v>6.8147000000000002</v>
      </c>
      <c r="I53">
        <v>4</v>
      </c>
      <c r="J53">
        <v>243</v>
      </c>
      <c r="K53">
        <v>16.8</v>
      </c>
      <c r="L53">
        <v>395.56</v>
      </c>
      <c r="M53">
        <v>13.45</v>
      </c>
      <c r="N53">
        <v>19.7</v>
      </c>
    </row>
    <row r="54" spans="1:14">
      <c r="A54">
        <v>4.3369999999999999E-2</v>
      </c>
      <c r="B54">
        <v>21</v>
      </c>
      <c r="C54">
        <v>5.64</v>
      </c>
      <c r="D54">
        <v>0</v>
      </c>
      <c r="E54">
        <v>0.439</v>
      </c>
      <c r="F54">
        <v>6.1150000000000002</v>
      </c>
      <c r="G54">
        <v>63</v>
      </c>
      <c r="H54">
        <v>6.8147000000000002</v>
      </c>
      <c r="I54">
        <v>4</v>
      </c>
      <c r="J54">
        <v>243</v>
      </c>
      <c r="K54">
        <v>16.8</v>
      </c>
      <c r="L54">
        <v>393.97</v>
      </c>
      <c r="M54">
        <v>9.43</v>
      </c>
      <c r="N54">
        <v>20.5</v>
      </c>
    </row>
    <row r="55" spans="1:14">
      <c r="A55">
        <v>5.3600000000000002E-2</v>
      </c>
      <c r="B55">
        <v>21</v>
      </c>
      <c r="C55">
        <v>5.64</v>
      </c>
      <c r="D55">
        <v>0</v>
      </c>
      <c r="E55">
        <v>0.439</v>
      </c>
      <c r="F55">
        <v>6.5110000000000001</v>
      </c>
      <c r="G55">
        <v>21.1</v>
      </c>
      <c r="H55">
        <v>6.8147000000000002</v>
      </c>
      <c r="I55">
        <v>4</v>
      </c>
      <c r="J55">
        <v>243</v>
      </c>
      <c r="K55">
        <v>16.8</v>
      </c>
      <c r="L55">
        <v>396.9</v>
      </c>
      <c r="M55">
        <v>5.28</v>
      </c>
      <c r="N55">
        <v>25</v>
      </c>
    </row>
    <row r="56" spans="1:14">
      <c r="A56">
        <v>4.981E-2</v>
      </c>
      <c r="B56">
        <v>21</v>
      </c>
      <c r="C56">
        <v>5.64</v>
      </c>
      <c r="D56">
        <v>0</v>
      </c>
      <c r="E56">
        <v>0.439</v>
      </c>
      <c r="F56">
        <v>5.9980000000000002</v>
      </c>
      <c r="G56">
        <v>21.4</v>
      </c>
      <c r="H56">
        <v>6.8147000000000002</v>
      </c>
      <c r="I56">
        <v>4</v>
      </c>
      <c r="J56">
        <v>243</v>
      </c>
      <c r="K56">
        <v>16.8</v>
      </c>
      <c r="L56">
        <v>396.9</v>
      </c>
      <c r="M56">
        <v>8.43</v>
      </c>
      <c r="N56">
        <v>23.4</v>
      </c>
    </row>
    <row r="57" spans="1:14">
      <c r="A57">
        <v>1.3599999999999999E-2</v>
      </c>
      <c r="B57">
        <v>75</v>
      </c>
      <c r="C57">
        <v>4</v>
      </c>
      <c r="D57">
        <v>0</v>
      </c>
      <c r="E57">
        <v>0.41</v>
      </c>
      <c r="F57">
        <v>5.8879999999999999</v>
      </c>
      <c r="G57">
        <v>47.6</v>
      </c>
      <c r="H57">
        <v>7.3197000000000001</v>
      </c>
      <c r="I57">
        <v>3</v>
      </c>
      <c r="J57">
        <v>469</v>
      </c>
      <c r="K57">
        <v>21.1</v>
      </c>
      <c r="L57">
        <v>396.9</v>
      </c>
      <c r="M57">
        <v>14.8</v>
      </c>
      <c r="N57">
        <v>18.899999999999999</v>
      </c>
    </row>
    <row r="58" spans="1:14">
      <c r="A58">
        <v>1.311E-2</v>
      </c>
      <c r="B58">
        <v>90</v>
      </c>
      <c r="C58">
        <v>1.22</v>
      </c>
      <c r="D58">
        <v>0</v>
      </c>
      <c r="E58">
        <v>0.40300000000000002</v>
      </c>
      <c r="F58">
        <v>7.2489999999999997</v>
      </c>
      <c r="G58">
        <v>21.9</v>
      </c>
      <c r="H58">
        <v>8.6966000000000001</v>
      </c>
      <c r="I58">
        <v>5</v>
      </c>
      <c r="J58">
        <v>226</v>
      </c>
      <c r="K58">
        <v>17.899999999999999</v>
      </c>
      <c r="L58">
        <v>395.93</v>
      </c>
      <c r="M58">
        <v>4.8099999999999996</v>
      </c>
      <c r="N58">
        <v>35.4</v>
      </c>
    </row>
    <row r="59" spans="1:14">
      <c r="A59">
        <v>2.0549999999999999E-2</v>
      </c>
      <c r="B59">
        <v>85</v>
      </c>
      <c r="C59">
        <v>0.74</v>
      </c>
      <c r="D59">
        <v>0</v>
      </c>
      <c r="E59">
        <v>0.41</v>
      </c>
      <c r="F59">
        <v>6.383</v>
      </c>
      <c r="G59">
        <v>35.700000000000003</v>
      </c>
      <c r="H59">
        <v>9.1875999999999998</v>
      </c>
      <c r="I59">
        <v>2</v>
      </c>
      <c r="J59">
        <v>313</v>
      </c>
      <c r="K59">
        <v>17.3</v>
      </c>
      <c r="L59">
        <v>396.9</v>
      </c>
      <c r="M59">
        <v>5.77</v>
      </c>
      <c r="N59">
        <v>24.7</v>
      </c>
    </row>
    <row r="60" spans="1:14">
      <c r="A60">
        <v>1.4319999999999999E-2</v>
      </c>
      <c r="B60">
        <v>100</v>
      </c>
      <c r="C60">
        <v>1.32</v>
      </c>
      <c r="D60">
        <v>0</v>
      </c>
      <c r="E60">
        <v>0.41099999999999998</v>
      </c>
      <c r="F60">
        <v>6.8159999999999998</v>
      </c>
      <c r="G60">
        <v>40.5</v>
      </c>
      <c r="H60">
        <v>8.3247999999999998</v>
      </c>
      <c r="I60">
        <v>5</v>
      </c>
      <c r="J60">
        <v>256</v>
      </c>
      <c r="K60">
        <v>15.1</v>
      </c>
      <c r="L60">
        <v>392.9</v>
      </c>
      <c r="M60">
        <v>3.95</v>
      </c>
      <c r="N60">
        <v>31.6</v>
      </c>
    </row>
    <row r="61" spans="1:14">
      <c r="A61">
        <v>0.15445</v>
      </c>
      <c r="B61">
        <v>25</v>
      </c>
      <c r="C61">
        <v>5.13</v>
      </c>
      <c r="D61">
        <v>0</v>
      </c>
      <c r="E61">
        <v>0.45300000000000001</v>
      </c>
      <c r="F61">
        <v>6.1449999999999996</v>
      </c>
      <c r="G61">
        <v>29.2</v>
      </c>
      <c r="H61">
        <v>7.8148</v>
      </c>
      <c r="I61">
        <v>8</v>
      </c>
      <c r="J61">
        <v>284</v>
      </c>
      <c r="K61">
        <v>19.7</v>
      </c>
      <c r="L61">
        <v>390.68</v>
      </c>
      <c r="M61">
        <v>6.86</v>
      </c>
      <c r="N61">
        <v>23.3</v>
      </c>
    </row>
    <row r="62" spans="1:14">
      <c r="A62">
        <v>0.10328</v>
      </c>
      <c r="B62">
        <v>25</v>
      </c>
      <c r="C62">
        <v>5.13</v>
      </c>
      <c r="D62">
        <v>0</v>
      </c>
      <c r="E62">
        <v>0.45300000000000001</v>
      </c>
      <c r="F62">
        <v>5.9269999999999996</v>
      </c>
      <c r="G62">
        <v>47.2</v>
      </c>
      <c r="H62">
        <v>6.9320000000000004</v>
      </c>
      <c r="I62">
        <v>8</v>
      </c>
      <c r="J62">
        <v>284</v>
      </c>
      <c r="K62">
        <v>19.7</v>
      </c>
      <c r="L62">
        <v>396.9</v>
      </c>
      <c r="M62">
        <v>9.2200000000000006</v>
      </c>
      <c r="N62">
        <v>19.600000000000001</v>
      </c>
    </row>
    <row r="63" spans="1:14">
      <c r="A63">
        <v>0.14932000000000001</v>
      </c>
      <c r="B63">
        <v>25</v>
      </c>
      <c r="C63">
        <v>5.13</v>
      </c>
      <c r="D63">
        <v>0</v>
      </c>
      <c r="E63">
        <v>0.45300000000000001</v>
      </c>
      <c r="F63">
        <v>5.7409999999999997</v>
      </c>
      <c r="G63">
        <v>66.2</v>
      </c>
      <c r="H63">
        <v>7.2253999999999996</v>
      </c>
      <c r="I63">
        <v>8</v>
      </c>
      <c r="J63">
        <v>284</v>
      </c>
      <c r="K63">
        <v>19.7</v>
      </c>
      <c r="L63">
        <v>395.11</v>
      </c>
      <c r="M63">
        <v>13.15</v>
      </c>
      <c r="N63">
        <v>18.7</v>
      </c>
    </row>
    <row r="64" spans="1:14">
      <c r="A64">
        <v>0.17171</v>
      </c>
      <c r="B64">
        <v>25</v>
      </c>
      <c r="C64">
        <v>5.13</v>
      </c>
      <c r="D64">
        <v>0</v>
      </c>
      <c r="E64">
        <v>0.45300000000000001</v>
      </c>
      <c r="F64">
        <v>5.9660000000000002</v>
      </c>
      <c r="G64">
        <v>93.4</v>
      </c>
      <c r="H64">
        <v>6.8185000000000002</v>
      </c>
      <c r="I64">
        <v>8</v>
      </c>
      <c r="J64">
        <v>284</v>
      </c>
      <c r="K64">
        <v>19.7</v>
      </c>
      <c r="L64">
        <v>378.08</v>
      </c>
      <c r="M64">
        <v>14.44</v>
      </c>
      <c r="N64">
        <v>16</v>
      </c>
    </row>
    <row r="65" spans="1:14">
      <c r="A65">
        <v>0.11027000000000001</v>
      </c>
      <c r="B65">
        <v>25</v>
      </c>
      <c r="C65">
        <v>5.13</v>
      </c>
      <c r="D65">
        <v>0</v>
      </c>
      <c r="E65">
        <v>0.45300000000000001</v>
      </c>
      <c r="F65">
        <v>6.4560000000000004</v>
      </c>
      <c r="G65">
        <v>67.8</v>
      </c>
      <c r="H65">
        <v>7.2255000000000003</v>
      </c>
      <c r="I65">
        <v>8</v>
      </c>
      <c r="J65">
        <v>284</v>
      </c>
      <c r="K65">
        <v>19.7</v>
      </c>
      <c r="L65">
        <v>396.9</v>
      </c>
      <c r="M65">
        <v>6.73</v>
      </c>
      <c r="N65">
        <v>22.2</v>
      </c>
    </row>
    <row r="66" spans="1:14">
      <c r="A66">
        <v>0.1265</v>
      </c>
      <c r="B66">
        <v>25</v>
      </c>
      <c r="C66">
        <v>5.13</v>
      </c>
      <c r="D66">
        <v>0</v>
      </c>
      <c r="E66">
        <v>0.45300000000000001</v>
      </c>
      <c r="F66">
        <v>6.7619999999999996</v>
      </c>
      <c r="G66">
        <v>43.4</v>
      </c>
      <c r="H66">
        <v>7.9809000000000001</v>
      </c>
      <c r="I66">
        <v>8</v>
      </c>
      <c r="J66">
        <v>284</v>
      </c>
      <c r="K66">
        <v>19.7</v>
      </c>
      <c r="L66">
        <v>395.58</v>
      </c>
      <c r="M66">
        <v>9.5</v>
      </c>
      <c r="N66">
        <v>25</v>
      </c>
    </row>
    <row r="67" spans="1:14">
      <c r="A67">
        <v>1.951E-2</v>
      </c>
      <c r="B67">
        <v>17.5</v>
      </c>
      <c r="C67">
        <v>1.38</v>
      </c>
      <c r="D67">
        <v>0</v>
      </c>
      <c r="E67">
        <v>0.41610000000000003</v>
      </c>
      <c r="F67">
        <v>7.1040000000000001</v>
      </c>
      <c r="G67">
        <v>59.5</v>
      </c>
      <c r="H67">
        <v>9.2228999999999992</v>
      </c>
      <c r="I67">
        <v>3</v>
      </c>
      <c r="J67">
        <v>216</v>
      </c>
      <c r="K67">
        <v>18.600000000000001</v>
      </c>
      <c r="L67">
        <v>393.24</v>
      </c>
      <c r="M67">
        <v>8.0500000000000007</v>
      </c>
      <c r="N67">
        <v>33</v>
      </c>
    </row>
    <row r="68" spans="1:14">
      <c r="A68">
        <v>3.5839999999999997E-2</v>
      </c>
      <c r="B68">
        <v>80</v>
      </c>
      <c r="C68">
        <v>3.37</v>
      </c>
      <c r="D68">
        <v>0</v>
      </c>
      <c r="E68">
        <v>0.39800000000000002</v>
      </c>
      <c r="F68">
        <v>6.29</v>
      </c>
      <c r="G68">
        <v>17.8</v>
      </c>
      <c r="H68">
        <v>6.6115000000000004</v>
      </c>
      <c r="I68">
        <v>4</v>
      </c>
      <c r="J68">
        <v>337</v>
      </c>
      <c r="K68">
        <v>16.100000000000001</v>
      </c>
      <c r="L68">
        <v>396.9</v>
      </c>
      <c r="M68">
        <v>4.67</v>
      </c>
      <c r="N68">
        <v>23.5</v>
      </c>
    </row>
    <row r="69" spans="1:14">
      <c r="A69">
        <v>4.3790000000000003E-2</v>
      </c>
      <c r="B69">
        <v>80</v>
      </c>
      <c r="C69">
        <v>3.37</v>
      </c>
      <c r="D69">
        <v>0</v>
      </c>
      <c r="E69">
        <v>0.39800000000000002</v>
      </c>
      <c r="F69">
        <v>5.7869999999999999</v>
      </c>
      <c r="G69">
        <v>31.1</v>
      </c>
      <c r="H69">
        <v>6.6115000000000004</v>
      </c>
      <c r="I69">
        <v>4</v>
      </c>
      <c r="J69">
        <v>337</v>
      </c>
      <c r="K69">
        <v>16.100000000000001</v>
      </c>
      <c r="L69">
        <v>396.9</v>
      </c>
      <c r="M69">
        <v>10.24</v>
      </c>
      <c r="N69">
        <v>19.399999999999999</v>
      </c>
    </row>
    <row r="70" spans="1:14">
      <c r="A70">
        <v>5.7889999999999997E-2</v>
      </c>
      <c r="B70">
        <v>12.5</v>
      </c>
      <c r="C70">
        <v>6.07</v>
      </c>
      <c r="D70">
        <v>0</v>
      </c>
      <c r="E70">
        <v>0.40899999999999997</v>
      </c>
      <c r="F70">
        <v>5.8780000000000001</v>
      </c>
      <c r="G70">
        <v>21.4</v>
      </c>
      <c r="H70">
        <v>6.4980000000000002</v>
      </c>
      <c r="I70">
        <v>4</v>
      </c>
      <c r="J70">
        <v>345</v>
      </c>
      <c r="K70">
        <v>18.899999999999999</v>
      </c>
      <c r="L70">
        <v>396.21</v>
      </c>
      <c r="M70">
        <v>8.1</v>
      </c>
      <c r="N70">
        <v>22</v>
      </c>
    </row>
    <row r="71" spans="1:14">
      <c r="A71">
        <v>0.13553999999999999</v>
      </c>
      <c r="B71">
        <v>12.5</v>
      </c>
      <c r="C71">
        <v>6.07</v>
      </c>
      <c r="D71">
        <v>0</v>
      </c>
      <c r="E71">
        <v>0.40899999999999997</v>
      </c>
      <c r="F71">
        <v>5.5940000000000003</v>
      </c>
      <c r="G71">
        <v>36.799999999999997</v>
      </c>
      <c r="H71">
        <v>6.4980000000000002</v>
      </c>
      <c r="I71">
        <v>4</v>
      </c>
      <c r="J71">
        <v>345</v>
      </c>
      <c r="K71">
        <v>18.899999999999999</v>
      </c>
      <c r="L71">
        <v>396.9</v>
      </c>
      <c r="M71">
        <v>13.09</v>
      </c>
      <c r="N71">
        <v>17.399999999999999</v>
      </c>
    </row>
    <row r="72" spans="1:14">
      <c r="A72">
        <v>0.12816</v>
      </c>
      <c r="B72">
        <v>12.5</v>
      </c>
      <c r="C72">
        <v>6.07</v>
      </c>
      <c r="D72">
        <v>0</v>
      </c>
      <c r="E72">
        <v>0.40899999999999997</v>
      </c>
      <c r="F72">
        <v>5.8849999999999998</v>
      </c>
      <c r="G72">
        <v>33</v>
      </c>
      <c r="H72">
        <v>6.4980000000000002</v>
      </c>
      <c r="I72">
        <v>4</v>
      </c>
      <c r="J72">
        <v>345</v>
      </c>
      <c r="K72">
        <v>18.899999999999999</v>
      </c>
      <c r="L72">
        <v>396.9</v>
      </c>
      <c r="M72">
        <v>8.7899999999999991</v>
      </c>
      <c r="N72">
        <v>20.9</v>
      </c>
    </row>
    <row r="73" spans="1:14">
      <c r="A73">
        <v>8.8260000000000005E-2</v>
      </c>
      <c r="B73">
        <v>0</v>
      </c>
      <c r="C73">
        <v>10.81</v>
      </c>
      <c r="D73">
        <v>0</v>
      </c>
      <c r="E73">
        <v>0.41299999999999998</v>
      </c>
      <c r="F73">
        <v>6.4169999999999998</v>
      </c>
      <c r="G73">
        <v>6.6</v>
      </c>
      <c r="H73">
        <v>5.2873000000000001</v>
      </c>
      <c r="I73">
        <v>4</v>
      </c>
      <c r="J73">
        <v>305</v>
      </c>
      <c r="K73">
        <v>19.2</v>
      </c>
      <c r="L73">
        <v>383.73</v>
      </c>
      <c r="M73">
        <v>6.72</v>
      </c>
      <c r="N73">
        <v>24.2</v>
      </c>
    </row>
    <row r="74" spans="1:14">
      <c r="A74">
        <v>0.15876000000000001</v>
      </c>
      <c r="B74">
        <v>0</v>
      </c>
      <c r="C74">
        <v>10.81</v>
      </c>
      <c r="D74">
        <v>0</v>
      </c>
      <c r="E74">
        <v>0.41299999999999998</v>
      </c>
      <c r="F74">
        <v>5.9610000000000003</v>
      </c>
      <c r="G74">
        <v>17.5</v>
      </c>
      <c r="H74">
        <v>5.2873000000000001</v>
      </c>
      <c r="I74">
        <v>4</v>
      </c>
      <c r="J74">
        <v>305</v>
      </c>
      <c r="K74">
        <v>19.2</v>
      </c>
      <c r="L74">
        <v>376.94</v>
      </c>
      <c r="M74">
        <v>9.8800000000000008</v>
      </c>
      <c r="N74">
        <v>21.7</v>
      </c>
    </row>
    <row r="75" spans="1:14">
      <c r="A75">
        <v>9.1639999999999999E-2</v>
      </c>
      <c r="B75">
        <v>0</v>
      </c>
      <c r="C75">
        <v>10.81</v>
      </c>
      <c r="D75">
        <v>0</v>
      </c>
      <c r="E75">
        <v>0.41299999999999998</v>
      </c>
      <c r="F75">
        <v>6.0650000000000004</v>
      </c>
      <c r="G75">
        <v>7.8</v>
      </c>
      <c r="H75">
        <v>5.2873000000000001</v>
      </c>
      <c r="I75">
        <v>4</v>
      </c>
      <c r="J75">
        <v>305</v>
      </c>
      <c r="K75">
        <v>19.2</v>
      </c>
      <c r="L75">
        <v>390.91</v>
      </c>
      <c r="M75">
        <v>5.52</v>
      </c>
      <c r="N75">
        <v>22.8</v>
      </c>
    </row>
    <row r="76" spans="1:14">
      <c r="A76">
        <v>0.19539000000000001</v>
      </c>
      <c r="B76">
        <v>0</v>
      </c>
      <c r="C76">
        <v>10.81</v>
      </c>
      <c r="D76">
        <v>0</v>
      </c>
      <c r="E76">
        <v>0.41299999999999998</v>
      </c>
      <c r="F76">
        <v>6.2450000000000001</v>
      </c>
      <c r="G76">
        <v>6.2</v>
      </c>
      <c r="H76">
        <v>5.2873000000000001</v>
      </c>
      <c r="I76">
        <v>4</v>
      </c>
      <c r="J76">
        <v>305</v>
      </c>
      <c r="K76">
        <v>19.2</v>
      </c>
      <c r="L76">
        <v>377.17</v>
      </c>
      <c r="M76">
        <v>7.54</v>
      </c>
      <c r="N76">
        <v>23.4</v>
      </c>
    </row>
    <row r="77" spans="1:14">
      <c r="A77">
        <v>7.8960000000000002E-2</v>
      </c>
      <c r="B77">
        <v>0</v>
      </c>
      <c r="C77">
        <v>12.83</v>
      </c>
      <c r="D77">
        <v>0</v>
      </c>
      <c r="E77">
        <v>0.437</v>
      </c>
      <c r="F77">
        <v>6.2729999999999997</v>
      </c>
      <c r="G77">
        <v>6</v>
      </c>
      <c r="H77">
        <v>4.2515000000000001</v>
      </c>
      <c r="I77">
        <v>5</v>
      </c>
      <c r="J77">
        <v>398</v>
      </c>
      <c r="K77">
        <v>18.7</v>
      </c>
      <c r="L77">
        <v>394.92</v>
      </c>
      <c r="M77">
        <v>6.78</v>
      </c>
      <c r="N77">
        <v>24.1</v>
      </c>
    </row>
    <row r="78" spans="1:14">
      <c r="A78">
        <v>9.5119999999999996E-2</v>
      </c>
      <c r="B78">
        <v>0</v>
      </c>
      <c r="C78">
        <v>12.83</v>
      </c>
      <c r="D78">
        <v>0</v>
      </c>
      <c r="E78">
        <v>0.437</v>
      </c>
      <c r="F78">
        <v>6.2859999999999996</v>
      </c>
      <c r="G78">
        <v>45</v>
      </c>
      <c r="H78">
        <v>4.5026000000000002</v>
      </c>
      <c r="I78">
        <v>5</v>
      </c>
      <c r="J78">
        <v>398</v>
      </c>
      <c r="K78">
        <v>18.7</v>
      </c>
      <c r="L78">
        <v>383.23</v>
      </c>
      <c r="M78">
        <v>8.94</v>
      </c>
      <c r="N78">
        <v>21.4</v>
      </c>
    </row>
    <row r="79" spans="1:14">
      <c r="A79">
        <v>0.10153</v>
      </c>
      <c r="B79">
        <v>0</v>
      </c>
      <c r="C79">
        <v>12.83</v>
      </c>
      <c r="D79">
        <v>0</v>
      </c>
      <c r="E79">
        <v>0.437</v>
      </c>
      <c r="F79">
        <v>6.2789999999999999</v>
      </c>
      <c r="G79">
        <v>74.5</v>
      </c>
      <c r="H79">
        <v>4.0522</v>
      </c>
      <c r="I79">
        <v>5</v>
      </c>
      <c r="J79">
        <v>398</v>
      </c>
      <c r="K79">
        <v>18.7</v>
      </c>
      <c r="L79">
        <v>373.66</v>
      </c>
      <c r="M79">
        <v>11.97</v>
      </c>
      <c r="N79">
        <v>20</v>
      </c>
    </row>
    <row r="80" spans="1:14">
      <c r="A80">
        <v>8.7069999999999995E-2</v>
      </c>
      <c r="B80">
        <v>0</v>
      </c>
      <c r="C80">
        <v>12.83</v>
      </c>
      <c r="D80">
        <v>0</v>
      </c>
      <c r="E80">
        <v>0.437</v>
      </c>
      <c r="F80">
        <v>6.14</v>
      </c>
      <c r="G80">
        <v>45.8</v>
      </c>
      <c r="H80">
        <v>4.0904999999999996</v>
      </c>
      <c r="I80">
        <v>5</v>
      </c>
      <c r="J80">
        <v>398</v>
      </c>
      <c r="K80">
        <v>18.7</v>
      </c>
      <c r="L80">
        <v>386.96</v>
      </c>
      <c r="M80">
        <v>10.27</v>
      </c>
      <c r="N80">
        <v>20.8</v>
      </c>
    </row>
    <row r="81" spans="1:14">
      <c r="A81">
        <v>5.6460000000000003E-2</v>
      </c>
      <c r="B81">
        <v>0</v>
      </c>
      <c r="C81">
        <v>12.83</v>
      </c>
      <c r="D81">
        <v>0</v>
      </c>
      <c r="E81">
        <v>0.437</v>
      </c>
      <c r="F81">
        <v>6.2320000000000002</v>
      </c>
      <c r="G81">
        <v>53.7</v>
      </c>
      <c r="H81">
        <v>5.0141</v>
      </c>
      <c r="I81">
        <v>5</v>
      </c>
      <c r="J81">
        <v>398</v>
      </c>
      <c r="K81">
        <v>18.7</v>
      </c>
      <c r="L81">
        <v>386.4</v>
      </c>
      <c r="M81">
        <v>12.34</v>
      </c>
      <c r="N81">
        <v>21.2</v>
      </c>
    </row>
    <row r="82" spans="1:14">
      <c r="A82">
        <v>8.387E-2</v>
      </c>
      <c r="B82">
        <v>0</v>
      </c>
      <c r="C82">
        <v>12.83</v>
      </c>
      <c r="D82">
        <v>0</v>
      </c>
      <c r="E82">
        <v>0.437</v>
      </c>
      <c r="F82">
        <v>5.8739999999999997</v>
      </c>
      <c r="G82">
        <v>36.6</v>
      </c>
      <c r="H82">
        <v>4.5026000000000002</v>
      </c>
      <c r="I82">
        <v>5</v>
      </c>
      <c r="J82">
        <v>398</v>
      </c>
      <c r="K82">
        <v>18.7</v>
      </c>
      <c r="L82">
        <v>396.06</v>
      </c>
      <c r="M82">
        <v>9.1</v>
      </c>
      <c r="N82">
        <v>20.3</v>
      </c>
    </row>
    <row r="83" spans="1:14">
      <c r="A83">
        <v>4.113E-2</v>
      </c>
      <c r="B83">
        <v>25</v>
      </c>
      <c r="C83">
        <v>4.8600000000000003</v>
      </c>
      <c r="D83">
        <v>0</v>
      </c>
      <c r="E83">
        <v>0.42599999999999999</v>
      </c>
      <c r="F83">
        <v>6.7270000000000003</v>
      </c>
      <c r="G83">
        <v>33.5</v>
      </c>
      <c r="H83">
        <v>5.4006999999999996</v>
      </c>
      <c r="I83">
        <v>4</v>
      </c>
      <c r="J83">
        <v>281</v>
      </c>
      <c r="K83">
        <v>19</v>
      </c>
      <c r="L83">
        <v>396.9</v>
      </c>
      <c r="M83">
        <v>5.29</v>
      </c>
      <c r="N83">
        <v>28</v>
      </c>
    </row>
    <row r="84" spans="1:14">
      <c r="A84">
        <v>4.462E-2</v>
      </c>
      <c r="B84">
        <v>25</v>
      </c>
      <c r="C84">
        <v>4.8600000000000003</v>
      </c>
      <c r="D84">
        <v>0</v>
      </c>
      <c r="E84">
        <v>0.42599999999999999</v>
      </c>
      <c r="F84">
        <v>6.6189999999999998</v>
      </c>
      <c r="G84">
        <v>70.400000000000006</v>
      </c>
      <c r="H84">
        <v>5.4006999999999996</v>
      </c>
      <c r="I84">
        <v>4</v>
      </c>
      <c r="J84">
        <v>281</v>
      </c>
      <c r="K84">
        <v>19</v>
      </c>
      <c r="L84">
        <v>395.63</v>
      </c>
      <c r="M84">
        <v>7.22</v>
      </c>
      <c r="N84">
        <v>23.9</v>
      </c>
    </row>
    <row r="85" spans="1:14">
      <c r="A85">
        <v>3.6589999999999998E-2</v>
      </c>
      <c r="B85">
        <v>25</v>
      </c>
      <c r="C85">
        <v>4.8600000000000003</v>
      </c>
      <c r="D85">
        <v>0</v>
      </c>
      <c r="E85">
        <v>0.42599999999999999</v>
      </c>
      <c r="F85">
        <v>6.3019999999999996</v>
      </c>
      <c r="G85">
        <v>32.200000000000003</v>
      </c>
      <c r="H85">
        <v>5.4006999999999996</v>
      </c>
      <c r="I85">
        <v>4</v>
      </c>
      <c r="J85">
        <v>281</v>
      </c>
      <c r="K85">
        <v>19</v>
      </c>
      <c r="L85">
        <v>396.9</v>
      </c>
      <c r="M85">
        <v>6.72</v>
      </c>
      <c r="N85">
        <v>24.8</v>
      </c>
    </row>
    <row r="86" spans="1:14">
      <c r="A86">
        <v>3.551E-2</v>
      </c>
      <c r="B86">
        <v>25</v>
      </c>
      <c r="C86">
        <v>4.8600000000000003</v>
      </c>
      <c r="D86">
        <v>0</v>
      </c>
      <c r="E86">
        <v>0.42599999999999999</v>
      </c>
      <c r="F86">
        <v>6.1669999999999998</v>
      </c>
      <c r="G86">
        <v>46.7</v>
      </c>
      <c r="H86">
        <v>5.4006999999999996</v>
      </c>
      <c r="I86">
        <v>4</v>
      </c>
      <c r="J86">
        <v>281</v>
      </c>
      <c r="K86">
        <v>19</v>
      </c>
      <c r="L86">
        <v>390.64</v>
      </c>
      <c r="M86">
        <v>7.51</v>
      </c>
      <c r="N86">
        <v>22.9</v>
      </c>
    </row>
    <row r="87" spans="1:14">
      <c r="A87">
        <v>5.0590000000000003E-2</v>
      </c>
      <c r="B87">
        <v>0</v>
      </c>
      <c r="C87">
        <v>4.49</v>
      </c>
      <c r="D87">
        <v>0</v>
      </c>
      <c r="E87">
        <v>0.44900000000000001</v>
      </c>
      <c r="F87">
        <v>6.3890000000000002</v>
      </c>
      <c r="G87">
        <v>48</v>
      </c>
      <c r="H87">
        <v>4.7793999999999999</v>
      </c>
      <c r="I87">
        <v>3</v>
      </c>
      <c r="J87">
        <v>247</v>
      </c>
      <c r="K87">
        <v>18.5</v>
      </c>
      <c r="L87">
        <v>396.9</v>
      </c>
      <c r="M87">
        <v>9.6199999999999992</v>
      </c>
      <c r="N87">
        <v>23.9</v>
      </c>
    </row>
    <row r="88" spans="1:14">
      <c r="A88">
        <v>5.7349999999999998E-2</v>
      </c>
      <c r="B88">
        <v>0</v>
      </c>
      <c r="C88">
        <v>4.49</v>
      </c>
      <c r="D88">
        <v>0</v>
      </c>
      <c r="E88">
        <v>0.44900000000000001</v>
      </c>
      <c r="F88">
        <v>6.63</v>
      </c>
      <c r="G88">
        <v>56.1</v>
      </c>
      <c r="H88">
        <v>4.4377000000000004</v>
      </c>
      <c r="I88">
        <v>3</v>
      </c>
      <c r="J88">
        <v>247</v>
      </c>
      <c r="K88">
        <v>18.5</v>
      </c>
      <c r="L88">
        <v>392.3</v>
      </c>
      <c r="M88">
        <v>6.53</v>
      </c>
      <c r="N88">
        <v>26.6</v>
      </c>
    </row>
    <row r="89" spans="1:14">
      <c r="A89">
        <v>5.1880000000000003E-2</v>
      </c>
      <c r="B89">
        <v>0</v>
      </c>
      <c r="C89">
        <v>4.49</v>
      </c>
      <c r="D89">
        <v>0</v>
      </c>
      <c r="E89">
        <v>0.44900000000000001</v>
      </c>
      <c r="F89">
        <v>6.0149999999999997</v>
      </c>
      <c r="G89">
        <v>45.1</v>
      </c>
      <c r="H89">
        <v>4.4272</v>
      </c>
      <c r="I89">
        <v>3</v>
      </c>
      <c r="J89">
        <v>247</v>
      </c>
      <c r="K89">
        <v>18.5</v>
      </c>
      <c r="L89">
        <v>395.99</v>
      </c>
      <c r="M89">
        <v>12.86</v>
      </c>
      <c r="N89">
        <v>22.5</v>
      </c>
    </row>
    <row r="90" spans="1:14">
      <c r="A90">
        <v>7.1510000000000004E-2</v>
      </c>
      <c r="B90">
        <v>0</v>
      </c>
      <c r="C90">
        <v>4.49</v>
      </c>
      <c r="D90">
        <v>0</v>
      </c>
      <c r="E90">
        <v>0.44900000000000001</v>
      </c>
      <c r="F90">
        <v>6.1210000000000004</v>
      </c>
      <c r="G90">
        <v>56.8</v>
      </c>
      <c r="H90">
        <v>3.7475999999999998</v>
      </c>
      <c r="I90">
        <v>3</v>
      </c>
      <c r="J90">
        <v>247</v>
      </c>
      <c r="K90">
        <v>18.5</v>
      </c>
      <c r="L90">
        <v>395.15</v>
      </c>
      <c r="M90">
        <v>8.44</v>
      </c>
      <c r="N90">
        <v>22.2</v>
      </c>
    </row>
    <row r="91" spans="1:14">
      <c r="A91">
        <v>5.6599999999999998E-2</v>
      </c>
      <c r="B91">
        <v>0</v>
      </c>
      <c r="C91">
        <v>3.41</v>
      </c>
      <c r="D91">
        <v>0</v>
      </c>
      <c r="E91">
        <v>0.48899999999999999</v>
      </c>
      <c r="F91">
        <v>7.0069999999999997</v>
      </c>
      <c r="G91">
        <v>86.3</v>
      </c>
      <c r="H91">
        <v>3.4217</v>
      </c>
      <c r="I91">
        <v>2</v>
      </c>
      <c r="J91">
        <v>270</v>
      </c>
      <c r="K91">
        <v>17.8</v>
      </c>
      <c r="L91">
        <v>396.9</v>
      </c>
      <c r="M91">
        <v>5.5</v>
      </c>
      <c r="N91">
        <v>23.6</v>
      </c>
    </row>
    <row r="92" spans="1:14">
      <c r="A92">
        <v>5.3019999999999998E-2</v>
      </c>
      <c r="B92">
        <v>0</v>
      </c>
      <c r="C92">
        <v>3.41</v>
      </c>
      <c r="D92">
        <v>0</v>
      </c>
      <c r="E92">
        <v>0.48899999999999999</v>
      </c>
      <c r="F92">
        <v>7.0789999999999997</v>
      </c>
      <c r="G92">
        <v>63.1</v>
      </c>
      <c r="H92">
        <v>3.4144999999999999</v>
      </c>
      <c r="I92">
        <v>2</v>
      </c>
      <c r="J92">
        <v>270</v>
      </c>
      <c r="K92">
        <v>17.8</v>
      </c>
      <c r="L92">
        <v>396.06</v>
      </c>
      <c r="M92">
        <v>5.7</v>
      </c>
      <c r="N92">
        <v>28.7</v>
      </c>
    </row>
    <row r="93" spans="1:14">
      <c r="A93">
        <v>4.684E-2</v>
      </c>
      <c r="B93">
        <v>0</v>
      </c>
      <c r="C93">
        <v>3.41</v>
      </c>
      <c r="D93">
        <v>0</v>
      </c>
      <c r="E93">
        <v>0.48899999999999999</v>
      </c>
      <c r="F93">
        <v>6.4169999999999998</v>
      </c>
      <c r="G93">
        <v>66.099999999999994</v>
      </c>
      <c r="H93">
        <v>3.0922999999999998</v>
      </c>
      <c r="I93">
        <v>2</v>
      </c>
      <c r="J93">
        <v>270</v>
      </c>
      <c r="K93">
        <v>17.8</v>
      </c>
      <c r="L93">
        <v>392.18</v>
      </c>
      <c r="M93">
        <v>8.81</v>
      </c>
      <c r="N93">
        <v>22.6</v>
      </c>
    </row>
    <row r="94" spans="1:14">
      <c r="A94">
        <v>3.9320000000000001E-2</v>
      </c>
      <c r="B94">
        <v>0</v>
      </c>
      <c r="C94">
        <v>3.41</v>
      </c>
      <c r="D94">
        <v>0</v>
      </c>
      <c r="E94">
        <v>0.48899999999999999</v>
      </c>
      <c r="F94">
        <v>6.4050000000000002</v>
      </c>
      <c r="G94">
        <v>73.900000000000006</v>
      </c>
      <c r="H94">
        <v>3.0920999999999998</v>
      </c>
      <c r="I94">
        <v>2</v>
      </c>
      <c r="J94">
        <v>270</v>
      </c>
      <c r="K94">
        <v>17.8</v>
      </c>
      <c r="L94">
        <v>393.55</v>
      </c>
      <c r="M94">
        <v>8.1999999999999993</v>
      </c>
      <c r="N94">
        <v>22</v>
      </c>
    </row>
    <row r="95" spans="1:14">
      <c r="A95">
        <v>4.2029999999999998E-2</v>
      </c>
      <c r="B95">
        <v>28</v>
      </c>
      <c r="C95">
        <v>15.04</v>
      </c>
      <c r="D95">
        <v>0</v>
      </c>
      <c r="E95">
        <v>0.46400000000000002</v>
      </c>
      <c r="F95">
        <v>6.4420000000000002</v>
      </c>
      <c r="G95">
        <v>53.6</v>
      </c>
      <c r="H95">
        <v>3.6659000000000002</v>
      </c>
      <c r="I95">
        <v>4</v>
      </c>
      <c r="J95">
        <v>270</v>
      </c>
      <c r="K95">
        <v>18.2</v>
      </c>
      <c r="L95">
        <v>395.01</v>
      </c>
      <c r="M95">
        <v>8.16</v>
      </c>
      <c r="N95">
        <v>22.9</v>
      </c>
    </row>
    <row r="96" spans="1:14">
      <c r="A96">
        <v>2.8750000000000001E-2</v>
      </c>
      <c r="B96">
        <v>28</v>
      </c>
      <c r="C96">
        <v>15.04</v>
      </c>
      <c r="D96">
        <v>0</v>
      </c>
      <c r="E96">
        <v>0.46400000000000002</v>
      </c>
      <c r="F96">
        <v>6.2110000000000003</v>
      </c>
      <c r="G96">
        <v>28.9</v>
      </c>
      <c r="H96">
        <v>3.6659000000000002</v>
      </c>
      <c r="I96">
        <v>4</v>
      </c>
      <c r="J96">
        <v>270</v>
      </c>
      <c r="K96">
        <v>18.2</v>
      </c>
      <c r="L96">
        <v>396.33</v>
      </c>
      <c r="M96">
        <v>6.21</v>
      </c>
      <c r="N96">
        <v>25</v>
      </c>
    </row>
    <row r="97" spans="1:14">
      <c r="A97">
        <v>4.2939999999999999E-2</v>
      </c>
      <c r="B97">
        <v>28</v>
      </c>
      <c r="C97">
        <v>15.04</v>
      </c>
      <c r="D97">
        <v>0</v>
      </c>
      <c r="E97">
        <v>0.46400000000000002</v>
      </c>
      <c r="F97">
        <v>6.2489999999999997</v>
      </c>
      <c r="G97">
        <v>77.3</v>
      </c>
      <c r="H97">
        <v>3.6150000000000002</v>
      </c>
      <c r="I97">
        <v>4</v>
      </c>
      <c r="J97">
        <v>270</v>
      </c>
      <c r="K97">
        <v>18.2</v>
      </c>
      <c r="L97">
        <v>396.9</v>
      </c>
      <c r="M97">
        <v>10.59</v>
      </c>
      <c r="N97">
        <v>20.6</v>
      </c>
    </row>
    <row r="98" spans="1:14">
      <c r="A98">
        <v>0.12204</v>
      </c>
      <c r="B98">
        <v>0</v>
      </c>
      <c r="C98">
        <v>2.89</v>
      </c>
      <c r="D98">
        <v>0</v>
      </c>
      <c r="E98">
        <v>0.44500000000000001</v>
      </c>
      <c r="F98">
        <v>6.625</v>
      </c>
      <c r="G98">
        <v>57.8</v>
      </c>
      <c r="H98">
        <v>3.4952000000000001</v>
      </c>
      <c r="I98">
        <v>2</v>
      </c>
      <c r="J98">
        <v>276</v>
      </c>
      <c r="K98">
        <v>18</v>
      </c>
      <c r="L98">
        <v>357.98</v>
      </c>
      <c r="M98">
        <v>6.65</v>
      </c>
      <c r="N98">
        <v>28.4</v>
      </c>
    </row>
    <row r="99" spans="1:14">
      <c r="A99">
        <v>0.11504</v>
      </c>
      <c r="B99">
        <v>0</v>
      </c>
      <c r="C99">
        <v>2.89</v>
      </c>
      <c r="D99">
        <v>0</v>
      </c>
      <c r="E99">
        <v>0.44500000000000001</v>
      </c>
      <c r="F99">
        <v>6.1630000000000003</v>
      </c>
      <c r="G99">
        <v>69.599999999999994</v>
      </c>
      <c r="H99">
        <v>3.4952000000000001</v>
      </c>
      <c r="I99">
        <v>2</v>
      </c>
      <c r="J99">
        <v>276</v>
      </c>
      <c r="K99">
        <v>18</v>
      </c>
      <c r="L99">
        <v>391.83</v>
      </c>
      <c r="M99">
        <v>11.34</v>
      </c>
      <c r="N99">
        <v>21.4</v>
      </c>
    </row>
    <row r="100" spans="1:14">
      <c r="A100">
        <v>0.12083000000000001</v>
      </c>
      <c r="B100">
        <v>0</v>
      </c>
      <c r="C100">
        <v>2.89</v>
      </c>
      <c r="D100">
        <v>0</v>
      </c>
      <c r="E100">
        <v>0.44500000000000001</v>
      </c>
      <c r="F100">
        <v>8.0690000000000008</v>
      </c>
      <c r="G100">
        <v>76</v>
      </c>
      <c r="H100">
        <v>3.4952000000000001</v>
      </c>
      <c r="I100">
        <v>2</v>
      </c>
      <c r="J100">
        <v>276</v>
      </c>
      <c r="K100">
        <v>18</v>
      </c>
      <c r="L100">
        <v>396.9</v>
      </c>
      <c r="M100">
        <v>4.21</v>
      </c>
      <c r="N100">
        <v>38.700000000000003</v>
      </c>
    </row>
    <row r="101" spans="1:14">
      <c r="A101">
        <v>8.1869999999999998E-2</v>
      </c>
      <c r="B101">
        <v>0</v>
      </c>
      <c r="C101">
        <v>2.89</v>
      </c>
      <c r="D101">
        <v>0</v>
      </c>
      <c r="E101">
        <v>0.44500000000000001</v>
      </c>
      <c r="F101">
        <v>7.82</v>
      </c>
      <c r="G101">
        <v>36.9</v>
      </c>
      <c r="H101">
        <v>3.4952000000000001</v>
      </c>
      <c r="I101">
        <v>2</v>
      </c>
      <c r="J101">
        <v>276</v>
      </c>
      <c r="K101">
        <v>18</v>
      </c>
      <c r="L101">
        <v>393.53</v>
      </c>
      <c r="M101">
        <v>3.57</v>
      </c>
      <c r="N101">
        <v>43.8</v>
      </c>
    </row>
    <row r="102" spans="1:14">
      <c r="A102">
        <v>6.8599999999999994E-2</v>
      </c>
      <c r="B102">
        <v>0</v>
      </c>
      <c r="C102">
        <v>2.89</v>
      </c>
      <c r="D102">
        <v>0</v>
      </c>
      <c r="E102">
        <v>0.44500000000000001</v>
      </c>
      <c r="F102">
        <v>7.4160000000000004</v>
      </c>
      <c r="G102">
        <v>62.5</v>
      </c>
      <c r="H102">
        <v>3.4952000000000001</v>
      </c>
      <c r="I102">
        <v>2</v>
      </c>
      <c r="J102">
        <v>276</v>
      </c>
      <c r="K102">
        <v>18</v>
      </c>
      <c r="L102">
        <v>396.9</v>
      </c>
      <c r="M102">
        <v>6.19</v>
      </c>
      <c r="N102">
        <v>33.200000000000003</v>
      </c>
    </row>
    <row r="103" spans="1:14">
      <c r="A103">
        <v>0.14865999999999999</v>
      </c>
      <c r="B103">
        <v>0</v>
      </c>
      <c r="C103">
        <v>8.56</v>
      </c>
      <c r="D103">
        <v>0</v>
      </c>
      <c r="E103">
        <v>0.52</v>
      </c>
      <c r="F103">
        <v>6.7270000000000003</v>
      </c>
      <c r="G103">
        <v>79.900000000000006</v>
      </c>
      <c r="H103">
        <v>2.7778</v>
      </c>
      <c r="I103">
        <v>5</v>
      </c>
      <c r="J103">
        <v>384</v>
      </c>
      <c r="K103">
        <v>20.9</v>
      </c>
      <c r="L103">
        <v>394.76</v>
      </c>
      <c r="M103">
        <v>9.42</v>
      </c>
      <c r="N103">
        <v>27.5</v>
      </c>
    </row>
    <row r="104" spans="1:14">
      <c r="A104">
        <v>0.11432</v>
      </c>
      <c r="B104">
        <v>0</v>
      </c>
      <c r="C104">
        <v>8.56</v>
      </c>
      <c r="D104">
        <v>0</v>
      </c>
      <c r="E104">
        <v>0.52</v>
      </c>
      <c r="F104">
        <v>6.7809999999999997</v>
      </c>
      <c r="G104">
        <v>71.3</v>
      </c>
      <c r="H104">
        <v>2.8561000000000001</v>
      </c>
      <c r="I104">
        <v>5</v>
      </c>
      <c r="J104">
        <v>384</v>
      </c>
      <c r="K104">
        <v>20.9</v>
      </c>
      <c r="L104">
        <v>395.58</v>
      </c>
      <c r="M104">
        <v>7.67</v>
      </c>
      <c r="N104">
        <v>26.5</v>
      </c>
    </row>
    <row r="105" spans="1:14">
      <c r="A105">
        <v>0.22875999999999999</v>
      </c>
      <c r="B105">
        <v>0</v>
      </c>
      <c r="C105">
        <v>8.56</v>
      </c>
      <c r="D105">
        <v>0</v>
      </c>
      <c r="E105">
        <v>0.52</v>
      </c>
      <c r="F105">
        <v>6.4050000000000002</v>
      </c>
      <c r="G105">
        <v>85.4</v>
      </c>
      <c r="H105">
        <v>2.7147000000000001</v>
      </c>
      <c r="I105">
        <v>5</v>
      </c>
      <c r="J105">
        <v>384</v>
      </c>
      <c r="K105">
        <v>20.9</v>
      </c>
      <c r="L105">
        <v>70.8</v>
      </c>
      <c r="M105">
        <v>10.63</v>
      </c>
      <c r="N105">
        <v>18.600000000000001</v>
      </c>
    </row>
    <row r="106" spans="1:14">
      <c r="A106">
        <v>0.21160999999999999</v>
      </c>
      <c r="B106">
        <v>0</v>
      </c>
      <c r="C106">
        <v>8.56</v>
      </c>
      <c r="D106">
        <v>0</v>
      </c>
      <c r="E106">
        <v>0.52</v>
      </c>
      <c r="F106">
        <v>6.1369999999999996</v>
      </c>
      <c r="G106">
        <v>87.4</v>
      </c>
      <c r="H106">
        <v>2.7147000000000001</v>
      </c>
      <c r="I106">
        <v>5</v>
      </c>
      <c r="J106">
        <v>384</v>
      </c>
      <c r="K106">
        <v>20.9</v>
      </c>
      <c r="L106">
        <v>394.47</v>
      </c>
      <c r="M106">
        <v>13.44</v>
      </c>
      <c r="N106">
        <v>19.3</v>
      </c>
    </row>
    <row r="107" spans="1:14">
      <c r="A107">
        <v>0.1396</v>
      </c>
      <c r="B107">
        <v>0</v>
      </c>
      <c r="C107">
        <v>8.56</v>
      </c>
      <c r="D107">
        <v>0</v>
      </c>
      <c r="E107">
        <v>0.52</v>
      </c>
      <c r="F107">
        <v>6.1669999999999998</v>
      </c>
      <c r="G107">
        <v>90</v>
      </c>
      <c r="H107">
        <v>2.4209999999999998</v>
      </c>
      <c r="I107">
        <v>5</v>
      </c>
      <c r="J107">
        <v>384</v>
      </c>
      <c r="K107">
        <v>20.9</v>
      </c>
      <c r="L107">
        <v>392.69</v>
      </c>
      <c r="M107">
        <v>12.33</v>
      </c>
      <c r="N107">
        <v>20.100000000000001</v>
      </c>
    </row>
    <row r="108" spans="1:14">
      <c r="A108">
        <v>0.13261999999999999</v>
      </c>
      <c r="B108">
        <v>0</v>
      </c>
      <c r="C108">
        <v>8.56</v>
      </c>
      <c r="D108">
        <v>0</v>
      </c>
      <c r="E108">
        <v>0.52</v>
      </c>
      <c r="F108">
        <v>5.851</v>
      </c>
      <c r="G108">
        <v>96.7</v>
      </c>
      <c r="H108">
        <v>2.1069</v>
      </c>
      <c r="I108">
        <v>5</v>
      </c>
      <c r="J108">
        <v>384</v>
      </c>
      <c r="K108">
        <v>20.9</v>
      </c>
      <c r="L108">
        <v>394.05</v>
      </c>
      <c r="M108">
        <v>16.47</v>
      </c>
      <c r="N108">
        <v>19.5</v>
      </c>
    </row>
    <row r="109" spans="1:14">
      <c r="A109">
        <v>0.17119999999999999</v>
      </c>
      <c r="B109">
        <v>0</v>
      </c>
      <c r="C109">
        <v>8.56</v>
      </c>
      <c r="D109">
        <v>0</v>
      </c>
      <c r="E109">
        <v>0.52</v>
      </c>
      <c r="F109">
        <v>5.8360000000000003</v>
      </c>
      <c r="G109">
        <v>91.9</v>
      </c>
      <c r="H109">
        <v>2.2109999999999999</v>
      </c>
      <c r="I109">
        <v>5</v>
      </c>
      <c r="J109">
        <v>384</v>
      </c>
      <c r="K109">
        <v>20.9</v>
      </c>
      <c r="L109">
        <v>395.67</v>
      </c>
      <c r="M109">
        <v>18.66</v>
      </c>
      <c r="N109">
        <v>19.5</v>
      </c>
    </row>
    <row r="110" spans="1:14">
      <c r="A110">
        <v>0.13117000000000001</v>
      </c>
      <c r="B110">
        <v>0</v>
      </c>
      <c r="C110">
        <v>8.56</v>
      </c>
      <c r="D110">
        <v>0</v>
      </c>
      <c r="E110">
        <v>0.52</v>
      </c>
      <c r="F110">
        <v>6.1269999999999998</v>
      </c>
      <c r="G110">
        <v>85.2</v>
      </c>
      <c r="H110">
        <v>2.1223999999999998</v>
      </c>
      <c r="I110">
        <v>5</v>
      </c>
      <c r="J110">
        <v>384</v>
      </c>
      <c r="K110">
        <v>20.9</v>
      </c>
      <c r="L110">
        <v>387.69</v>
      </c>
      <c r="M110">
        <v>14.09</v>
      </c>
      <c r="N110">
        <v>20.399999999999999</v>
      </c>
    </row>
    <row r="111" spans="1:14">
      <c r="A111">
        <v>0.12801999999999999</v>
      </c>
      <c r="B111">
        <v>0</v>
      </c>
      <c r="C111">
        <v>8.56</v>
      </c>
      <c r="D111">
        <v>0</v>
      </c>
      <c r="E111">
        <v>0.52</v>
      </c>
      <c r="F111">
        <v>6.4740000000000002</v>
      </c>
      <c r="G111">
        <v>97.1</v>
      </c>
      <c r="H111">
        <v>2.4329000000000001</v>
      </c>
      <c r="I111">
        <v>5</v>
      </c>
      <c r="J111">
        <v>384</v>
      </c>
      <c r="K111">
        <v>20.9</v>
      </c>
      <c r="L111">
        <v>395.24</v>
      </c>
      <c r="M111">
        <v>12.27</v>
      </c>
      <c r="N111">
        <v>19.8</v>
      </c>
    </row>
    <row r="112" spans="1:14">
      <c r="A112">
        <v>0.26362999999999998</v>
      </c>
      <c r="B112">
        <v>0</v>
      </c>
      <c r="C112">
        <v>8.56</v>
      </c>
      <c r="D112">
        <v>0</v>
      </c>
      <c r="E112">
        <v>0.52</v>
      </c>
      <c r="F112">
        <v>6.2290000000000001</v>
      </c>
      <c r="G112">
        <v>91.2</v>
      </c>
      <c r="H112">
        <v>2.5451000000000001</v>
      </c>
      <c r="I112">
        <v>5</v>
      </c>
      <c r="J112">
        <v>384</v>
      </c>
      <c r="K112">
        <v>20.9</v>
      </c>
      <c r="L112">
        <v>391.23</v>
      </c>
      <c r="M112">
        <v>15.55</v>
      </c>
      <c r="N112">
        <v>19.399999999999999</v>
      </c>
    </row>
    <row r="113" spans="1:14">
      <c r="A113">
        <v>0.10793</v>
      </c>
      <c r="B113">
        <v>0</v>
      </c>
      <c r="C113">
        <v>8.56</v>
      </c>
      <c r="D113">
        <v>0</v>
      </c>
      <c r="E113">
        <v>0.52</v>
      </c>
      <c r="F113">
        <v>6.1950000000000003</v>
      </c>
      <c r="G113">
        <v>54.4</v>
      </c>
      <c r="H113">
        <v>2.7778</v>
      </c>
      <c r="I113">
        <v>5</v>
      </c>
      <c r="J113">
        <v>384</v>
      </c>
      <c r="K113">
        <v>20.9</v>
      </c>
      <c r="L113">
        <v>393.49</v>
      </c>
      <c r="M113">
        <v>13</v>
      </c>
      <c r="N113">
        <v>21.7</v>
      </c>
    </row>
    <row r="114" spans="1:14">
      <c r="A114">
        <v>0.10084</v>
      </c>
      <c r="B114">
        <v>0</v>
      </c>
      <c r="C114">
        <v>10.01</v>
      </c>
      <c r="D114">
        <v>0</v>
      </c>
      <c r="E114">
        <v>0.54700000000000004</v>
      </c>
      <c r="F114">
        <v>6.7149999999999999</v>
      </c>
      <c r="G114">
        <v>81.599999999999994</v>
      </c>
      <c r="H114">
        <v>2.6775000000000002</v>
      </c>
      <c r="I114">
        <v>6</v>
      </c>
      <c r="J114">
        <v>432</v>
      </c>
      <c r="K114">
        <v>17.8</v>
      </c>
      <c r="L114">
        <v>395.59</v>
      </c>
      <c r="M114">
        <v>10.16</v>
      </c>
      <c r="N114">
        <v>22.8</v>
      </c>
    </row>
    <row r="115" spans="1:14">
      <c r="A115">
        <v>0.12329</v>
      </c>
      <c r="B115">
        <v>0</v>
      </c>
      <c r="C115">
        <v>10.01</v>
      </c>
      <c r="D115">
        <v>0</v>
      </c>
      <c r="E115">
        <v>0.54700000000000004</v>
      </c>
      <c r="F115">
        <v>5.9130000000000003</v>
      </c>
      <c r="G115">
        <v>92.9</v>
      </c>
      <c r="H115">
        <v>2.3534000000000002</v>
      </c>
      <c r="I115">
        <v>6</v>
      </c>
      <c r="J115">
        <v>432</v>
      </c>
      <c r="K115">
        <v>17.8</v>
      </c>
      <c r="L115">
        <v>394.95</v>
      </c>
      <c r="M115">
        <v>16.21</v>
      </c>
      <c r="N115">
        <v>18.8</v>
      </c>
    </row>
    <row r="116" spans="1:14">
      <c r="A116">
        <v>0.22212000000000001</v>
      </c>
      <c r="B116">
        <v>0</v>
      </c>
      <c r="C116">
        <v>10.01</v>
      </c>
      <c r="D116">
        <v>0</v>
      </c>
      <c r="E116">
        <v>0.54700000000000004</v>
      </c>
      <c r="F116">
        <v>6.0919999999999996</v>
      </c>
      <c r="G116">
        <v>95.4</v>
      </c>
      <c r="H116">
        <v>2.548</v>
      </c>
      <c r="I116">
        <v>6</v>
      </c>
      <c r="J116">
        <v>432</v>
      </c>
      <c r="K116">
        <v>17.8</v>
      </c>
      <c r="L116">
        <v>396.9</v>
      </c>
      <c r="M116">
        <v>17.09</v>
      </c>
      <c r="N116">
        <v>18.7</v>
      </c>
    </row>
    <row r="117" spans="1:14">
      <c r="A117">
        <v>0.14230999999999999</v>
      </c>
      <c r="B117">
        <v>0</v>
      </c>
      <c r="C117">
        <v>10.01</v>
      </c>
      <c r="D117">
        <v>0</v>
      </c>
      <c r="E117">
        <v>0.54700000000000004</v>
      </c>
      <c r="F117">
        <v>6.2539999999999996</v>
      </c>
      <c r="G117">
        <v>84.2</v>
      </c>
      <c r="H117">
        <v>2.2565</v>
      </c>
      <c r="I117">
        <v>6</v>
      </c>
      <c r="J117">
        <v>432</v>
      </c>
      <c r="K117">
        <v>17.8</v>
      </c>
      <c r="L117">
        <v>388.74</v>
      </c>
      <c r="M117">
        <v>10.45</v>
      </c>
      <c r="N117">
        <v>18.5</v>
      </c>
    </row>
    <row r="118" spans="1:14">
      <c r="A118">
        <v>0.17133999999999999</v>
      </c>
      <c r="B118">
        <v>0</v>
      </c>
      <c r="C118">
        <v>10.01</v>
      </c>
      <c r="D118">
        <v>0</v>
      </c>
      <c r="E118">
        <v>0.54700000000000004</v>
      </c>
      <c r="F118">
        <v>5.9279999999999999</v>
      </c>
      <c r="G118">
        <v>88.2</v>
      </c>
      <c r="H118">
        <v>2.4630999999999998</v>
      </c>
      <c r="I118">
        <v>6</v>
      </c>
      <c r="J118">
        <v>432</v>
      </c>
      <c r="K118">
        <v>17.8</v>
      </c>
      <c r="L118">
        <v>344.91</v>
      </c>
      <c r="M118">
        <v>15.76</v>
      </c>
      <c r="N118">
        <v>18.3</v>
      </c>
    </row>
    <row r="119" spans="1:14">
      <c r="A119">
        <v>0.13158</v>
      </c>
      <c r="B119">
        <v>0</v>
      </c>
      <c r="C119">
        <v>10.01</v>
      </c>
      <c r="D119">
        <v>0</v>
      </c>
      <c r="E119">
        <v>0.54700000000000004</v>
      </c>
      <c r="F119">
        <v>6.1760000000000002</v>
      </c>
      <c r="G119">
        <v>72.5</v>
      </c>
      <c r="H119">
        <v>2.7301000000000002</v>
      </c>
      <c r="I119">
        <v>6</v>
      </c>
      <c r="J119">
        <v>432</v>
      </c>
      <c r="K119">
        <v>17.8</v>
      </c>
      <c r="L119">
        <v>393.3</v>
      </c>
      <c r="M119">
        <v>12.04</v>
      </c>
      <c r="N119">
        <v>21.2</v>
      </c>
    </row>
    <row r="120" spans="1:14">
      <c r="A120">
        <v>0.15098</v>
      </c>
      <c r="B120">
        <v>0</v>
      </c>
      <c r="C120">
        <v>10.01</v>
      </c>
      <c r="D120">
        <v>0</v>
      </c>
      <c r="E120">
        <v>0.54700000000000004</v>
      </c>
      <c r="F120">
        <v>6.0209999999999999</v>
      </c>
      <c r="G120">
        <v>82.6</v>
      </c>
      <c r="H120">
        <v>2.7473999999999998</v>
      </c>
      <c r="I120">
        <v>6</v>
      </c>
      <c r="J120">
        <v>432</v>
      </c>
      <c r="K120">
        <v>17.8</v>
      </c>
      <c r="L120">
        <v>394.51</v>
      </c>
      <c r="M120">
        <v>10.3</v>
      </c>
      <c r="N120">
        <v>19.2</v>
      </c>
    </row>
    <row r="121" spans="1:14">
      <c r="A121">
        <v>0.13058</v>
      </c>
      <c r="B121">
        <v>0</v>
      </c>
      <c r="C121">
        <v>10.01</v>
      </c>
      <c r="D121">
        <v>0</v>
      </c>
      <c r="E121">
        <v>0.54700000000000004</v>
      </c>
      <c r="F121">
        <v>5.8719999999999999</v>
      </c>
      <c r="G121">
        <v>73.099999999999994</v>
      </c>
      <c r="H121">
        <v>2.4775</v>
      </c>
      <c r="I121">
        <v>6</v>
      </c>
      <c r="J121">
        <v>432</v>
      </c>
      <c r="K121">
        <v>17.8</v>
      </c>
      <c r="L121">
        <v>338.63</v>
      </c>
      <c r="M121">
        <v>15.37</v>
      </c>
      <c r="N121">
        <v>20.399999999999999</v>
      </c>
    </row>
    <row r="122" spans="1:14">
      <c r="A122">
        <v>0.14476</v>
      </c>
      <c r="B122">
        <v>0</v>
      </c>
      <c r="C122">
        <v>10.01</v>
      </c>
      <c r="D122">
        <v>0</v>
      </c>
      <c r="E122">
        <v>0.54700000000000004</v>
      </c>
      <c r="F122">
        <v>5.7309999999999999</v>
      </c>
      <c r="G122">
        <v>65.2</v>
      </c>
      <c r="H122">
        <v>2.7591999999999999</v>
      </c>
      <c r="I122">
        <v>6</v>
      </c>
      <c r="J122">
        <v>432</v>
      </c>
      <c r="K122">
        <v>17.8</v>
      </c>
      <c r="L122">
        <v>391.5</v>
      </c>
      <c r="M122">
        <v>13.61</v>
      </c>
      <c r="N122">
        <v>19.3</v>
      </c>
    </row>
    <row r="123" spans="1:14">
      <c r="A123">
        <v>6.8989999999999996E-2</v>
      </c>
      <c r="B123">
        <v>0</v>
      </c>
      <c r="C123">
        <v>25.65</v>
      </c>
      <c r="D123">
        <v>0</v>
      </c>
      <c r="E123">
        <v>0.58099999999999996</v>
      </c>
      <c r="F123">
        <v>5.87</v>
      </c>
      <c r="G123">
        <v>69.7</v>
      </c>
      <c r="H123">
        <v>2.2576999999999998</v>
      </c>
      <c r="I123">
        <v>2</v>
      </c>
      <c r="J123">
        <v>188</v>
      </c>
      <c r="K123">
        <v>19.100000000000001</v>
      </c>
      <c r="L123">
        <v>389.15</v>
      </c>
      <c r="M123">
        <v>14.37</v>
      </c>
      <c r="N123">
        <v>22</v>
      </c>
    </row>
    <row r="124" spans="1:14">
      <c r="A124">
        <v>7.1650000000000005E-2</v>
      </c>
      <c r="B124">
        <v>0</v>
      </c>
      <c r="C124">
        <v>25.65</v>
      </c>
      <c r="D124">
        <v>0</v>
      </c>
      <c r="E124">
        <v>0.58099999999999996</v>
      </c>
      <c r="F124">
        <v>6.0039999999999996</v>
      </c>
      <c r="G124">
        <v>84.1</v>
      </c>
      <c r="H124">
        <v>2.1974</v>
      </c>
      <c r="I124">
        <v>2</v>
      </c>
      <c r="J124">
        <v>188</v>
      </c>
      <c r="K124">
        <v>19.100000000000001</v>
      </c>
      <c r="L124">
        <v>377.67</v>
      </c>
      <c r="M124">
        <v>14.27</v>
      </c>
      <c r="N124">
        <v>20.3</v>
      </c>
    </row>
    <row r="125" spans="1:14">
      <c r="A125">
        <v>9.2990000000000003E-2</v>
      </c>
      <c r="B125">
        <v>0</v>
      </c>
      <c r="C125">
        <v>25.65</v>
      </c>
      <c r="D125">
        <v>0</v>
      </c>
      <c r="E125">
        <v>0.58099999999999996</v>
      </c>
      <c r="F125">
        <v>5.9610000000000003</v>
      </c>
      <c r="G125">
        <v>92.9</v>
      </c>
      <c r="H125">
        <v>2.0869</v>
      </c>
      <c r="I125">
        <v>2</v>
      </c>
      <c r="J125">
        <v>188</v>
      </c>
      <c r="K125">
        <v>19.100000000000001</v>
      </c>
      <c r="L125">
        <v>378.09</v>
      </c>
      <c r="M125">
        <v>17.93</v>
      </c>
      <c r="N125">
        <v>20.5</v>
      </c>
    </row>
    <row r="126" spans="1:14">
      <c r="A126">
        <v>0.15038000000000001</v>
      </c>
      <c r="B126">
        <v>0</v>
      </c>
      <c r="C126">
        <v>25.65</v>
      </c>
      <c r="D126">
        <v>0</v>
      </c>
      <c r="E126">
        <v>0.58099999999999996</v>
      </c>
      <c r="F126">
        <v>5.8559999999999999</v>
      </c>
      <c r="G126">
        <v>97</v>
      </c>
      <c r="H126">
        <v>1.9443999999999999</v>
      </c>
      <c r="I126">
        <v>2</v>
      </c>
      <c r="J126">
        <v>188</v>
      </c>
      <c r="K126">
        <v>19.100000000000001</v>
      </c>
      <c r="L126">
        <v>370.31</v>
      </c>
      <c r="M126">
        <v>25.41</v>
      </c>
      <c r="N126">
        <v>17.3</v>
      </c>
    </row>
    <row r="127" spans="1:14">
      <c r="A127">
        <v>9.8489999999999994E-2</v>
      </c>
      <c r="B127">
        <v>0</v>
      </c>
      <c r="C127">
        <v>25.65</v>
      </c>
      <c r="D127">
        <v>0</v>
      </c>
      <c r="E127">
        <v>0.58099999999999996</v>
      </c>
      <c r="F127">
        <v>5.8789999999999996</v>
      </c>
      <c r="G127">
        <v>95.8</v>
      </c>
      <c r="H127">
        <v>2.0063</v>
      </c>
      <c r="I127">
        <v>2</v>
      </c>
      <c r="J127">
        <v>188</v>
      </c>
      <c r="K127">
        <v>19.100000000000001</v>
      </c>
      <c r="L127">
        <v>379.38</v>
      </c>
      <c r="M127">
        <v>17.579999999999998</v>
      </c>
      <c r="N127">
        <v>18.8</v>
      </c>
    </row>
    <row r="128" spans="1:14">
      <c r="A128">
        <v>0.16902</v>
      </c>
      <c r="B128">
        <v>0</v>
      </c>
      <c r="C128">
        <v>25.65</v>
      </c>
      <c r="D128">
        <v>0</v>
      </c>
      <c r="E128">
        <v>0.58099999999999996</v>
      </c>
      <c r="F128">
        <v>5.9859999999999998</v>
      </c>
      <c r="G128">
        <v>88.4</v>
      </c>
      <c r="H128">
        <v>1.9928999999999999</v>
      </c>
      <c r="I128">
        <v>2</v>
      </c>
      <c r="J128">
        <v>188</v>
      </c>
      <c r="K128">
        <v>19.100000000000001</v>
      </c>
      <c r="L128">
        <v>385.02</v>
      </c>
      <c r="M128">
        <v>14.81</v>
      </c>
      <c r="N128">
        <v>21.4</v>
      </c>
    </row>
    <row r="129" spans="1:14">
      <c r="A129">
        <v>0.38735000000000003</v>
      </c>
      <c r="B129">
        <v>0</v>
      </c>
      <c r="C129">
        <v>25.65</v>
      </c>
      <c r="D129">
        <v>0</v>
      </c>
      <c r="E129">
        <v>0.58099999999999996</v>
      </c>
      <c r="F129">
        <v>5.6130000000000004</v>
      </c>
      <c r="G129">
        <v>95.6</v>
      </c>
      <c r="H129">
        <v>1.7572000000000001</v>
      </c>
      <c r="I129">
        <v>2</v>
      </c>
      <c r="J129">
        <v>188</v>
      </c>
      <c r="K129">
        <v>19.100000000000001</v>
      </c>
      <c r="L129">
        <v>359.29</v>
      </c>
      <c r="M129">
        <v>27.26</v>
      </c>
      <c r="N129">
        <v>15.7</v>
      </c>
    </row>
    <row r="130" spans="1:14">
      <c r="A130">
        <v>0.25914999999999999</v>
      </c>
      <c r="B130">
        <v>0</v>
      </c>
      <c r="C130">
        <v>21.89</v>
      </c>
      <c r="D130">
        <v>0</v>
      </c>
      <c r="E130">
        <v>0.624</v>
      </c>
      <c r="F130">
        <v>5.6929999999999996</v>
      </c>
      <c r="G130">
        <v>96</v>
      </c>
      <c r="H130">
        <v>1.7883</v>
      </c>
      <c r="I130">
        <v>4</v>
      </c>
      <c r="J130">
        <v>437</v>
      </c>
      <c r="K130">
        <v>21.2</v>
      </c>
      <c r="L130">
        <v>392.11</v>
      </c>
      <c r="M130">
        <v>17.190000000000001</v>
      </c>
      <c r="N130">
        <v>16.2</v>
      </c>
    </row>
    <row r="131" spans="1:14">
      <c r="A131">
        <v>0.32543</v>
      </c>
      <c r="B131">
        <v>0</v>
      </c>
      <c r="C131">
        <v>21.89</v>
      </c>
      <c r="D131">
        <v>0</v>
      </c>
      <c r="E131">
        <v>0.624</v>
      </c>
      <c r="F131">
        <v>6.431</v>
      </c>
      <c r="G131">
        <v>98.8</v>
      </c>
      <c r="H131">
        <v>1.8125</v>
      </c>
      <c r="I131">
        <v>4</v>
      </c>
      <c r="J131">
        <v>437</v>
      </c>
      <c r="K131">
        <v>21.2</v>
      </c>
      <c r="L131">
        <v>396.9</v>
      </c>
      <c r="M131">
        <v>15.39</v>
      </c>
      <c r="N131">
        <v>18</v>
      </c>
    </row>
    <row r="132" spans="1:14">
      <c r="A132">
        <v>0.88124999999999998</v>
      </c>
      <c r="B132">
        <v>0</v>
      </c>
      <c r="C132">
        <v>21.89</v>
      </c>
      <c r="D132">
        <v>0</v>
      </c>
      <c r="E132">
        <v>0.624</v>
      </c>
      <c r="F132">
        <v>5.6369999999999996</v>
      </c>
      <c r="G132">
        <v>94.7</v>
      </c>
      <c r="H132">
        <v>1.9799</v>
      </c>
      <c r="I132">
        <v>4</v>
      </c>
      <c r="J132">
        <v>437</v>
      </c>
      <c r="K132">
        <v>21.2</v>
      </c>
      <c r="L132">
        <v>396.9</v>
      </c>
      <c r="M132">
        <v>18.34</v>
      </c>
      <c r="N132">
        <v>14.3</v>
      </c>
    </row>
    <row r="133" spans="1:14">
      <c r="A133">
        <v>0.34005999999999997</v>
      </c>
      <c r="B133">
        <v>0</v>
      </c>
      <c r="C133">
        <v>21.89</v>
      </c>
      <c r="D133">
        <v>0</v>
      </c>
      <c r="E133">
        <v>0.624</v>
      </c>
      <c r="F133">
        <v>6.4580000000000002</v>
      </c>
      <c r="G133">
        <v>98.9</v>
      </c>
      <c r="H133">
        <v>2.1185</v>
      </c>
      <c r="I133">
        <v>4</v>
      </c>
      <c r="J133">
        <v>437</v>
      </c>
      <c r="K133">
        <v>21.2</v>
      </c>
      <c r="L133">
        <v>395.04</v>
      </c>
      <c r="M133">
        <v>12.6</v>
      </c>
      <c r="N133">
        <v>19.2</v>
      </c>
    </row>
    <row r="134" spans="1:14">
      <c r="A134">
        <v>1.1929399999999999</v>
      </c>
      <c r="B134">
        <v>0</v>
      </c>
      <c r="C134">
        <v>21.89</v>
      </c>
      <c r="D134">
        <v>0</v>
      </c>
      <c r="E134">
        <v>0.624</v>
      </c>
      <c r="F134">
        <v>6.3259999999999996</v>
      </c>
      <c r="G134">
        <v>97.7</v>
      </c>
      <c r="H134">
        <v>2.2709999999999999</v>
      </c>
      <c r="I134">
        <v>4</v>
      </c>
      <c r="J134">
        <v>437</v>
      </c>
      <c r="K134">
        <v>21.2</v>
      </c>
      <c r="L134">
        <v>396.9</v>
      </c>
      <c r="M134">
        <v>12.26</v>
      </c>
      <c r="N134">
        <v>19.600000000000001</v>
      </c>
    </row>
    <row r="135" spans="1:14">
      <c r="A135">
        <v>0.59004999999999996</v>
      </c>
      <c r="B135">
        <v>0</v>
      </c>
      <c r="C135">
        <v>21.89</v>
      </c>
      <c r="D135">
        <v>0</v>
      </c>
      <c r="E135">
        <v>0.624</v>
      </c>
      <c r="F135">
        <v>6.3719999999999999</v>
      </c>
      <c r="G135">
        <v>97.9</v>
      </c>
      <c r="H135">
        <v>2.3273999999999999</v>
      </c>
      <c r="I135">
        <v>4</v>
      </c>
      <c r="J135">
        <v>437</v>
      </c>
      <c r="K135">
        <v>21.2</v>
      </c>
      <c r="L135">
        <v>385.76</v>
      </c>
      <c r="M135">
        <v>11.12</v>
      </c>
      <c r="N135">
        <v>23</v>
      </c>
    </row>
    <row r="136" spans="1:14">
      <c r="A136">
        <v>0.32982</v>
      </c>
      <c r="B136">
        <v>0</v>
      </c>
      <c r="C136">
        <v>21.89</v>
      </c>
      <c r="D136">
        <v>0</v>
      </c>
      <c r="E136">
        <v>0.624</v>
      </c>
      <c r="F136">
        <v>5.8220000000000001</v>
      </c>
      <c r="G136">
        <v>95.4</v>
      </c>
      <c r="H136">
        <v>2.4699</v>
      </c>
      <c r="I136">
        <v>4</v>
      </c>
      <c r="J136">
        <v>437</v>
      </c>
      <c r="K136">
        <v>21.2</v>
      </c>
      <c r="L136">
        <v>388.69</v>
      </c>
      <c r="M136">
        <v>15.03</v>
      </c>
      <c r="N136">
        <v>18.399999999999999</v>
      </c>
    </row>
    <row r="137" spans="1:14">
      <c r="A137">
        <v>0.97616999999999998</v>
      </c>
      <c r="B137">
        <v>0</v>
      </c>
      <c r="C137">
        <v>21.89</v>
      </c>
      <c r="D137">
        <v>0</v>
      </c>
      <c r="E137">
        <v>0.624</v>
      </c>
      <c r="F137">
        <v>5.7569999999999997</v>
      </c>
      <c r="G137">
        <v>98.4</v>
      </c>
      <c r="H137">
        <v>2.3460000000000001</v>
      </c>
      <c r="I137">
        <v>4</v>
      </c>
      <c r="J137">
        <v>437</v>
      </c>
      <c r="K137">
        <v>21.2</v>
      </c>
      <c r="L137">
        <v>262.76</v>
      </c>
      <c r="M137">
        <v>17.309999999999999</v>
      </c>
      <c r="N137">
        <v>15.6</v>
      </c>
    </row>
    <row r="138" spans="1:14">
      <c r="A138">
        <v>0.55778000000000005</v>
      </c>
      <c r="B138">
        <v>0</v>
      </c>
      <c r="C138">
        <v>21.89</v>
      </c>
      <c r="D138">
        <v>0</v>
      </c>
      <c r="E138">
        <v>0.624</v>
      </c>
      <c r="F138">
        <v>6.335</v>
      </c>
      <c r="G138">
        <v>98.2</v>
      </c>
      <c r="H138">
        <v>2.1107</v>
      </c>
      <c r="I138">
        <v>4</v>
      </c>
      <c r="J138">
        <v>437</v>
      </c>
      <c r="K138">
        <v>21.2</v>
      </c>
      <c r="L138">
        <v>394.67</v>
      </c>
      <c r="M138">
        <v>16.96</v>
      </c>
      <c r="N138">
        <v>18.100000000000001</v>
      </c>
    </row>
    <row r="139" spans="1:14">
      <c r="A139">
        <v>0.32263999999999998</v>
      </c>
      <c r="B139">
        <v>0</v>
      </c>
      <c r="C139">
        <v>21.89</v>
      </c>
      <c r="D139">
        <v>0</v>
      </c>
      <c r="E139">
        <v>0.624</v>
      </c>
      <c r="F139">
        <v>5.9420000000000002</v>
      </c>
      <c r="G139">
        <v>93.5</v>
      </c>
      <c r="H139">
        <v>1.9669000000000001</v>
      </c>
      <c r="I139">
        <v>4</v>
      </c>
      <c r="J139">
        <v>437</v>
      </c>
      <c r="K139">
        <v>21.2</v>
      </c>
      <c r="L139">
        <v>378.25</v>
      </c>
      <c r="M139">
        <v>16.899999999999999</v>
      </c>
      <c r="N139">
        <v>17.399999999999999</v>
      </c>
    </row>
    <row r="140" spans="1:14">
      <c r="A140">
        <v>0.35232999999999998</v>
      </c>
      <c r="B140">
        <v>0</v>
      </c>
      <c r="C140">
        <v>21.89</v>
      </c>
      <c r="D140">
        <v>0</v>
      </c>
      <c r="E140">
        <v>0.624</v>
      </c>
      <c r="F140">
        <v>6.4539999999999997</v>
      </c>
      <c r="G140">
        <v>98.4</v>
      </c>
      <c r="H140">
        <v>1.8498000000000001</v>
      </c>
      <c r="I140">
        <v>4</v>
      </c>
      <c r="J140">
        <v>437</v>
      </c>
      <c r="K140">
        <v>21.2</v>
      </c>
      <c r="L140">
        <v>394.08</v>
      </c>
      <c r="M140">
        <v>14.59</v>
      </c>
      <c r="N140">
        <v>17.100000000000001</v>
      </c>
    </row>
    <row r="141" spans="1:14">
      <c r="A141">
        <v>0.24979999999999999</v>
      </c>
      <c r="B141">
        <v>0</v>
      </c>
      <c r="C141">
        <v>21.89</v>
      </c>
      <c r="D141">
        <v>0</v>
      </c>
      <c r="E141">
        <v>0.624</v>
      </c>
      <c r="F141">
        <v>5.8570000000000002</v>
      </c>
      <c r="G141">
        <v>98.2</v>
      </c>
      <c r="H141">
        <v>1.6686000000000001</v>
      </c>
      <c r="I141">
        <v>4</v>
      </c>
      <c r="J141">
        <v>437</v>
      </c>
      <c r="K141">
        <v>21.2</v>
      </c>
      <c r="L141">
        <v>392.04</v>
      </c>
      <c r="M141">
        <v>21.32</v>
      </c>
      <c r="N141">
        <v>13.3</v>
      </c>
    </row>
    <row r="142" spans="1:14">
      <c r="A142">
        <v>0.54452</v>
      </c>
      <c r="B142">
        <v>0</v>
      </c>
      <c r="C142">
        <v>21.89</v>
      </c>
      <c r="D142">
        <v>0</v>
      </c>
      <c r="E142">
        <v>0.624</v>
      </c>
      <c r="F142">
        <v>6.1509999999999998</v>
      </c>
      <c r="G142">
        <v>97.9</v>
      </c>
      <c r="H142">
        <v>1.6687000000000001</v>
      </c>
      <c r="I142">
        <v>4</v>
      </c>
      <c r="J142">
        <v>437</v>
      </c>
      <c r="K142">
        <v>21.2</v>
      </c>
      <c r="L142">
        <v>396.9</v>
      </c>
      <c r="M142">
        <v>18.46</v>
      </c>
      <c r="N142">
        <v>17.8</v>
      </c>
    </row>
    <row r="143" spans="1:14">
      <c r="A143">
        <v>0.29089999999999999</v>
      </c>
      <c r="B143">
        <v>0</v>
      </c>
      <c r="C143">
        <v>21.89</v>
      </c>
      <c r="D143">
        <v>0</v>
      </c>
      <c r="E143">
        <v>0.624</v>
      </c>
      <c r="F143">
        <v>6.1740000000000004</v>
      </c>
      <c r="G143">
        <v>93.6</v>
      </c>
      <c r="H143">
        <v>1.6119000000000001</v>
      </c>
      <c r="I143">
        <v>4</v>
      </c>
      <c r="J143">
        <v>437</v>
      </c>
      <c r="K143">
        <v>21.2</v>
      </c>
      <c r="L143">
        <v>388.08</v>
      </c>
      <c r="M143">
        <v>24.16</v>
      </c>
      <c r="N143">
        <v>14</v>
      </c>
    </row>
    <row r="144" spans="1:14">
      <c r="A144">
        <v>1.6286400000000001</v>
      </c>
      <c r="B144">
        <v>0</v>
      </c>
      <c r="C144">
        <v>21.89</v>
      </c>
      <c r="D144">
        <v>0</v>
      </c>
      <c r="E144">
        <v>0.624</v>
      </c>
      <c r="F144">
        <v>5.0190000000000001</v>
      </c>
      <c r="G144">
        <v>100</v>
      </c>
      <c r="H144">
        <v>1.4394</v>
      </c>
      <c r="I144">
        <v>4</v>
      </c>
      <c r="J144">
        <v>437</v>
      </c>
      <c r="K144">
        <v>21.2</v>
      </c>
      <c r="L144">
        <v>396.9</v>
      </c>
      <c r="M144">
        <v>34.409999999999997</v>
      </c>
      <c r="N144">
        <v>14.4</v>
      </c>
    </row>
    <row r="145" spans="1:14">
      <c r="A145">
        <v>3.3210500000000001</v>
      </c>
      <c r="B145">
        <v>0</v>
      </c>
      <c r="C145">
        <v>19.579999999999998</v>
      </c>
      <c r="D145">
        <v>1</v>
      </c>
      <c r="E145">
        <v>0.871</v>
      </c>
      <c r="F145">
        <v>5.4029999999999996</v>
      </c>
      <c r="G145">
        <v>100</v>
      </c>
      <c r="H145">
        <v>1.3216000000000001</v>
      </c>
      <c r="I145">
        <v>5</v>
      </c>
      <c r="J145">
        <v>403</v>
      </c>
      <c r="K145">
        <v>14.7</v>
      </c>
      <c r="L145">
        <v>396.9</v>
      </c>
      <c r="M145">
        <v>26.82</v>
      </c>
      <c r="N145">
        <v>13.4</v>
      </c>
    </row>
    <row r="146" spans="1:14">
      <c r="A146">
        <v>4.0974000000000004</v>
      </c>
      <c r="B146">
        <v>0</v>
      </c>
      <c r="C146">
        <v>19.579999999999998</v>
      </c>
      <c r="D146">
        <v>0</v>
      </c>
      <c r="E146">
        <v>0.871</v>
      </c>
      <c r="F146">
        <v>5.468</v>
      </c>
      <c r="G146">
        <v>100</v>
      </c>
      <c r="H146">
        <v>1.4117999999999999</v>
      </c>
      <c r="I146">
        <v>5</v>
      </c>
      <c r="J146">
        <v>403</v>
      </c>
      <c r="K146">
        <v>14.7</v>
      </c>
      <c r="L146">
        <v>396.9</v>
      </c>
      <c r="M146">
        <v>26.42</v>
      </c>
      <c r="N146">
        <v>15.6</v>
      </c>
    </row>
    <row r="147" spans="1:14">
      <c r="A147">
        <v>2.7797399999999999</v>
      </c>
      <c r="B147">
        <v>0</v>
      </c>
      <c r="C147">
        <v>19.579999999999998</v>
      </c>
      <c r="D147">
        <v>0</v>
      </c>
      <c r="E147">
        <v>0.871</v>
      </c>
      <c r="F147">
        <v>4.9029999999999996</v>
      </c>
      <c r="G147">
        <v>97.8</v>
      </c>
      <c r="H147">
        <v>1.3459000000000001</v>
      </c>
      <c r="I147">
        <v>5</v>
      </c>
      <c r="J147">
        <v>403</v>
      </c>
      <c r="K147">
        <v>14.7</v>
      </c>
      <c r="L147">
        <v>396.9</v>
      </c>
      <c r="M147">
        <v>29.29</v>
      </c>
      <c r="N147">
        <v>11.8</v>
      </c>
    </row>
    <row r="148" spans="1:14">
      <c r="A148">
        <v>2.37934</v>
      </c>
      <c r="B148">
        <v>0</v>
      </c>
      <c r="C148">
        <v>19.579999999999998</v>
      </c>
      <c r="D148">
        <v>0</v>
      </c>
      <c r="E148">
        <v>0.871</v>
      </c>
      <c r="F148">
        <v>6.13</v>
      </c>
      <c r="G148">
        <v>100</v>
      </c>
      <c r="H148">
        <v>1.4191</v>
      </c>
      <c r="I148">
        <v>5</v>
      </c>
      <c r="J148">
        <v>403</v>
      </c>
      <c r="K148">
        <v>14.7</v>
      </c>
      <c r="L148">
        <v>172.91</v>
      </c>
      <c r="M148">
        <v>27.8</v>
      </c>
      <c r="N148">
        <v>13.8</v>
      </c>
    </row>
    <row r="149" spans="1:14">
      <c r="A149">
        <v>2.1550500000000001</v>
      </c>
      <c r="B149">
        <v>0</v>
      </c>
      <c r="C149">
        <v>19.579999999999998</v>
      </c>
      <c r="D149">
        <v>0</v>
      </c>
      <c r="E149">
        <v>0.871</v>
      </c>
      <c r="F149">
        <v>5.6280000000000001</v>
      </c>
      <c r="G149">
        <v>100</v>
      </c>
      <c r="H149">
        <v>1.5165999999999999</v>
      </c>
      <c r="I149">
        <v>5</v>
      </c>
      <c r="J149">
        <v>403</v>
      </c>
      <c r="K149">
        <v>14.7</v>
      </c>
      <c r="L149">
        <v>169.27</v>
      </c>
      <c r="M149">
        <v>16.649999999999999</v>
      </c>
      <c r="N149">
        <v>15.6</v>
      </c>
    </row>
    <row r="150" spans="1:14">
      <c r="A150">
        <v>2.3686199999999999</v>
      </c>
      <c r="B150">
        <v>0</v>
      </c>
      <c r="C150">
        <v>19.579999999999998</v>
      </c>
      <c r="D150">
        <v>0</v>
      </c>
      <c r="E150">
        <v>0.871</v>
      </c>
      <c r="F150">
        <v>4.9260000000000002</v>
      </c>
      <c r="G150">
        <v>95.7</v>
      </c>
      <c r="H150">
        <v>1.4608000000000001</v>
      </c>
      <c r="I150">
        <v>5</v>
      </c>
      <c r="J150">
        <v>403</v>
      </c>
      <c r="K150">
        <v>14.7</v>
      </c>
      <c r="L150">
        <v>391.71</v>
      </c>
      <c r="M150">
        <v>29.53</v>
      </c>
      <c r="N150">
        <v>14.6</v>
      </c>
    </row>
    <row r="151" spans="1:14">
      <c r="A151">
        <v>2.3309899999999999</v>
      </c>
      <c r="B151">
        <v>0</v>
      </c>
      <c r="C151">
        <v>19.579999999999998</v>
      </c>
      <c r="D151">
        <v>0</v>
      </c>
      <c r="E151">
        <v>0.871</v>
      </c>
      <c r="F151">
        <v>5.1859999999999999</v>
      </c>
      <c r="G151">
        <v>93.8</v>
      </c>
      <c r="H151">
        <v>1.5296000000000001</v>
      </c>
      <c r="I151">
        <v>5</v>
      </c>
      <c r="J151">
        <v>403</v>
      </c>
      <c r="K151">
        <v>14.7</v>
      </c>
      <c r="L151">
        <v>356.99</v>
      </c>
      <c r="M151">
        <v>28.32</v>
      </c>
      <c r="N151">
        <v>17.8</v>
      </c>
    </row>
    <row r="152" spans="1:14">
      <c r="A152">
        <v>2.7339699999999998</v>
      </c>
      <c r="B152">
        <v>0</v>
      </c>
      <c r="C152">
        <v>19.579999999999998</v>
      </c>
      <c r="D152">
        <v>0</v>
      </c>
      <c r="E152">
        <v>0.871</v>
      </c>
      <c r="F152">
        <v>5.5970000000000004</v>
      </c>
      <c r="G152">
        <v>94.9</v>
      </c>
      <c r="H152">
        <v>1.5257000000000001</v>
      </c>
      <c r="I152">
        <v>5</v>
      </c>
      <c r="J152">
        <v>403</v>
      </c>
      <c r="K152">
        <v>14.7</v>
      </c>
      <c r="L152">
        <v>351.85</v>
      </c>
      <c r="M152">
        <v>21.45</v>
      </c>
      <c r="N152">
        <v>15.4</v>
      </c>
    </row>
    <row r="153" spans="1:14">
      <c r="A153">
        <v>1.6566000000000001</v>
      </c>
      <c r="B153">
        <v>0</v>
      </c>
      <c r="C153">
        <v>19.579999999999998</v>
      </c>
      <c r="D153">
        <v>0</v>
      </c>
      <c r="E153">
        <v>0.871</v>
      </c>
      <c r="F153">
        <v>6.1219999999999999</v>
      </c>
      <c r="G153">
        <v>97.3</v>
      </c>
      <c r="H153">
        <v>1.6180000000000001</v>
      </c>
      <c r="I153">
        <v>5</v>
      </c>
      <c r="J153">
        <v>403</v>
      </c>
      <c r="K153">
        <v>14.7</v>
      </c>
      <c r="L153">
        <v>372.8</v>
      </c>
      <c r="M153">
        <v>14.1</v>
      </c>
      <c r="N153">
        <v>21.5</v>
      </c>
    </row>
    <row r="154" spans="1:14">
      <c r="A154">
        <v>1.4963200000000001</v>
      </c>
      <c r="B154">
        <v>0</v>
      </c>
      <c r="C154">
        <v>19.579999999999998</v>
      </c>
      <c r="D154">
        <v>0</v>
      </c>
      <c r="E154">
        <v>0.871</v>
      </c>
      <c r="F154">
        <v>5.4039999999999999</v>
      </c>
      <c r="G154">
        <v>100</v>
      </c>
      <c r="H154">
        <v>1.5915999999999999</v>
      </c>
      <c r="I154">
        <v>5</v>
      </c>
      <c r="J154">
        <v>403</v>
      </c>
      <c r="K154">
        <v>14.7</v>
      </c>
      <c r="L154">
        <v>341.6</v>
      </c>
      <c r="M154">
        <v>13.28</v>
      </c>
      <c r="N154">
        <v>19.600000000000001</v>
      </c>
    </row>
    <row r="155" spans="1:14">
      <c r="A155">
        <v>1.1265799999999999</v>
      </c>
      <c r="B155">
        <v>0</v>
      </c>
      <c r="C155">
        <v>19.579999999999998</v>
      </c>
      <c r="D155">
        <v>1</v>
      </c>
      <c r="E155">
        <v>0.871</v>
      </c>
      <c r="F155">
        <v>5.0119999999999996</v>
      </c>
      <c r="G155">
        <v>88</v>
      </c>
      <c r="H155">
        <v>1.6102000000000001</v>
      </c>
      <c r="I155">
        <v>5</v>
      </c>
      <c r="J155">
        <v>403</v>
      </c>
      <c r="K155">
        <v>14.7</v>
      </c>
      <c r="L155">
        <v>343.28</v>
      </c>
      <c r="M155">
        <v>12.12</v>
      </c>
      <c r="N155">
        <v>15.3</v>
      </c>
    </row>
    <row r="156" spans="1:14">
      <c r="A156">
        <v>2.1491799999999999</v>
      </c>
      <c r="B156">
        <v>0</v>
      </c>
      <c r="C156">
        <v>19.579999999999998</v>
      </c>
      <c r="D156">
        <v>0</v>
      </c>
      <c r="E156">
        <v>0.871</v>
      </c>
      <c r="F156">
        <v>5.7089999999999996</v>
      </c>
      <c r="G156">
        <v>98.5</v>
      </c>
      <c r="H156">
        <v>1.6232</v>
      </c>
      <c r="I156">
        <v>5</v>
      </c>
      <c r="J156">
        <v>403</v>
      </c>
      <c r="K156">
        <v>14.7</v>
      </c>
      <c r="L156">
        <v>261.95</v>
      </c>
      <c r="M156">
        <v>15.79</v>
      </c>
      <c r="N156">
        <v>19.399999999999999</v>
      </c>
    </row>
    <row r="157" spans="1:14">
      <c r="A157">
        <v>1.4138500000000001</v>
      </c>
      <c r="B157">
        <v>0</v>
      </c>
      <c r="C157">
        <v>19.579999999999998</v>
      </c>
      <c r="D157">
        <v>1</v>
      </c>
      <c r="E157">
        <v>0.871</v>
      </c>
      <c r="F157">
        <v>6.1289999999999996</v>
      </c>
      <c r="G157">
        <v>96</v>
      </c>
      <c r="H157">
        <v>1.7494000000000001</v>
      </c>
      <c r="I157">
        <v>5</v>
      </c>
      <c r="J157">
        <v>403</v>
      </c>
      <c r="K157">
        <v>14.7</v>
      </c>
      <c r="L157">
        <v>321.02</v>
      </c>
      <c r="M157">
        <v>15.12</v>
      </c>
      <c r="N157">
        <v>17</v>
      </c>
    </row>
    <row r="158" spans="1:14">
      <c r="A158">
        <v>3.5350100000000002</v>
      </c>
      <c r="B158">
        <v>0</v>
      </c>
      <c r="C158">
        <v>19.579999999999998</v>
      </c>
      <c r="D158">
        <v>1</v>
      </c>
      <c r="E158">
        <v>0.871</v>
      </c>
      <c r="F158">
        <v>6.1520000000000001</v>
      </c>
      <c r="G158">
        <v>82.6</v>
      </c>
      <c r="H158">
        <v>1.7455000000000001</v>
      </c>
      <c r="I158">
        <v>5</v>
      </c>
      <c r="J158">
        <v>403</v>
      </c>
      <c r="K158">
        <v>14.7</v>
      </c>
      <c r="L158">
        <v>88.01</v>
      </c>
      <c r="M158">
        <v>15.02</v>
      </c>
      <c r="N158">
        <v>15.6</v>
      </c>
    </row>
    <row r="159" spans="1:14">
      <c r="A159">
        <v>2.4466800000000002</v>
      </c>
      <c r="B159">
        <v>0</v>
      </c>
      <c r="C159">
        <v>19.579999999999998</v>
      </c>
      <c r="D159">
        <v>0</v>
      </c>
      <c r="E159">
        <v>0.871</v>
      </c>
      <c r="F159">
        <v>5.2720000000000002</v>
      </c>
      <c r="G159">
        <v>94</v>
      </c>
      <c r="H159">
        <v>1.7363999999999999</v>
      </c>
      <c r="I159">
        <v>5</v>
      </c>
      <c r="J159">
        <v>403</v>
      </c>
      <c r="K159">
        <v>14.7</v>
      </c>
      <c r="L159">
        <v>88.63</v>
      </c>
      <c r="M159">
        <v>16.14</v>
      </c>
      <c r="N159">
        <v>13.1</v>
      </c>
    </row>
    <row r="160" spans="1:14">
      <c r="A160">
        <v>1.2235799999999999</v>
      </c>
      <c r="B160">
        <v>0</v>
      </c>
      <c r="C160">
        <v>19.579999999999998</v>
      </c>
      <c r="D160">
        <v>0</v>
      </c>
      <c r="E160">
        <v>0.60499999999999998</v>
      </c>
      <c r="F160">
        <v>6.9429999999999996</v>
      </c>
      <c r="G160">
        <v>97.4</v>
      </c>
      <c r="H160">
        <v>1.8773</v>
      </c>
      <c r="I160">
        <v>5</v>
      </c>
      <c r="J160">
        <v>403</v>
      </c>
      <c r="K160">
        <v>14.7</v>
      </c>
      <c r="L160">
        <v>363.43</v>
      </c>
      <c r="M160">
        <v>4.59</v>
      </c>
      <c r="N160">
        <v>41.3</v>
      </c>
    </row>
    <row r="161" spans="1:14">
      <c r="A161">
        <v>1.34284</v>
      </c>
      <c r="B161">
        <v>0</v>
      </c>
      <c r="C161">
        <v>19.579999999999998</v>
      </c>
      <c r="D161">
        <v>0</v>
      </c>
      <c r="E161">
        <v>0.60499999999999998</v>
      </c>
      <c r="F161">
        <v>6.0659999999999998</v>
      </c>
      <c r="G161">
        <v>100</v>
      </c>
      <c r="H161">
        <v>1.7573000000000001</v>
      </c>
      <c r="I161">
        <v>5</v>
      </c>
      <c r="J161">
        <v>403</v>
      </c>
      <c r="K161">
        <v>14.7</v>
      </c>
      <c r="L161">
        <v>353.89</v>
      </c>
      <c r="M161">
        <v>6.43</v>
      </c>
      <c r="N161">
        <v>24.3</v>
      </c>
    </row>
    <row r="162" spans="1:14">
      <c r="A162">
        <v>1.42502</v>
      </c>
      <c r="B162">
        <v>0</v>
      </c>
      <c r="C162">
        <v>19.579999999999998</v>
      </c>
      <c r="D162">
        <v>0</v>
      </c>
      <c r="E162">
        <v>0.871</v>
      </c>
      <c r="F162">
        <v>6.51</v>
      </c>
      <c r="G162">
        <v>100</v>
      </c>
      <c r="H162">
        <v>1.7659</v>
      </c>
      <c r="I162">
        <v>5</v>
      </c>
      <c r="J162">
        <v>403</v>
      </c>
      <c r="K162">
        <v>14.7</v>
      </c>
      <c r="L162">
        <v>364.31</v>
      </c>
      <c r="M162">
        <v>7.39</v>
      </c>
      <c r="N162">
        <v>23.3</v>
      </c>
    </row>
    <row r="163" spans="1:14">
      <c r="A163">
        <v>1.27346</v>
      </c>
      <c r="B163">
        <v>0</v>
      </c>
      <c r="C163">
        <v>19.579999999999998</v>
      </c>
      <c r="D163">
        <v>1</v>
      </c>
      <c r="E163">
        <v>0.60499999999999998</v>
      </c>
      <c r="F163">
        <v>6.25</v>
      </c>
      <c r="G163">
        <v>92.6</v>
      </c>
      <c r="H163">
        <v>1.7984</v>
      </c>
      <c r="I163">
        <v>5</v>
      </c>
      <c r="J163">
        <v>403</v>
      </c>
      <c r="K163">
        <v>14.7</v>
      </c>
      <c r="L163">
        <v>338.92</v>
      </c>
      <c r="M163">
        <v>5.5</v>
      </c>
      <c r="N163">
        <v>27</v>
      </c>
    </row>
    <row r="164" spans="1:14">
      <c r="A164">
        <v>1.46336</v>
      </c>
      <c r="B164">
        <v>0</v>
      </c>
      <c r="C164">
        <v>19.579999999999998</v>
      </c>
      <c r="D164">
        <v>0</v>
      </c>
      <c r="E164">
        <v>0.60499999999999998</v>
      </c>
      <c r="F164">
        <v>7.4889999999999999</v>
      </c>
      <c r="G164">
        <v>90.8</v>
      </c>
      <c r="H164">
        <v>1.9709000000000001</v>
      </c>
      <c r="I164">
        <v>5</v>
      </c>
      <c r="J164">
        <v>403</v>
      </c>
      <c r="K164">
        <v>14.7</v>
      </c>
      <c r="L164">
        <v>374.43</v>
      </c>
      <c r="M164">
        <v>1.73</v>
      </c>
      <c r="N164">
        <v>50</v>
      </c>
    </row>
    <row r="165" spans="1:14">
      <c r="A165">
        <v>1.8337699999999999</v>
      </c>
      <c r="B165">
        <v>0</v>
      </c>
      <c r="C165">
        <v>19.579999999999998</v>
      </c>
      <c r="D165">
        <v>1</v>
      </c>
      <c r="E165">
        <v>0.60499999999999998</v>
      </c>
      <c r="F165">
        <v>7.8019999999999996</v>
      </c>
      <c r="G165">
        <v>98.2</v>
      </c>
      <c r="H165">
        <v>2.0407000000000002</v>
      </c>
      <c r="I165">
        <v>5</v>
      </c>
      <c r="J165">
        <v>403</v>
      </c>
      <c r="K165">
        <v>14.7</v>
      </c>
      <c r="L165">
        <v>389.61</v>
      </c>
      <c r="M165">
        <v>1.92</v>
      </c>
      <c r="N165">
        <v>50</v>
      </c>
    </row>
    <row r="166" spans="1:14">
      <c r="A166">
        <v>1.51902</v>
      </c>
      <c r="B166">
        <v>0</v>
      </c>
      <c r="C166">
        <v>19.579999999999998</v>
      </c>
      <c r="D166">
        <v>1</v>
      </c>
      <c r="E166">
        <v>0.60499999999999998</v>
      </c>
      <c r="F166">
        <v>8.375</v>
      </c>
      <c r="G166">
        <v>93.9</v>
      </c>
      <c r="H166">
        <v>2.1619999999999999</v>
      </c>
      <c r="I166">
        <v>5</v>
      </c>
      <c r="J166">
        <v>403</v>
      </c>
      <c r="K166">
        <v>14.7</v>
      </c>
      <c r="L166">
        <v>388.45</v>
      </c>
      <c r="M166">
        <v>3.32</v>
      </c>
      <c r="N166">
        <v>50</v>
      </c>
    </row>
    <row r="167" spans="1:14">
      <c r="A167">
        <v>2.2423600000000001</v>
      </c>
      <c r="B167">
        <v>0</v>
      </c>
      <c r="C167">
        <v>19.579999999999998</v>
      </c>
      <c r="D167">
        <v>0</v>
      </c>
      <c r="E167">
        <v>0.60499999999999998</v>
      </c>
      <c r="F167">
        <v>5.8540000000000001</v>
      </c>
      <c r="G167">
        <v>91.8</v>
      </c>
      <c r="H167">
        <v>2.4220000000000002</v>
      </c>
      <c r="I167">
        <v>5</v>
      </c>
      <c r="J167">
        <v>403</v>
      </c>
      <c r="K167">
        <v>14.7</v>
      </c>
      <c r="L167">
        <v>395.11</v>
      </c>
      <c r="M167">
        <v>11.64</v>
      </c>
      <c r="N167">
        <v>22.7</v>
      </c>
    </row>
    <row r="168" spans="1:14">
      <c r="A168">
        <v>2.9239999999999999</v>
      </c>
      <c r="B168">
        <v>0</v>
      </c>
      <c r="C168">
        <v>19.579999999999998</v>
      </c>
      <c r="D168">
        <v>0</v>
      </c>
      <c r="E168">
        <v>0.60499999999999998</v>
      </c>
      <c r="F168">
        <v>6.101</v>
      </c>
      <c r="G168">
        <v>93</v>
      </c>
      <c r="H168">
        <v>2.2833999999999999</v>
      </c>
      <c r="I168">
        <v>5</v>
      </c>
      <c r="J168">
        <v>403</v>
      </c>
      <c r="K168">
        <v>14.7</v>
      </c>
      <c r="L168">
        <v>240.16</v>
      </c>
      <c r="M168">
        <v>9.81</v>
      </c>
      <c r="N168">
        <v>25</v>
      </c>
    </row>
    <row r="169" spans="1:14">
      <c r="A169">
        <v>2.0101900000000001</v>
      </c>
      <c r="B169">
        <v>0</v>
      </c>
      <c r="C169">
        <v>19.579999999999998</v>
      </c>
      <c r="D169">
        <v>0</v>
      </c>
      <c r="E169">
        <v>0.60499999999999998</v>
      </c>
      <c r="F169">
        <v>7.9290000000000003</v>
      </c>
      <c r="G169">
        <v>96.2</v>
      </c>
      <c r="H169">
        <v>2.0459000000000001</v>
      </c>
      <c r="I169">
        <v>5</v>
      </c>
      <c r="J169">
        <v>403</v>
      </c>
      <c r="K169">
        <v>14.7</v>
      </c>
      <c r="L169">
        <v>369.3</v>
      </c>
      <c r="M169">
        <v>3.7</v>
      </c>
      <c r="N169">
        <v>50</v>
      </c>
    </row>
    <row r="170" spans="1:14">
      <c r="A170">
        <v>1.8002800000000001</v>
      </c>
      <c r="B170">
        <v>0</v>
      </c>
      <c r="C170">
        <v>19.579999999999998</v>
      </c>
      <c r="D170">
        <v>0</v>
      </c>
      <c r="E170">
        <v>0.60499999999999998</v>
      </c>
      <c r="F170">
        <v>5.8769999999999998</v>
      </c>
      <c r="G170">
        <v>79.2</v>
      </c>
      <c r="H170">
        <v>2.4258999999999999</v>
      </c>
      <c r="I170">
        <v>5</v>
      </c>
      <c r="J170">
        <v>403</v>
      </c>
      <c r="K170">
        <v>14.7</v>
      </c>
      <c r="L170">
        <v>227.61</v>
      </c>
      <c r="M170">
        <v>12.14</v>
      </c>
      <c r="N170">
        <v>23.8</v>
      </c>
    </row>
    <row r="171" spans="1:14">
      <c r="A171">
        <v>2.3003999999999998</v>
      </c>
      <c r="B171">
        <v>0</v>
      </c>
      <c r="C171">
        <v>19.579999999999998</v>
      </c>
      <c r="D171">
        <v>0</v>
      </c>
      <c r="E171">
        <v>0.60499999999999998</v>
      </c>
      <c r="F171">
        <v>6.319</v>
      </c>
      <c r="G171">
        <v>96.1</v>
      </c>
      <c r="H171">
        <v>2.1</v>
      </c>
      <c r="I171">
        <v>5</v>
      </c>
      <c r="J171">
        <v>403</v>
      </c>
      <c r="K171">
        <v>14.7</v>
      </c>
      <c r="L171">
        <v>297.08999999999997</v>
      </c>
      <c r="M171">
        <v>11.1</v>
      </c>
      <c r="N171">
        <v>23.8</v>
      </c>
    </row>
    <row r="172" spans="1:14">
      <c r="A172">
        <v>2.4495300000000002</v>
      </c>
      <c r="B172">
        <v>0</v>
      </c>
      <c r="C172">
        <v>19.579999999999998</v>
      </c>
      <c r="D172">
        <v>0</v>
      </c>
      <c r="E172">
        <v>0.60499999999999998</v>
      </c>
      <c r="F172">
        <v>6.4020000000000001</v>
      </c>
      <c r="G172">
        <v>95.2</v>
      </c>
      <c r="H172">
        <v>2.2625000000000002</v>
      </c>
      <c r="I172">
        <v>5</v>
      </c>
      <c r="J172">
        <v>403</v>
      </c>
      <c r="K172">
        <v>14.7</v>
      </c>
      <c r="L172">
        <v>330.04</v>
      </c>
      <c r="M172">
        <v>11.32</v>
      </c>
      <c r="N172">
        <v>22.3</v>
      </c>
    </row>
    <row r="173" spans="1:14">
      <c r="A173">
        <v>1.2074199999999999</v>
      </c>
      <c r="B173">
        <v>0</v>
      </c>
      <c r="C173">
        <v>19.579999999999998</v>
      </c>
      <c r="D173">
        <v>0</v>
      </c>
      <c r="E173">
        <v>0.60499999999999998</v>
      </c>
      <c r="F173">
        <v>5.875</v>
      </c>
      <c r="G173">
        <v>94.6</v>
      </c>
      <c r="H173">
        <v>2.4258999999999999</v>
      </c>
      <c r="I173">
        <v>5</v>
      </c>
      <c r="J173">
        <v>403</v>
      </c>
      <c r="K173">
        <v>14.7</v>
      </c>
      <c r="L173">
        <v>292.29000000000002</v>
      </c>
      <c r="M173">
        <v>14.43</v>
      </c>
      <c r="N173">
        <v>17.399999999999999</v>
      </c>
    </row>
    <row r="174" spans="1:14">
      <c r="A174">
        <v>2.3138999999999998</v>
      </c>
      <c r="B174">
        <v>0</v>
      </c>
      <c r="C174">
        <v>19.579999999999998</v>
      </c>
      <c r="D174">
        <v>0</v>
      </c>
      <c r="E174">
        <v>0.60499999999999998</v>
      </c>
      <c r="F174">
        <v>5.88</v>
      </c>
      <c r="G174">
        <v>97.3</v>
      </c>
      <c r="H174">
        <v>2.3887</v>
      </c>
      <c r="I174">
        <v>5</v>
      </c>
      <c r="J174">
        <v>403</v>
      </c>
      <c r="K174">
        <v>14.7</v>
      </c>
      <c r="L174">
        <v>348.13</v>
      </c>
      <c r="M174">
        <v>12.03</v>
      </c>
      <c r="N174">
        <v>19.100000000000001</v>
      </c>
    </row>
    <row r="175" spans="1:14">
      <c r="A175">
        <v>0.13914000000000001</v>
      </c>
      <c r="B175">
        <v>0</v>
      </c>
      <c r="C175">
        <v>4.05</v>
      </c>
      <c r="D175">
        <v>0</v>
      </c>
      <c r="E175">
        <v>0.51</v>
      </c>
      <c r="F175">
        <v>5.5720000000000001</v>
      </c>
      <c r="G175">
        <v>88.5</v>
      </c>
      <c r="H175">
        <v>2.5960999999999999</v>
      </c>
      <c r="I175">
        <v>5</v>
      </c>
      <c r="J175">
        <v>296</v>
      </c>
      <c r="K175">
        <v>16.600000000000001</v>
      </c>
      <c r="L175">
        <v>396.9</v>
      </c>
      <c r="M175">
        <v>14.69</v>
      </c>
      <c r="N175">
        <v>23.1</v>
      </c>
    </row>
    <row r="176" spans="1:14">
      <c r="A176">
        <v>9.178E-2</v>
      </c>
      <c r="B176">
        <v>0</v>
      </c>
      <c r="C176">
        <v>4.05</v>
      </c>
      <c r="D176">
        <v>0</v>
      </c>
      <c r="E176">
        <v>0.51</v>
      </c>
      <c r="F176">
        <v>6.4160000000000004</v>
      </c>
      <c r="G176">
        <v>84.1</v>
      </c>
      <c r="H176">
        <v>2.6463000000000001</v>
      </c>
      <c r="I176">
        <v>5</v>
      </c>
      <c r="J176">
        <v>296</v>
      </c>
      <c r="K176">
        <v>16.600000000000001</v>
      </c>
      <c r="L176">
        <v>395.5</v>
      </c>
      <c r="M176">
        <v>9.0399999999999991</v>
      </c>
      <c r="N176">
        <v>23.6</v>
      </c>
    </row>
    <row r="177" spans="1:14">
      <c r="A177">
        <v>8.4470000000000003E-2</v>
      </c>
      <c r="B177">
        <v>0</v>
      </c>
      <c r="C177">
        <v>4.05</v>
      </c>
      <c r="D177">
        <v>0</v>
      </c>
      <c r="E177">
        <v>0.51</v>
      </c>
      <c r="F177">
        <v>5.859</v>
      </c>
      <c r="G177">
        <v>68.7</v>
      </c>
      <c r="H177">
        <v>2.7019000000000002</v>
      </c>
      <c r="I177">
        <v>5</v>
      </c>
      <c r="J177">
        <v>296</v>
      </c>
      <c r="K177">
        <v>16.600000000000001</v>
      </c>
      <c r="L177">
        <v>393.23</v>
      </c>
      <c r="M177">
        <v>9.64</v>
      </c>
      <c r="N177">
        <v>22.6</v>
      </c>
    </row>
    <row r="178" spans="1:14">
      <c r="A178">
        <v>6.6640000000000005E-2</v>
      </c>
      <c r="B178">
        <v>0</v>
      </c>
      <c r="C178">
        <v>4.05</v>
      </c>
      <c r="D178">
        <v>0</v>
      </c>
      <c r="E178">
        <v>0.51</v>
      </c>
      <c r="F178">
        <v>6.5460000000000003</v>
      </c>
      <c r="G178">
        <v>33.1</v>
      </c>
      <c r="H178">
        <v>3.1322999999999999</v>
      </c>
      <c r="I178">
        <v>5</v>
      </c>
      <c r="J178">
        <v>296</v>
      </c>
      <c r="K178">
        <v>16.600000000000001</v>
      </c>
      <c r="L178">
        <v>390.96</v>
      </c>
      <c r="M178">
        <v>5.33</v>
      </c>
      <c r="N178">
        <v>29.4</v>
      </c>
    </row>
    <row r="179" spans="1:14">
      <c r="A179">
        <v>7.0220000000000005E-2</v>
      </c>
      <c r="B179">
        <v>0</v>
      </c>
      <c r="C179">
        <v>4.05</v>
      </c>
      <c r="D179">
        <v>0</v>
      </c>
      <c r="E179">
        <v>0.51</v>
      </c>
      <c r="F179">
        <v>6.02</v>
      </c>
      <c r="G179">
        <v>47.2</v>
      </c>
      <c r="H179">
        <v>3.5548999999999999</v>
      </c>
      <c r="I179">
        <v>5</v>
      </c>
      <c r="J179">
        <v>296</v>
      </c>
      <c r="K179">
        <v>16.600000000000001</v>
      </c>
      <c r="L179">
        <v>393.23</v>
      </c>
      <c r="M179">
        <v>10.11</v>
      </c>
      <c r="N179">
        <v>23.2</v>
      </c>
    </row>
    <row r="180" spans="1:14">
      <c r="A180">
        <v>5.425E-2</v>
      </c>
      <c r="B180">
        <v>0</v>
      </c>
      <c r="C180">
        <v>4.05</v>
      </c>
      <c r="D180">
        <v>0</v>
      </c>
      <c r="E180">
        <v>0.51</v>
      </c>
      <c r="F180">
        <v>6.3150000000000004</v>
      </c>
      <c r="G180">
        <v>73.400000000000006</v>
      </c>
      <c r="H180">
        <v>3.3174999999999999</v>
      </c>
      <c r="I180">
        <v>5</v>
      </c>
      <c r="J180">
        <v>296</v>
      </c>
      <c r="K180">
        <v>16.600000000000001</v>
      </c>
      <c r="L180">
        <v>395.6</v>
      </c>
      <c r="M180">
        <v>6.29</v>
      </c>
      <c r="N180">
        <v>24.6</v>
      </c>
    </row>
    <row r="181" spans="1:14">
      <c r="A181">
        <v>6.6420000000000007E-2</v>
      </c>
      <c r="B181">
        <v>0</v>
      </c>
      <c r="C181">
        <v>4.05</v>
      </c>
      <c r="D181">
        <v>0</v>
      </c>
      <c r="E181">
        <v>0.51</v>
      </c>
      <c r="F181">
        <v>6.86</v>
      </c>
      <c r="G181">
        <v>74.400000000000006</v>
      </c>
      <c r="H181">
        <v>2.9152999999999998</v>
      </c>
      <c r="I181">
        <v>5</v>
      </c>
      <c r="J181">
        <v>296</v>
      </c>
      <c r="K181">
        <v>16.600000000000001</v>
      </c>
      <c r="L181">
        <v>391.27</v>
      </c>
      <c r="M181">
        <v>6.92</v>
      </c>
      <c r="N181">
        <v>29.9</v>
      </c>
    </row>
    <row r="182" spans="1:14">
      <c r="A182">
        <v>5.7799999999999997E-2</v>
      </c>
      <c r="B182">
        <v>0</v>
      </c>
      <c r="C182">
        <v>2.46</v>
      </c>
      <c r="D182">
        <v>0</v>
      </c>
      <c r="E182">
        <v>0.48799999999999999</v>
      </c>
      <c r="F182">
        <v>6.98</v>
      </c>
      <c r="G182">
        <v>58.4</v>
      </c>
      <c r="H182">
        <v>2.8290000000000002</v>
      </c>
      <c r="I182">
        <v>3</v>
      </c>
      <c r="J182">
        <v>193</v>
      </c>
      <c r="K182">
        <v>17.8</v>
      </c>
      <c r="L182">
        <v>396.9</v>
      </c>
      <c r="M182">
        <v>5.04</v>
      </c>
      <c r="N182">
        <v>37.200000000000003</v>
      </c>
    </row>
    <row r="183" spans="1:14">
      <c r="A183">
        <v>6.5879999999999994E-2</v>
      </c>
      <c r="B183">
        <v>0</v>
      </c>
      <c r="C183">
        <v>2.46</v>
      </c>
      <c r="D183">
        <v>0</v>
      </c>
      <c r="E183">
        <v>0.48799999999999999</v>
      </c>
      <c r="F183">
        <v>7.7649999999999997</v>
      </c>
      <c r="G183">
        <v>83.3</v>
      </c>
      <c r="H183">
        <v>2.7410000000000001</v>
      </c>
      <c r="I183">
        <v>3</v>
      </c>
      <c r="J183">
        <v>193</v>
      </c>
      <c r="K183">
        <v>17.8</v>
      </c>
      <c r="L183">
        <v>395.56</v>
      </c>
      <c r="M183">
        <v>7.56</v>
      </c>
      <c r="N183">
        <v>39.799999999999997</v>
      </c>
    </row>
    <row r="184" spans="1:14">
      <c r="A184">
        <v>6.8879999999999997E-2</v>
      </c>
      <c r="B184">
        <v>0</v>
      </c>
      <c r="C184">
        <v>2.46</v>
      </c>
      <c r="D184">
        <v>0</v>
      </c>
      <c r="E184">
        <v>0.48799999999999999</v>
      </c>
      <c r="F184">
        <v>6.1440000000000001</v>
      </c>
      <c r="G184">
        <v>62.2</v>
      </c>
      <c r="H184">
        <v>2.5979000000000001</v>
      </c>
      <c r="I184">
        <v>3</v>
      </c>
      <c r="J184">
        <v>193</v>
      </c>
      <c r="K184">
        <v>17.8</v>
      </c>
      <c r="L184">
        <v>396.9</v>
      </c>
      <c r="M184">
        <v>9.4499999999999993</v>
      </c>
      <c r="N184">
        <v>36.200000000000003</v>
      </c>
    </row>
    <row r="185" spans="1:14">
      <c r="A185">
        <v>9.103E-2</v>
      </c>
      <c r="B185">
        <v>0</v>
      </c>
      <c r="C185">
        <v>2.46</v>
      </c>
      <c r="D185">
        <v>0</v>
      </c>
      <c r="E185">
        <v>0.48799999999999999</v>
      </c>
      <c r="F185">
        <v>7.1550000000000002</v>
      </c>
      <c r="G185">
        <v>92.2</v>
      </c>
      <c r="H185">
        <v>2.7006000000000001</v>
      </c>
      <c r="I185">
        <v>3</v>
      </c>
      <c r="J185">
        <v>193</v>
      </c>
      <c r="K185">
        <v>17.8</v>
      </c>
      <c r="L185">
        <v>394.12</v>
      </c>
      <c r="M185">
        <v>4.82</v>
      </c>
      <c r="N185">
        <v>37.9</v>
      </c>
    </row>
    <row r="186" spans="1:14">
      <c r="A186">
        <v>0.10008</v>
      </c>
      <c r="B186">
        <v>0</v>
      </c>
      <c r="C186">
        <v>2.46</v>
      </c>
      <c r="D186">
        <v>0</v>
      </c>
      <c r="E186">
        <v>0.48799999999999999</v>
      </c>
      <c r="F186">
        <v>6.5629999999999997</v>
      </c>
      <c r="G186">
        <v>95.6</v>
      </c>
      <c r="H186">
        <v>2.847</v>
      </c>
      <c r="I186">
        <v>3</v>
      </c>
      <c r="J186">
        <v>193</v>
      </c>
      <c r="K186">
        <v>17.8</v>
      </c>
      <c r="L186">
        <v>396.9</v>
      </c>
      <c r="M186">
        <v>5.68</v>
      </c>
      <c r="N186">
        <v>32.5</v>
      </c>
    </row>
    <row r="187" spans="1:14">
      <c r="A187">
        <v>8.3080000000000001E-2</v>
      </c>
      <c r="B187">
        <v>0</v>
      </c>
      <c r="C187">
        <v>2.46</v>
      </c>
      <c r="D187">
        <v>0</v>
      </c>
      <c r="E187">
        <v>0.48799999999999999</v>
      </c>
      <c r="F187">
        <v>5.6040000000000001</v>
      </c>
      <c r="G187">
        <v>89.8</v>
      </c>
      <c r="H187">
        <v>2.9878999999999998</v>
      </c>
      <c r="I187">
        <v>3</v>
      </c>
      <c r="J187">
        <v>193</v>
      </c>
      <c r="K187">
        <v>17.8</v>
      </c>
      <c r="L187">
        <v>391</v>
      </c>
      <c r="M187">
        <v>13.98</v>
      </c>
      <c r="N187">
        <v>26.4</v>
      </c>
    </row>
    <row r="188" spans="1:14">
      <c r="A188">
        <v>6.0470000000000003E-2</v>
      </c>
      <c r="B188">
        <v>0</v>
      </c>
      <c r="C188">
        <v>2.46</v>
      </c>
      <c r="D188">
        <v>0</v>
      </c>
      <c r="E188">
        <v>0.48799999999999999</v>
      </c>
      <c r="F188">
        <v>6.1529999999999996</v>
      </c>
      <c r="G188">
        <v>68.8</v>
      </c>
      <c r="H188">
        <v>3.2797000000000001</v>
      </c>
      <c r="I188">
        <v>3</v>
      </c>
      <c r="J188">
        <v>193</v>
      </c>
      <c r="K188">
        <v>17.8</v>
      </c>
      <c r="L188">
        <v>387.11</v>
      </c>
      <c r="M188">
        <v>13.15</v>
      </c>
      <c r="N188">
        <v>29.6</v>
      </c>
    </row>
    <row r="189" spans="1:14">
      <c r="A189">
        <v>5.602E-2</v>
      </c>
      <c r="B189">
        <v>0</v>
      </c>
      <c r="C189">
        <v>2.46</v>
      </c>
      <c r="D189">
        <v>0</v>
      </c>
      <c r="E189">
        <v>0.48799999999999999</v>
      </c>
      <c r="F189">
        <v>7.8310000000000004</v>
      </c>
      <c r="G189">
        <v>53.6</v>
      </c>
      <c r="H189">
        <v>3.1991999999999998</v>
      </c>
      <c r="I189">
        <v>3</v>
      </c>
      <c r="J189">
        <v>193</v>
      </c>
      <c r="K189">
        <v>17.8</v>
      </c>
      <c r="L189">
        <v>392.63</v>
      </c>
      <c r="M189">
        <v>4.45</v>
      </c>
      <c r="N189">
        <v>50</v>
      </c>
    </row>
    <row r="190" spans="1:14">
      <c r="A190">
        <v>7.8750000000000001E-2</v>
      </c>
      <c r="B190">
        <v>45</v>
      </c>
      <c r="C190">
        <v>3.44</v>
      </c>
      <c r="D190">
        <v>0</v>
      </c>
      <c r="E190">
        <v>0.437</v>
      </c>
      <c r="F190">
        <v>6.782</v>
      </c>
      <c r="G190">
        <v>41.1</v>
      </c>
      <c r="H190">
        <v>3.7886000000000002</v>
      </c>
      <c r="I190">
        <v>5</v>
      </c>
      <c r="J190">
        <v>398</v>
      </c>
      <c r="K190">
        <v>15.2</v>
      </c>
      <c r="L190">
        <v>393.87</v>
      </c>
      <c r="M190">
        <v>6.68</v>
      </c>
      <c r="N190">
        <v>32</v>
      </c>
    </row>
    <row r="191" spans="1:14">
      <c r="A191">
        <v>0.12579000000000001</v>
      </c>
      <c r="B191">
        <v>45</v>
      </c>
      <c r="C191">
        <v>3.44</v>
      </c>
      <c r="D191">
        <v>0</v>
      </c>
      <c r="E191">
        <v>0.437</v>
      </c>
      <c r="F191">
        <v>6.556</v>
      </c>
      <c r="G191">
        <v>29.1</v>
      </c>
      <c r="H191">
        <v>4.5667</v>
      </c>
      <c r="I191">
        <v>5</v>
      </c>
      <c r="J191">
        <v>398</v>
      </c>
      <c r="K191">
        <v>15.2</v>
      </c>
      <c r="L191">
        <v>382.84</v>
      </c>
      <c r="M191">
        <v>4.5599999999999996</v>
      </c>
      <c r="N191">
        <v>29.8</v>
      </c>
    </row>
    <row r="192" spans="1:14">
      <c r="A192">
        <v>8.3699999999999997E-2</v>
      </c>
      <c r="B192">
        <v>45</v>
      </c>
      <c r="C192">
        <v>3.44</v>
      </c>
      <c r="D192">
        <v>0</v>
      </c>
      <c r="E192">
        <v>0.437</v>
      </c>
      <c r="F192">
        <v>7.1849999999999996</v>
      </c>
      <c r="G192">
        <v>38.9</v>
      </c>
      <c r="H192">
        <v>4.5667</v>
      </c>
      <c r="I192">
        <v>5</v>
      </c>
      <c r="J192">
        <v>398</v>
      </c>
      <c r="K192">
        <v>15.2</v>
      </c>
      <c r="L192">
        <v>396.9</v>
      </c>
      <c r="M192">
        <v>5.39</v>
      </c>
      <c r="N192">
        <v>34.9</v>
      </c>
    </row>
    <row r="193" spans="1:14">
      <c r="A193">
        <v>9.0679999999999997E-2</v>
      </c>
      <c r="B193">
        <v>45</v>
      </c>
      <c r="C193">
        <v>3.44</v>
      </c>
      <c r="D193">
        <v>0</v>
      </c>
      <c r="E193">
        <v>0.437</v>
      </c>
      <c r="F193">
        <v>6.9509999999999996</v>
      </c>
      <c r="G193">
        <v>21.5</v>
      </c>
      <c r="H193">
        <v>6.4798</v>
      </c>
      <c r="I193">
        <v>5</v>
      </c>
      <c r="J193">
        <v>398</v>
      </c>
      <c r="K193">
        <v>15.2</v>
      </c>
      <c r="L193">
        <v>377.68</v>
      </c>
      <c r="M193">
        <v>5.0999999999999996</v>
      </c>
      <c r="N193">
        <v>37</v>
      </c>
    </row>
    <row r="194" spans="1:14">
      <c r="A194">
        <v>6.9110000000000005E-2</v>
      </c>
      <c r="B194">
        <v>45</v>
      </c>
      <c r="C194">
        <v>3.44</v>
      </c>
      <c r="D194">
        <v>0</v>
      </c>
      <c r="E194">
        <v>0.437</v>
      </c>
      <c r="F194">
        <v>6.7389999999999999</v>
      </c>
      <c r="G194">
        <v>30.8</v>
      </c>
      <c r="H194">
        <v>6.4798</v>
      </c>
      <c r="I194">
        <v>5</v>
      </c>
      <c r="J194">
        <v>398</v>
      </c>
      <c r="K194">
        <v>15.2</v>
      </c>
      <c r="L194">
        <v>389.71</v>
      </c>
      <c r="M194">
        <v>4.6900000000000004</v>
      </c>
      <c r="N194">
        <v>30.5</v>
      </c>
    </row>
    <row r="195" spans="1:14">
      <c r="A195">
        <v>8.6639999999999995E-2</v>
      </c>
      <c r="B195">
        <v>45</v>
      </c>
      <c r="C195">
        <v>3.44</v>
      </c>
      <c r="D195">
        <v>0</v>
      </c>
      <c r="E195">
        <v>0.437</v>
      </c>
      <c r="F195">
        <v>7.1779999999999999</v>
      </c>
      <c r="G195">
        <v>26.3</v>
      </c>
      <c r="H195">
        <v>6.4798</v>
      </c>
      <c r="I195">
        <v>5</v>
      </c>
      <c r="J195">
        <v>398</v>
      </c>
      <c r="K195">
        <v>15.2</v>
      </c>
      <c r="L195">
        <v>390.49</v>
      </c>
      <c r="M195">
        <v>2.87</v>
      </c>
      <c r="N195">
        <v>36.4</v>
      </c>
    </row>
    <row r="196" spans="1:14">
      <c r="A196">
        <v>2.1870000000000001E-2</v>
      </c>
      <c r="B196">
        <v>60</v>
      </c>
      <c r="C196">
        <v>2.93</v>
      </c>
      <c r="D196">
        <v>0</v>
      </c>
      <c r="E196">
        <v>0.40100000000000002</v>
      </c>
      <c r="F196">
        <v>6.8</v>
      </c>
      <c r="G196">
        <v>9.9</v>
      </c>
      <c r="H196">
        <v>6.2195999999999998</v>
      </c>
      <c r="I196">
        <v>1</v>
      </c>
      <c r="J196">
        <v>265</v>
      </c>
      <c r="K196">
        <v>15.6</v>
      </c>
      <c r="L196">
        <v>393.37</v>
      </c>
      <c r="M196">
        <v>5.03</v>
      </c>
      <c r="N196">
        <v>31.1</v>
      </c>
    </row>
    <row r="197" spans="1:14">
      <c r="A197">
        <v>1.439E-2</v>
      </c>
      <c r="B197">
        <v>60</v>
      </c>
      <c r="C197">
        <v>2.93</v>
      </c>
      <c r="D197">
        <v>0</v>
      </c>
      <c r="E197">
        <v>0.40100000000000002</v>
      </c>
      <c r="F197">
        <v>6.6040000000000001</v>
      </c>
      <c r="G197">
        <v>18.8</v>
      </c>
      <c r="H197">
        <v>6.2195999999999998</v>
      </c>
      <c r="I197">
        <v>1</v>
      </c>
      <c r="J197">
        <v>265</v>
      </c>
      <c r="K197">
        <v>15.6</v>
      </c>
      <c r="L197">
        <v>376.7</v>
      </c>
      <c r="M197">
        <v>4.38</v>
      </c>
      <c r="N197">
        <v>29.1</v>
      </c>
    </row>
    <row r="198" spans="1:14">
      <c r="A198">
        <v>1.3809999999999999E-2</v>
      </c>
      <c r="B198">
        <v>80</v>
      </c>
      <c r="C198">
        <v>0.46</v>
      </c>
      <c r="D198">
        <v>0</v>
      </c>
      <c r="E198">
        <v>0.42199999999999999</v>
      </c>
      <c r="F198">
        <v>7.875</v>
      </c>
      <c r="G198">
        <v>32</v>
      </c>
      <c r="H198">
        <v>5.6483999999999996</v>
      </c>
      <c r="I198">
        <v>4</v>
      </c>
      <c r="J198">
        <v>255</v>
      </c>
      <c r="K198">
        <v>14.4</v>
      </c>
      <c r="L198">
        <v>394.23</v>
      </c>
      <c r="M198">
        <v>2.97</v>
      </c>
      <c r="N198">
        <v>50</v>
      </c>
    </row>
    <row r="199" spans="1:14">
      <c r="A199">
        <v>4.011E-2</v>
      </c>
      <c r="B199">
        <v>80</v>
      </c>
      <c r="C199">
        <v>1.52</v>
      </c>
      <c r="D199">
        <v>0</v>
      </c>
      <c r="E199">
        <v>0.40400000000000003</v>
      </c>
      <c r="F199">
        <v>7.2869999999999999</v>
      </c>
      <c r="G199">
        <v>34.1</v>
      </c>
      <c r="H199">
        <v>7.3090000000000002</v>
      </c>
      <c r="I199">
        <v>2</v>
      </c>
      <c r="J199">
        <v>329</v>
      </c>
      <c r="K199">
        <v>12.6</v>
      </c>
      <c r="L199">
        <v>396.9</v>
      </c>
      <c r="M199">
        <v>4.08</v>
      </c>
      <c r="N199">
        <v>33.299999999999997</v>
      </c>
    </row>
    <row r="200" spans="1:14">
      <c r="A200">
        <v>4.666E-2</v>
      </c>
      <c r="B200">
        <v>80</v>
      </c>
      <c r="C200">
        <v>1.52</v>
      </c>
      <c r="D200">
        <v>0</v>
      </c>
      <c r="E200">
        <v>0.40400000000000003</v>
      </c>
      <c r="F200">
        <v>7.1070000000000002</v>
      </c>
      <c r="G200">
        <v>36.6</v>
      </c>
      <c r="H200">
        <v>7.3090000000000002</v>
      </c>
      <c r="I200">
        <v>2</v>
      </c>
      <c r="J200">
        <v>329</v>
      </c>
      <c r="K200">
        <v>12.6</v>
      </c>
      <c r="L200">
        <v>354.31</v>
      </c>
      <c r="M200">
        <v>8.61</v>
      </c>
      <c r="N200">
        <v>30.3</v>
      </c>
    </row>
    <row r="201" spans="1:14">
      <c r="A201">
        <v>3.7679999999999998E-2</v>
      </c>
      <c r="B201">
        <v>80</v>
      </c>
      <c r="C201">
        <v>1.52</v>
      </c>
      <c r="D201">
        <v>0</v>
      </c>
      <c r="E201">
        <v>0.40400000000000003</v>
      </c>
      <c r="F201">
        <v>7.274</v>
      </c>
      <c r="G201">
        <v>38.299999999999997</v>
      </c>
      <c r="H201">
        <v>7.3090000000000002</v>
      </c>
      <c r="I201">
        <v>2</v>
      </c>
      <c r="J201">
        <v>329</v>
      </c>
      <c r="K201">
        <v>12.6</v>
      </c>
      <c r="L201">
        <v>392.2</v>
      </c>
      <c r="M201">
        <v>6.62</v>
      </c>
      <c r="N201">
        <v>34.6</v>
      </c>
    </row>
    <row r="202" spans="1:14">
      <c r="A202">
        <v>3.15E-2</v>
      </c>
      <c r="B202">
        <v>95</v>
      </c>
      <c r="C202">
        <v>1.47</v>
      </c>
      <c r="D202">
        <v>0</v>
      </c>
      <c r="E202">
        <v>0.40300000000000002</v>
      </c>
      <c r="F202">
        <v>6.9749999999999996</v>
      </c>
      <c r="G202">
        <v>15.3</v>
      </c>
      <c r="H202">
        <v>7.6534000000000004</v>
      </c>
      <c r="I202">
        <v>3</v>
      </c>
      <c r="J202">
        <v>402</v>
      </c>
      <c r="K202">
        <v>17</v>
      </c>
      <c r="L202">
        <v>396.9</v>
      </c>
      <c r="M202">
        <v>4.5599999999999996</v>
      </c>
      <c r="N202">
        <v>34.9</v>
      </c>
    </row>
    <row r="203" spans="1:14">
      <c r="A203">
        <v>1.7780000000000001E-2</v>
      </c>
      <c r="B203">
        <v>95</v>
      </c>
      <c r="C203">
        <v>1.47</v>
      </c>
      <c r="D203">
        <v>0</v>
      </c>
      <c r="E203">
        <v>0.40300000000000002</v>
      </c>
      <c r="F203">
        <v>7.1349999999999998</v>
      </c>
      <c r="G203">
        <v>13.9</v>
      </c>
      <c r="H203">
        <v>7.6534000000000004</v>
      </c>
      <c r="I203">
        <v>3</v>
      </c>
      <c r="J203">
        <v>402</v>
      </c>
      <c r="K203">
        <v>17</v>
      </c>
      <c r="L203">
        <v>384.3</v>
      </c>
      <c r="M203">
        <v>4.45</v>
      </c>
      <c r="N203">
        <v>32.9</v>
      </c>
    </row>
    <row r="204" spans="1:14">
      <c r="A204">
        <v>3.4450000000000001E-2</v>
      </c>
      <c r="B204">
        <v>82.5</v>
      </c>
      <c r="C204">
        <v>2.0299999999999998</v>
      </c>
      <c r="D204">
        <v>0</v>
      </c>
      <c r="E204">
        <v>0.41499999999999998</v>
      </c>
      <c r="F204">
        <v>6.1619999999999999</v>
      </c>
      <c r="G204">
        <v>38.4</v>
      </c>
      <c r="H204">
        <v>6.27</v>
      </c>
      <c r="I204">
        <v>2</v>
      </c>
      <c r="J204">
        <v>348</v>
      </c>
      <c r="K204">
        <v>14.7</v>
      </c>
      <c r="L204">
        <v>393.77</v>
      </c>
      <c r="M204">
        <v>7.43</v>
      </c>
      <c r="N204">
        <v>24.1</v>
      </c>
    </row>
    <row r="205" spans="1:14">
      <c r="A205">
        <v>2.1770000000000001E-2</v>
      </c>
      <c r="B205">
        <v>82.5</v>
      </c>
      <c r="C205">
        <v>2.0299999999999998</v>
      </c>
      <c r="D205">
        <v>0</v>
      </c>
      <c r="E205">
        <v>0.41499999999999998</v>
      </c>
      <c r="F205">
        <v>7.61</v>
      </c>
      <c r="G205">
        <v>15.7</v>
      </c>
      <c r="H205">
        <v>6.27</v>
      </c>
      <c r="I205">
        <v>2</v>
      </c>
      <c r="J205">
        <v>348</v>
      </c>
      <c r="K205">
        <v>14.7</v>
      </c>
      <c r="L205">
        <v>395.38</v>
      </c>
      <c r="M205">
        <v>3.11</v>
      </c>
      <c r="N205">
        <v>42.3</v>
      </c>
    </row>
    <row r="206" spans="1:14">
      <c r="A206">
        <v>3.5099999999999999E-2</v>
      </c>
      <c r="B206">
        <v>95</v>
      </c>
      <c r="C206">
        <v>2.68</v>
      </c>
      <c r="D206">
        <v>0</v>
      </c>
      <c r="E206">
        <v>0.41610000000000003</v>
      </c>
      <c r="F206">
        <v>7.8529999999999998</v>
      </c>
      <c r="G206">
        <v>33.200000000000003</v>
      </c>
      <c r="H206">
        <v>5.1180000000000003</v>
      </c>
      <c r="I206">
        <v>4</v>
      </c>
      <c r="J206">
        <v>224</v>
      </c>
      <c r="K206">
        <v>14.7</v>
      </c>
      <c r="L206">
        <v>392.78</v>
      </c>
      <c r="M206">
        <v>3.81</v>
      </c>
      <c r="N206">
        <v>48.5</v>
      </c>
    </row>
    <row r="207" spans="1:14">
      <c r="A207">
        <v>2.009E-2</v>
      </c>
      <c r="B207">
        <v>95</v>
      </c>
      <c r="C207">
        <v>2.68</v>
      </c>
      <c r="D207">
        <v>0</v>
      </c>
      <c r="E207">
        <v>0.41610000000000003</v>
      </c>
      <c r="F207">
        <v>8.0340000000000007</v>
      </c>
      <c r="G207">
        <v>31.9</v>
      </c>
      <c r="H207">
        <v>5.1180000000000003</v>
      </c>
      <c r="I207">
        <v>4</v>
      </c>
      <c r="J207">
        <v>224</v>
      </c>
      <c r="K207">
        <v>14.7</v>
      </c>
      <c r="L207">
        <v>390.55</v>
      </c>
      <c r="M207">
        <v>2.88</v>
      </c>
      <c r="N207">
        <v>50</v>
      </c>
    </row>
    <row r="208" spans="1:14">
      <c r="A208">
        <v>0.13642000000000001</v>
      </c>
      <c r="B208">
        <v>0</v>
      </c>
      <c r="C208">
        <v>10.59</v>
      </c>
      <c r="D208">
        <v>0</v>
      </c>
      <c r="E208">
        <v>0.48899999999999999</v>
      </c>
      <c r="F208">
        <v>5.891</v>
      </c>
      <c r="G208">
        <v>22.3</v>
      </c>
      <c r="H208">
        <v>3.9453999999999998</v>
      </c>
      <c r="I208">
        <v>4</v>
      </c>
      <c r="J208">
        <v>277</v>
      </c>
      <c r="K208">
        <v>18.600000000000001</v>
      </c>
      <c r="L208">
        <v>396.9</v>
      </c>
      <c r="M208">
        <v>10.87</v>
      </c>
      <c r="N208">
        <v>22.6</v>
      </c>
    </row>
    <row r="209" spans="1:14">
      <c r="A209">
        <v>0.22969000000000001</v>
      </c>
      <c r="B209">
        <v>0</v>
      </c>
      <c r="C209">
        <v>10.59</v>
      </c>
      <c r="D209">
        <v>0</v>
      </c>
      <c r="E209">
        <v>0.48899999999999999</v>
      </c>
      <c r="F209">
        <v>6.3259999999999996</v>
      </c>
      <c r="G209">
        <v>52.5</v>
      </c>
      <c r="H209">
        <v>4.3548999999999998</v>
      </c>
      <c r="I209">
        <v>4</v>
      </c>
      <c r="J209">
        <v>277</v>
      </c>
      <c r="K209">
        <v>18.600000000000001</v>
      </c>
      <c r="L209">
        <v>394.87</v>
      </c>
      <c r="M209">
        <v>10.97</v>
      </c>
      <c r="N209">
        <v>24.4</v>
      </c>
    </row>
    <row r="210" spans="1:14">
      <c r="A210">
        <v>0.25198999999999999</v>
      </c>
      <c r="B210">
        <v>0</v>
      </c>
      <c r="C210">
        <v>10.59</v>
      </c>
      <c r="D210">
        <v>0</v>
      </c>
      <c r="E210">
        <v>0.48899999999999999</v>
      </c>
      <c r="F210">
        <v>5.7830000000000004</v>
      </c>
      <c r="G210">
        <v>72.7</v>
      </c>
      <c r="H210">
        <v>4.3548999999999998</v>
      </c>
      <c r="I210">
        <v>4</v>
      </c>
      <c r="J210">
        <v>277</v>
      </c>
      <c r="K210">
        <v>18.600000000000001</v>
      </c>
      <c r="L210">
        <v>389.43</v>
      </c>
      <c r="M210">
        <v>18.059999999999999</v>
      </c>
      <c r="N210">
        <v>22.5</v>
      </c>
    </row>
    <row r="211" spans="1:14">
      <c r="A211">
        <v>0.13586999999999999</v>
      </c>
      <c r="B211">
        <v>0</v>
      </c>
      <c r="C211">
        <v>10.59</v>
      </c>
      <c r="D211">
        <v>1</v>
      </c>
      <c r="E211">
        <v>0.48899999999999999</v>
      </c>
      <c r="F211">
        <v>6.0640000000000001</v>
      </c>
      <c r="G211">
        <v>59.1</v>
      </c>
      <c r="H211">
        <v>4.2392000000000003</v>
      </c>
      <c r="I211">
        <v>4</v>
      </c>
      <c r="J211">
        <v>277</v>
      </c>
      <c r="K211">
        <v>18.600000000000001</v>
      </c>
      <c r="L211">
        <v>381.32</v>
      </c>
      <c r="M211">
        <v>14.66</v>
      </c>
      <c r="N211">
        <v>24.4</v>
      </c>
    </row>
    <row r="212" spans="1:14">
      <c r="A212">
        <v>0.43570999999999999</v>
      </c>
      <c r="B212">
        <v>0</v>
      </c>
      <c r="C212">
        <v>10.59</v>
      </c>
      <c r="D212">
        <v>1</v>
      </c>
      <c r="E212">
        <v>0.48899999999999999</v>
      </c>
      <c r="F212">
        <v>5.3440000000000003</v>
      </c>
      <c r="G212">
        <v>100</v>
      </c>
      <c r="H212">
        <v>3.875</v>
      </c>
      <c r="I212">
        <v>4</v>
      </c>
      <c r="J212">
        <v>277</v>
      </c>
      <c r="K212">
        <v>18.600000000000001</v>
      </c>
      <c r="L212">
        <v>396.9</v>
      </c>
      <c r="M212">
        <v>23.09</v>
      </c>
      <c r="N212">
        <v>20</v>
      </c>
    </row>
    <row r="213" spans="1:14">
      <c r="A213">
        <v>0.17446</v>
      </c>
      <c r="B213">
        <v>0</v>
      </c>
      <c r="C213">
        <v>10.59</v>
      </c>
      <c r="D213">
        <v>1</v>
      </c>
      <c r="E213">
        <v>0.48899999999999999</v>
      </c>
      <c r="F213">
        <v>5.96</v>
      </c>
      <c r="G213">
        <v>92.1</v>
      </c>
      <c r="H213">
        <v>3.8771</v>
      </c>
      <c r="I213">
        <v>4</v>
      </c>
      <c r="J213">
        <v>277</v>
      </c>
      <c r="K213">
        <v>18.600000000000001</v>
      </c>
      <c r="L213">
        <v>393.25</v>
      </c>
      <c r="M213">
        <v>17.27</v>
      </c>
      <c r="N213">
        <v>21.7</v>
      </c>
    </row>
    <row r="214" spans="1:14">
      <c r="A214">
        <v>0.37578</v>
      </c>
      <c r="B214">
        <v>0</v>
      </c>
      <c r="C214">
        <v>10.59</v>
      </c>
      <c r="D214">
        <v>1</v>
      </c>
      <c r="E214">
        <v>0.48899999999999999</v>
      </c>
      <c r="F214">
        <v>5.4039999999999999</v>
      </c>
      <c r="G214">
        <v>88.6</v>
      </c>
      <c r="H214">
        <v>3.665</v>
      </c>
      <c r="I214">
        <v>4</v>
      </c>
      <c r="J214">
        <v>277</v>
      </c>
      <c r="K214">
        <v>18.600000000000001</v>
      </c>
      <c r="L214">
        <v>395.24</v>
      </c>
      <c r="M214">
        <v>23.98</v>
      </c>
      <c r="N214">
        <v>19.3</v>
      </c>
    </row>
    <row r="215" spans="1:14">
      <c r="A215">
        <v>0.21718999999999999</v>
      </c>
      <c r="B215">
        <v>0</v>
      </c>
      <c r="C215">
        <v>10.59</v>
      </c>
      <c r="D215">
        <v>1</v>
      </c>
      <c r="E215">
        <v>0.48899999999999999</v>
      </c>
      <c r="F215">
        <v>5.8070000000000004</v>
      </c>
      <c r="G215">
        <v>53.8</v>
      </c>
      <c r="H215">
        <v>3.6526000000000001</v>
      </c>
      <c r="I215">
        <v>4</v>
      </c>
      <c r="J215">
        <v>277</v>
      </c>
      <c r="K215">
        <v>18.600000000000001</v>
      </c>
      <c r="L215">
        <v>390.94</v>
      </c>
      <c r="M215">
        <v>16.03</v>
      </c>
      <c r="N215">
        <v>22.4</v>
      </c>
    </row>
    <row r="216" spans="1:14">
      <c r="A216">
        <v>0.14052000000000001</v>
      </c>
      <c r="B216">
        <v>0</v>
      </c>
      <c r="C216">
        <v>10.59</v>
      </c>
      <c r="D216">
        <v>0</v>
      </c>
      <c r="E216">
        <v>0.48899999999999999</v>
      </c>
      <c r="F216">
        <v>6.375</v>
      </c>
      <c r="G216">
        <v>32.299999999999997</v>
      </c>
      <c r="H216">
        <v>3.9453999999999998</v>
      </c>
      <c r="I216">
        <v>4</v>
      </c>
      <c r="J216">
        <v>277</v>
      </c>
      <c r="K216">
        <v>18.600000000000001</v>
      </c>
      <c r="L216">
        <v>385.81</v>
      </c>
      <c r="M216">
        <v>9.3800000000000008</v>
      </c>
      <c r="N216">
        <v>28.1</v>
      </c>
    </row>
    <row r="217" spans="1:14">
      <c r="A217">
        <v>0.28954999999999997</v>
      </c>
      <c r="B217">
        <v>0</v>
      </c>
      <c r="C217">
        <v>10.59</v>
      </c>
      <c r="D217">
        <v>0</v>
      </c>
      <c r="E217">
        <v>0.48899999999999999</v>
      </c>
      <c r="F217">
        <v>5.4119999999999999</v>
      </c>
      <c r="G217">
        <v>9.8000000000000007</v>
      </c>
      <c r="H217">
        <v>3.5874999999999999</v>
      </c>
      <c r="I217">
        <v>4</v>
      </c>
      <c r="J217">
        <v>277</v>
      </c>
      <c r="K217">
        <v>18.600000000000001</v>
      </c>
      <c r="L217">
        <v>348.93</v>
      </c>
      <c r="M217">
        <v>29.55</v>
      </c>
      <c r="N217">
        <v>23.7</v>
      </c>
    </row>
    <row r="218" spans="1:14">
      <c r="A218">
        <v>0.19802</v>
      </c>
      <c r="B218">
        <v>0</v>
      </c>
      <c r="C218">
        <v>10.59</v>
      </c>
      <c r="D218">
        <v>0</v>
      </c>
      <c r="E218">
        <v>0.48899999999999999</v>
      </c>
      <c r="F218">
        <v>6.1820000000000004</v>
      </c>
      <c r="G218">
        <v>42.4</v>
      </c>
      <c r="H218">
        <v>3.9453999999999998</v>
      </c>
      <c r="I218">
        <v>4</v>
      </c>
      <c r="J218">
        <v>277</v>
      </c>
      <c r="K218">
        <v>18.600000000000001</v>
      </c>
      <c r="L218">
        <v>393.63</v>
      </c>
      <c r="M218">
        <v>9.4700000000000006</v>
      </c>
      <c r="N218">
        <v>25</v>
      </c>
    </row>
    <row r="219" spans="1:14">
      <c r="A219">
        <v>4.5600000000000002E-2</v>
      </c>
      <c r="B219">
        <v>0</v>
      </c>
      <c r="C219">
        <v>13.89</v>
      </c>
      <c r="D219">
        <v>1</v>
      </c>
      <c r="E219">
        <v>0.55000000000000004</v>
      </c>
      <c r="F219">
        <v>5.8879999999999999</v>
      </c>
      <c r="G219">
        <v>56</v>
      </c>
      <c r="H219">
        <v>3.1120999999999999</v>
      </c>
      <c r="I219">
        <v>5</v>
      </c>
      <c r="J219">
        <v>276</v>
      </c>
      <c r="K219">
        <v>16.399999999999999</v>
      </c>
      <c r="L219">
        <v>392.8</v>
      </c>
      <c r="M219">
        <v>13.51</v>
      </c>
      <c r="N219">
        <v>23.3</v>
      </c>
    </row>
    <row r="220" spans="1:14">
      <c r="A220">
        <v>7.0129999999999998E-2</v>
      </c>
      <c r="B220">
        <v>0</v>
      </c>
      <c r="C220">
        <v>13.89</v>
      </c>
      <c r="D220">
        <v>0</v>
      </c>
      <c r="E220">
        <v>0.55000000000000004</v>
      </c>
      <c r="F220">
        <v>6.6420000000000003</v>
      </c>
      <c r="G220">
        <v>85.1</v>
      </c>
      <c r="H220">
        <v>3.4211</v>
      </c>
      <c r="I220">
        <v>5</v>
      </c>
      <c r="J220">
        <v>276</v>
      </c>
      <c r="K220">
        <v>16.399999999999999</v>
      </c>
      <c r="L220">
        <v>392.78</v>
      </c>
      <c r="M220">
        <v>9.69</v>
      </c>
      <c r="N220">
        <v>28.7</v>
      </c>
    </row>
    <row r="221" spans="1:14">
      <c r="A221">
        <v>0.11069</v>
      </c>
      <c r="B221">
        <v>0</v>
      </c>
      <c r="C221">
        <v>13.89</v>
      </c>
      <c r="D221">
        <v>1</v>
      </c>
      <c r="E221">
        <v>0.55000000000000004</v>
      </c>
      <c r="F221">
        <v>5.9509999999999996</v>
      </c>
      <c r="G221">
        <v>93.8</v>
      </c>
      <c r="H221">
        <v>2.8893</v>
      </c>
      <c r="I221">
        <v>5</v>
      </c>
      <c r="J221">
        <v>276</v>
      </c>
      <c r="K221">
        <v>16.399999999999999</v>
      </c>
      <c r="L221">
        <v>396.9</v>
      </c>
      <c r="M221">
        <v>17.920000000000002</v>
      </c>
      <c r="N221">
        <v>21.5</v>
      </c>
    </row>
    <row r="222" spans="1:14">
      <c r="A222">
        <v>0.11425</v>
      </c>
      <c r="B222">
        <v>0</v>
      </c>
      <c r="C222">
        <v>13.89</v>
      </c>
      <c r="D222">
        <v>1</v>
      </c>
      <c r="E222">
        <v>0.55000000000000004</v>
      </c>
      <c r="F222">
        <v>6.3730000000000002</v>
      </c>
      <c r="G222">
        <v>92.4</v>
      </c>
      <c r="H222">
        <v>3.3633000000000002</v>
      </c>
      <c r="I222">
        <v>5</v>
      </c>
      <c r="J222">
        <v>276</v>
      </c>
      <c r="K222">
        <v>16.399999999999999</v>
      </c>
      <c r="L222">
        <v>393.74</v>
      </c>
      <c r="M222">
        <v>10.5</v>
      </c>
      <c r="N222">
        <v>23</v>
      </c>
    </row>
    <row r="223" spans="1:14">
      <c r="A223">
        <v>0.35809000000000002</v>
      </c>
      <c r="B223">
        <v>0</v>
      </c>
      <c r="C223">
        <v>6.2</v>
      </c>
      <c r="D223">
        <v>1</v>
      </c>
      <c r="E223">
        <v>0.50700000000000001</v>
      </c>
      <c r="F223">
        <v>6.9509999999999996</v>
      </c>
      <c r="G223">
        <v>88.5</v>
      </c>
      <c r="H223">
        <v>2.8616999999999999</v>
      </c>
      <c r="I223">
        <v>8</v>
      </c>
      <c r="J223">
        <v>307</v>
      </c>
      <c r="K223">
        <v>17.399999999999999</v>
      </c>
      <c r="L223">
        <v>391.7</v>
      </c>
      <c r="M223">
        <v>9.7100000000000009</v>
      </c>
      <c r="N223">
        <v>26.7</v>
      </c>
    </row>
    <row r="224" spans="1:14">
      <c r="A224">
        <v>0.40771000000000002</v>
      </c>
      <c r="B224">
        <v>0</v>
      </c>
      <c r="C224">
        <v>6.2</v>
      </c>
      <c r="D224">
        <v>1</v>
      </c>
      <c r="E224">
        <v>0.50700000000000001</v>
      </c>
      <c r="F224">
        <v>6.1639999999999997</v>
      </c>
      <c r="G224">
        <v>91.3</v>
      </c>
      <c r="H224">
        <v>3.048</v>
      </c>
      <c r="I224">
        <v>8</v>
      </c>
      <c r="J224">
        <v>307</v>
      </c>
      <c r="K224">
        <v>17.399999999999999</v>
      </c>
      <c r="L224">
        <v>395.24</v>
      </c>
      <c r="M224">
        <v>21.46</v>
      </c>
      <c r="N224">
        <v>21.7</v>
      </c>
    </row>
    <row r="225" spans="1:14">
      <c r="A225">
        <v>0.62356</v>
      </c>
      <c r="B225">
        <v>0</v>
      </c>
      <c r="C225">
        <v>6.2</v>
      </c>
      <c r="D225">
        <v>1</v>
      </c>
      <c r="E225">
        <v>0.50700000000000001</v>
      </c>
      <c r="F225">
        <v>6.8789999999999996</v>
      </c>
      <c r="G225">
        <v>77.7</v>
      </c>
      <c r="H225">
        <v>3.2721</v>
      </c>
      <c r="I225">
        <v>8</v>
      </c>
      <c r="J225">
        <v>307</v>
      </c>
      <c r="K225">
        <v>17.399999999999999</v>
      </c>
      <c r="L225">
        <v>390.39</v>
      </c>
      <c r="M225">
        <v>9.93</v>
      </c>
      <c r="N225">
        <v>27.5</v>
      </c>
    </row>
    <row r="226" spans="1:14">
      <c r="A226">
        <v>0.61470000000000002</v>
      </c>
      <c r="B226">
        <v>0</v>
      </c>
      <c r="C226">
        <v>6.2</v>
      </c>
      <c r="D226">
        <v>0</v>
      </c>
      <c r="E226">
        <v>0.50700000000000001</v>
      </c>
      <c r="F226">
        <v>6.6180000000000003</v>
      </c>
      <c r="G226">
        <v>80.8</v>
      </c>
      <c r="H226">
        <v>3.2721</v>
      </c>
      <c r="I226">
        <v>8</v>
      </c>
      <c r="J226">
        <v>307</v>
      </c>
      <c r="K226">
        <v>17.399999999999999</v>
      </c>
      <c r="L226">
        <v>396.9</v>
      </c>
      <c r="M226">
        <v>7.6</v>
      </c>
      <c r="N226">
        <v>30.1</v>
      </c>
    </row>
    <row r="227" spans="1:14">
      <c r="A227">
        <v>0.31533</v>
      </c>
      <c r="B227">
        <v>0</v>
      </c>
      <c r="C227">
        <v>6.2</v>
      </c>
      <c r="D227">
        <v>0</v>
      </c>
      <c r="E227">
        <v>0.504</v>
      </c>
      <c r="F227">
        <v>8.266</v>
      </c>
      <c r="G227">
        <v>78.3</v>
      </c>
      <c r="H227">
        <v>2.8944000000000001</v>
      </c>
      <c r="I227">
        <v>8</v>
      </c>
      <c r="J227">
        <v>307</v>
      </c>
      <c r="K227">
        <v>17.399999999999999</v>
      </c>
      <c r="L227">
        <v>385.05</v>
      </c>
      <c r="M227">
        <v>4.1399999999999997</v>
      </c>
      <c r="N227">
        <v>44.8</v>
      </c>
    </row>
    <row r="228" spans="1:14">
      <c r="A228">
        <v>0.52693000000000001</v>
      </c>
      <c r="B228">
        <v>0</v>
      </c>
      <c r="C228">
        <v>6.2</v>
      </c>
      <c r="D228">
        <v>0</v>
      </c>
      <c r="E228">
        <v>0.504</v>
      </c>
      <c r="F228">
        <v>8.7249999999999996</v>
      </c>
      <c r="G228">
        <v>83</v>
      </c>
      <c r="H228">
        <v>2.8944000000000001</v>
      </c>
      <c r="I228">
        <v>8</v>
      </c>
      <c r="J228">
        <v>307</v>
      </c>
      <c r="K228">
        <v>17.399999999999999</v>
      </c>
      <c r="L228">
        <v>382</v>
      </c>
      <c r="M228">
        <v>4.63</v>
      </c>
      <c r="N228">
        <v>50</v>
      </c>
    </row>
    <row r="229" spans="1:14">
      <c r="A229">
        <v>0.38213999999999998</v>
      </c>
      <c r="B229">
        <v>0</v>
      </c>
      <c r="C229">
        <v>6.2</v>
      </c>
      <c r="D229">
        <v>0</v>
      </c>
      <c r="E229">
        <v>0.504</v>
      </c>
      <c r="F229">
        <v>8.0399999999999991</v>
      </c>
      <c r="G229">
        <v>86.5</v>
      </c>
      <c r="H229">
        <v>3.2157</v>
      </c>
      <c r="I229">
        <v>8</v>
      </c>
      <c r="J229">
        <v>307</v>
      </c>
      <c r="K229">
        <v>17.399999999999999</v>
      </c>
      <c r="L229">
        <v>387.38</v>
      </c>
      <c r="M229">
        <v>3.13</v>
      </c>
      <c r="N229">
        <v>37.6</v>
      </c>
    </row>
    <row r="230" spans="1:14">
      <c r="A230">
        <v>0.41238000000000002</v>
      </c>
      <c r="B230">
        <v>0</v>
      </c>
      <c r="C230">
        <v>6.2</v>
      </c>
      <c r="D230">
        <v>0</v>
      </c>
      <c r="E230">
        <v>0.504</v>
      </c>
      <c r="F230">
        <v>7.1630000000000003</v>
      </c>
      <c r="G230">
        <v>79.900000000000006</v>
      </c>
      <c r="H230">
        <v>3.2157</v>
      </c>
      <c r="I230">
        <v>8</v>
      </c>
      <c r="J230">
        <v>307</v>
      </c>
      <c r="K230">
        <v>17.399999999999999</v>
      </c>
      <c r="L230">
        <v>372.08</v>
      </c>
      <c r="M230">
        <v>6.36</v>
      </c>
      <c r="N230">
        <v>31.6</v>
      </c>
    </row>
    <row r="231" spans="1:14">
      <c r="A231">
        <v>0.29819000000000001</v>
      </c>
      <c r="B231">
        <v>0</v>
      </c>
      <c r="C231">
        <v>6.2</v>
      </c>
      <c r="D231">
        <v>0</v>
      </c>
      <c r="E231">
        <v>0.504</v>
      </c>
      <c r="F231">
        <v>7.6859999999999999</v>
      </c>
      <c r="G231">
        <v>17</v>
      </c>
      <c r="H231">
        <v>3.3751000000000002</v>
      </c>
      <c r="I231">
        <v>8</v>
      </c>
      <c r="J231">
        <v>307</v>
      </c>
      <c r="K231">
        <v>17.399999999999999</v>
      </c>
      <c r="L231">
        <v>377.51</v>
      </c>
      <c r="M231">
        <v>3.92</v>
      </c>
      <c r="N231">
        <v>46.7</v>
      </c>
    </row>
    <row r="232" spans="1:14">
      <c r="A232">
        <v>0.44178000000000001</v>
      </c>
      <c r="B232">
        <v>0</v>
      </c>
      <c r="C232">
        <v>6.2</v>
      </c>
      <c r="D232">
        <v>0</v>
      </c>
      <c r="E232">
        <v>0.504</v>
      </c>
      <c r="F232">
        <v>6.5519999999999996</v>
      </c>
      <c r="G232">
        <v>21.4</v>
      </c>
      <c r="H232">
        <v>3.3751000000000002</v>
      </c>
      <c r="I232">
        <v>8</v>
      </c>
      <c r="J232">
        <v>307</v>
      </c>
      <c r="K232">
        <v>17.399999999999999</v>
      </c>
      <c r="L232">
        <v>380.34</v>
      </c>
      <c r="M232">
        <v>3.76</v>
      </c>
      <c r="N232">
        <v>31.5</v>
      </c>
    </row>
    <row r="233" spans="1:14">
      <c r="A233">
        <v>0.53700000000000003</v>
      </c>
      <c r="B233">
        <v>0</v>
      </c>
      <c r="C233">
        <v>6.2</v>
      </c>
      <c r="D233">
        <v>0</v>
      </c>
      <c r="E233">
        <v>0.504</v>
      </c>
      <c r="F233">
        <v>5.9809999999999999</v>
      </c>
      <c r="G233">
        <v>68.099999999999994</v>
      </c>
      <c r="H233">
        <v>3.6715</v>
      </c>
      <c r="I233">
        <v>8</v>
      </c>
      <c r="J233">
        <v>307</v>
      </c>
      <c r="K233">
        <v>17.399999999999999</v>
      </c>
      <c r="L233">
        <v>378.35</v>
      </c>
      <c r="M233">
        <v>11.65</v>
      </c>
      <c r="N233">
        <v>24.3</v>
      </c>
    </row>
    <row r="234" spans="1:14">
      <c r="A234">
        <v>0.46295999999999998</v>
      </c>
      <c r="B234">
        <v>0</v>
      </c>
      <c r="C234">
        <v>6.2</v>
      </c>
      <c r="D234">
        <v>0</v>
      </c>
      <c r="E234">
        <v>0.504</v>
      </c>
      <c r="F234">
        <v>7.4119999999999999</v>
      </c>
      <c r="G234">
        <v>76.900000000000006</v>
      </c>
      <c r="H234">
        <v>3.6715</v>
      </c>
      <c r="I234">
        <v>8</v>
      </c>
      <c r="J234">
        <v>307</v>
      </c>
      <c r="K234">
        <v>17.399999999999999</v>
      </c>
      <c r="L234">
        <v>376.14</v>
      </c>
      <c r="M234">
        <v>5.25</v>
      </c>
      <c r="N234">
        <v>31.7</v>
      </c>
    </row>
    <row r="235" spans="1:14">
      <c r="A235">
        <v>0.57528999999999997</v>
      </c>
      <c r="B235">
        <v>0</v>
      </c>
      <c r="C235">
        <v>6.2</v>
      </c>
      <c r="D235">
        <v>0</v>
      </c>
      <c r="E235">
        <v>0.50700000000000001</v>
      </c>
      <c r="F235">
        <v>8.3369999999999997</v>
      </c>
      <c r="G235">
        <v>73.3</v>
      </c>
      <c r="H235">
        <v>3.8384</v>
      </c>
      <c r="I235">
        <v>8</v>
      </c>
      <c r="J235">
        <v>307</v>
      </c>
      <c r="K235">
        <v>17.399999999999999</v>
      </c>
      <c r="L235">
        <v>385.91</v>
      </c>
      <c r="M235">
        <v>2.4700000000000002</v>
      </c>
      <c r="N235">
        <v>41.7</v>
      </c>
    </row>
    <row r="236" spans="1:14">
      <c r="A236">
        <v>0.33146999999999999</v>
      </c>
      <c r="B236">
        <v>0</v>
      </c>
      <c r="C236">
        <v>6.2</v>
      </c>
      <c r="D236">
        <v>0</v>
      </c>
      <c r="E236">
        <v>0.50700000000000001</v>
      </c>
      <c r="F236">
        <v>8.2469999999999999</v>
      </c>
      <c r="G236">
        <v>70.400000000000006</v>
      </c>
      <c r="H236">
        <v>3.6518999999999999</v>
      </c>
      <c r="I236">
        <v>8</v>
      </c>
      <c r="J236">
        <v>307</v>
      </c>
      <c r="K236">
        <v>17.399999999999999</v>
      </c>
      <c r="L236">
        <v>378.95</v>
      </c>
      <c r="M236">
        <v>3.95</v>
      </c>
      <c r="N236">
        <v>48.3</v>
      </c>
    </row>
    <row r="237" spans="1:14">
      <c r="A237">
        <v>0.44790999999999997</v>
      </c>
      <c r="B237">
        <v>0</v>
      </c>
      <c r="C237">
        <v>6.2</v>
      </c>
      <c r="D237">
        <v>1</v>
      </c>
      <c r="E237">
        <v>0.50700000000000001</v>
      </c>
      <c r="F237">
        <v>6.726</v>
      </c>
      <c r="G237">
        <v>66.5</v>
      </c>
      <c r="H237">
        <v>3.6518999999999999</v>
      </c>
      <c r="I237">
        <v>8</v>
      </c>
      <c r="J237">
        <v>307</v>
      </c>
      <c r="K237">
        <v>17.399999999999999</v>
      </c>
      <c r="L237">
        <v>360.2</v>
      </c>
      <c r="M237">
        <v>8.0500000000000007</v>
      </c>
      <c r="N237">
        <v>29</v>
      </c>
    </row>
    <row r="238" spans="1:14">
      <c r="A238">
        <v>0.33045000000000002</v>
      </c>
      <c r="B238">
        <v>0</v>
      </c>
      <c r="C238">
        <v>6.2</v>
      </c>
      <c r="D238">
        <v>0</v>
      </c>
      <c r="E238">
        <v>0.50700000000000001</v>
      </c>
      <c r="F238">
        <v>6.0860000000000003</v>
      </c>
      <c r="G238">
        <v>61.5</v>
      </c>
      <c r="H238">
        <v>3.6518999999999999</v>
      </c>
      <c r="I238">
        <v>8</v>
      </c>
      <c r="J238">
        <v>307</v>
      </c>
      <c r="K238">
        <v>17.399999999999999</v>
      </c>
      <c r="L238">
        <v>376.75</v>
      </c>
      <c r="M238">
        <v>10.88</v>
      </c>
      <c r="N238">
        <v>24</v>
      </c>
    </row>
    <row r="239" spans="1:14">
      <c r="A239">
        <v>0.52058000000000004</v>
      </c>
      <c r="B239">
        <v>0</v>
      </c>
      <c r="C239">
        <v>6.2</v>
      </c>
      <c r="D239">
        <v>1</v>
      </c>
      <c r="E239">
        <v>0.50700000000000001</v>
      </c>
      <c r="F239">
        <v>6.6310000000000002</v>
      </c>
      <c r="G239">
        <v>76.5</v>
      </c>
      <c r="H239">
        <v>4.1479999999999997</v>
      </c>
      <c r="I239">
        <v>8</v>
      </c>
      <c r="J239">
        <v>307</v>
      </c>
      <c r="K239">
        <v>17.399999999999999</v>
      </c>
      <c r="L239">
        <v>388.45</v>
      </c>
      <c r="M239">
        <v>9.5399999999999991</v>
      </c>
      <c r="N239">
        <v>25.1</v>
      </c>
    </row>
    <row r="240" spans="1:14">
      <c r="A240">
        <v>0.51183000000000001</v>
      </c>
      <c r="B240">
        <v>0</v>
      </c>
      <c r="C240">
        <v>6.2</v>
      </c>
      <c r="D240">
        <v>0</v>
      </c>
      <c r="E240">
        <v>0.50700000000000001</v>
      </c>
      <c r="F240">
        <v>7.3579999999999997</v>
      </c>
      <c r="G240">
        <v>71.599999999999994</v>
      </c>
      <c r="H240">
        <v>4.1479999999999997</v>
      </c>
      <c r="I240">
        <v>8</v>
      </c>
      <c r="J240">
        <v>307</v>
      </c>
      <c r="K240">
        <v>17.399999999999999</v>
      </c>
      <c r="L240">
        <v>390.07</v>
      </c>
      <c r="M240">
        <v>4.7300000000000004</v>
      </c>
      <c r="N240">
        <v>31.5</v>
      </c>
    </row>
    <row r="241" spans="1:14">
      <c r="A241">
        <v>8.2439999999999999E-2</v>
      </c>
      <c r="B241">
        <v>30</v>
      </c>
      <c r="C241">
        <v>4.93</v>
      </c>
      <c r="D241">
        <v>0</v>
      </c>
      <c r="E241">
        <v>0.42799999999999999</v>
      </c>
      <c r="F241">
        <v>6.4809999999999999</v>
      </c>
      <c r="G241">
        <v>18.5</v>
      </c>
      <c r="H241">
        <v>6.1898999999999997</v>
      </c>
      <c r="I241">
        <v>6</v>
      </c>
      <c r="J241">
        <v>300</v>
      </c>
      <c r="K241">
        <v>16.600000000000001</v>
      </c>
      <c r="L241">
        <v>379.41</v>
      </c>
      <c r="M241">
        <v>6.36</v>
      </c>
      <c r="N241">
        <v>23.7</v>
      </c>
    </row>
    <row r="242" spans="1:14">
      <c r="A242">
        <v>9.2520000000000005E-2</v>
      </c>
      <c r="B242">
        <v>30</v>
      </c>
      <c r="C242">
        <v>4.93</v>
      </c>
      <c r="D242">
        <v>0</v>
      </c>
      <c r="E242">
        <v>0.42799999999999999</v>
      </c>
      <c r="F242">
        <v>6.6059999999999999</v>
      </c>
      <c r="G242">
        <v>42.2</v>
      </c>
      <c r="H242">
        <v>6.1898999999999997</v>
      </c>
      <c r="I242">
        <v>6</v>
      </c>
      <c r="J242">
        <v>300</v>
      </c>
      <c r="K242">
        <v>16.600000000000001</v>
      </c>
      <c r="L242">
        <v>383.78</v>
      </c>
      <c r="M242">
        <v>7.37</v>
      </c>
      <c r="N242">
        <v>23.3</v>
      </c>
    </row>
    <row r="243" spans="1:14">
      <c r="A243">
        <v>0.11329</v>
      </c>
      <c r="B243">
        <v>30</v>
      </c>
      <c r="C243">
        <v>4.93</v>
      </c>
      <c r="D243">
        <v>0</v>
      </c>
      <c r="E243">
        <v>0.42799999999999999</v>
      </c>
      <c r="F243">
        <v>6.8970000000000002</v>
      </c>
      <c r="G243">
        <v>54.3</v>
      </c>
      <c r="H243">
        <v>6.3361000000000001</v>
      </c>
      <c r="I243">
        <v>6</v>
      </c>
      <c r="J243">
        <v>300</v>
      </c>
      <c r="K243">
        <v>16.600000000000001</v>
      </c>
      <c r="L243">
        <v>391.25</v>
      </c>
      <c r="M243">
        <v>11.38</v>
      </c>
      <c r="N243">
        <v>22</v>
      </c>
    </row>
    <row r="244" spans="1:14">
      <c r="A244">
        <v>0.10612000000000001</v>
      </c>
      <c r="B244">
        <v>30</v>
      </c>
      <c r="C244">
        <v>4.93</v>
      </c>
      <c r="D244">
        <v>0</v>
      </c>
      <c r="E244">
        <v>0.42799999999999999</v>
      </c>
      <c r="F244">
        <v>6.0949999999999998</v>
      </c>
      <c r="G244">
        <v>65.099999999999994</v>
      </c>
      <c r="H244">
        <v>6.3361000000000001</v>
      </c>
      <c r="I244">
        <v>6</v>
      </c>
      <c r="J244">
        <v>300</v>
      </c>
      <c r="K244">
        <v>16.600000000000001</v>
      </c>
      <c r="L244">
        <v>394.62</v>
      </c>
      <c r="M244">
        <v>12.4</v>
      </c>
      <c r="N244">
        <v>20.100000000000001</v>
      </c>
    </row>
    <row r="245" spans="1:14">
      <c r="A245">
        <v>0.10290000000000001</v>
      </c>
      <c r="B245">
        <v>30</v>
      </c>
      <c r="C245">
        <v>4.93</v>
      </c>
      <c r="D245">
        <v>0</v>
      </c>
      <c r="E245">
        <v>0.42799999999999999</v>
      </c>
      <c r="F245">
        <v>6.3579999999999997</v>
      </c>
      <c r="G245">
        <v>52.9</v>
      </c>
      <c r="H245">
        <v>7.0354999999999999</v>
      </c>
      <c r="I245">
        <v>6</v>
      </c>
      <c r="J245">
        <v>300</v>
      </c>
      <c r="K245">
        <v>16.600000000000001</v>
      </c>
      <c r="L245">
        <v>372.75</v>
      </c>
      <c r="M245">
        <v>11.22</v>
      </c>
      <c r="N245">
        <v>22.2</v>
      </c>
    </row>
    <row r="246" spans="1:14">
      <c r="A246">
        <v>0.12756999999999999</v>
      </c>
      <c r="B246">
        <v>30</v>
      </c>
      <c r="C246">
        <v>4.93</v>
      </c>
      <c r="D246">
        <v>0</v>
      </c>
      <c r="E246">
        <v>0.42799999999999999</v>
      </c>
      <c r="F246">
        <v>6.3929999999999998</v>
      </c>
      <c r="G246">
        <v>7.8</v>
      </c>
      <c r="H246">
        <v>7.0354999999999999</v>
      </c>
      <c r="I246">
        <v>6</v>
      </c>
      <c r="J246">
        <v>300</v>
      </c>
      <c r="K246">
        <v>16.600000000000001</v>
      </c>
      <c r="L246">
        <v>374.71</v>
      </c>
      <c r="M246">
        <v>5.19</v>
      </c>
      <c r="N246">
        <v>23.7</v>
      </c>
    </row>
    <row r="247" spans="1:14">
      <c r="A247">
        <v>0.20608000000000001</v>
      </c>
      <c r="B247">
        <v>22</v>
      </c>
      <c r="C247">
        <v>5.86</v>
      </c>
      <c r="D247">
        <v>0</v>
      </c>
      <c r="E247">
        <v>0.43099999999999999</v>
      </c>
      <c r="F247">
        <v>5.593</v>
      </c>
      <c r="G247">
        <v>76.5</v>
      </c>
      <c r="H247">
        <v>7.9549000000000003</v>
      </c>
      <c r="I247">
        <v>7</v>
      </c>
      <c r="J247">
        <v>330</v>
      </c>
      <c r="K247">
        <v>19.100000000000001</v>
      </c>
      <c r="L247">
        <v>372.49</v>
      </c>
      <c r="M247">
        <v>12.5</v>
      </c>
      <c r="N247">
        <v>17.600000000000001</v>
      </c>
    </row>
    <row r="248" spans="1:14">
      <c r="A248">
        <v>0.19133</v>
      </c>
      <c r="B248">
        <v>22</v>
      </c>
      <c r="C248">
        <v>5.86</v>
      </c>
      <c r="D248">
        <v>0</v>
      </c>
      <c r="E248">
        <v>0.43099999999999999</v>
      </c>
      <c r="F248">
        <v>5.6050000000000004</v>
      </c>
      <c r="G248">
        <v>70.2</v>
      </c>
      <c r="H248">
        <v>7.9549000000000003</v>
      </c>
      <c r="I248">
        <v>7</v>
      </c>
      <c r="J248">
        <v>330</v>
      </c>
      <c r="K248">
        <v>19.100000000000001</v>
      </c>
      <c r="L248">
        <v>389.13</v>
      </c>
      <c r="M248">
        <v>18.46</v>
      </c>
      <c r="N248">
        <v>18.5</v>
      </c>
    </row>
    <row r="249" spans="1:14">
      <c r="A249">
        <v>0.33983000000000002</v>
      </c>
      <c r="B249">
        <v>22</v>
      </c>
      <c r="C249">
        <v>5.86</v>
      </c>
      <c r="D249">
        <v>0</v>
      </c>
      <c r="E249">
        <v>0.43099999999999999</v>
      </c>
      <c r="F249">
        <v>6.1079999999999997</v>
      </c>
      <c r="G249">
        <v>34.9</v>
      </c>
      <c r="H249">
        <v>8.0555000000000003</v>
      </c>
      <c r="I249">
        <v>7</v>
      </c>
      <c r="J249">
        <v>330</v>
      </c>
      <c r="K249">
        <v>19.100000000000001</v>
      </c>
      <c r="L249">
        <v>390.18</v>
      </c>
      <c r="M249">
        <v>9.16</v>
      </c>
      <c r="N249">
        <v>24.3</v>
      </c>
    </row>
    <row r="250" spans="1:14">
      <c r="A250">
        <v>0.19656999999999999</v>
      </c>
      <c r="B250">
        <v>22</v>
      </c>
      <c r="C250">
        <v>5.86</v>
      </c>
      <c r="D250">
        <v>0</v>
      </c>
      <c r="E250">
        <v>0.43099999999999999</v>
      </c>
      <c r="F250">
        <v>6.226</v>
      </c>
      <c r="G250">
        <v>79.2</v>
      </c>
      <c r="H250">
        <v>8.0555000000000003</v>
      </c>
      <c r="I250">
        <v>7</v>
      </c>
      <c r="J250">
        <v>330</v>
      </c>
      <c r="K250">
        <v>19.100000000000001</v>
      </c>
      <c r="L250">
        <v>376.14</v>
      </c>
      <c r="M250">
        <v>10.15</v>
      </c>
      <c r="N250">
        <v>20.5</v>
      </c>
    </row>
    <row r="251" spans="1:14">
      <c r="A251">
        <v>0.16439000000000001</v>
      </c>
      <c r="B251">
        <v>22</v>
      </c>
      <c r="C251">
        <v>5.86</v>
      </c>
      <c r="D251">
        <v>0</v>
      </c>
      <c r="E251">
        <v>0.43099999999999999</v>
      </c>
      <c r="F251">
        <v>6.4329999999999998</v>
      </c>
      <c r="G251">
        <v>49.1</v>
      </c>
      <c r="H251">
        <v>7.8265000000000002</v>
      </c>
      <c r="I251">
        <v>7</v>
      </c>
      <c r="J251">
        <v>330</v>
      </c>
      <c r="K251">
        <v>19.100000000000001</v>
      </c>
      <c r="L251">
        <v>374.71</v>
      </c>
      <c r="M251">
        <v>9.52</v>
      </c>
      <c r="N251">
        <v>24.5</v>
      </c>
    </row>
    <row r="252" spans="1:14">
      <c r="A252">
        <v>0.19073000000000001</v>
      </c>
      <c r="B252">
        <v>22</v>
      </c>
      <c r="C252">
        <v>5.86</v>
      </c>
      <c r="D252">
        <v>0</v>
      </c>
      <c r="E252">
        <v>0.43099999999999999</v>
      </c>
      <c r="F252">
        <v>6.718</v>
      </c>
      <c r="G252">
        <v>17.5</v>
      </c>
      <c r="H252">
        <v>7.8265000000000002</v>
      </c>
      <c r="I252">
        <v>7</v>
      </c>
      <c r="J252">
        <v>330</v>
      </c>
      <c r="K252">
        <v>19.100000000000001</v>
      </c>
      <c r="L252">
        <v>393.74</v>
      </c>
      <c r="M252">
        <v>6.56</v>
      </c>
      <c r="N252">
        <v>26.2</v>
      </c>
    </row>
    <row r="253" spans="1:14">
      <c r="A253">
        <v>0.14030000000000001</v>
      </c>
      <c r="B253">
        <v>22</v>
      </c>
      <c r="C253">
        <v>5.86</v>
      </c>
      <c r="D253">
        <v>0</v>
      </c>
      <c r="E253">
        <v>0.43099999999999999</v>
      </c>
      <c r="F253">
        <v>6.4870000000000001</v>
      </c>
      <c r="G253">
        <v>13</v>
      </c>
      <c r="H253">
        <v>7.3967000000000001</v>
      </c>
      <c r="I253">
        <v>7</v>
      </c>
      <c r="J253">
        <v>330</v>
      </c>
      <c r="K253">
        <v>19.100000000000001</v>
      </c>
      <c r="L253">
        <v>396.28</v>
      </c>
      <c r="M253">
        <v>5.9</v>
      </c>
      <c r="N253">
        <v>24.4</v>
      </c>
    </row>
    <row r="254" spans="1:14">
      <c r="A254">
        <v>0.21409</v>
      </c>
      <c r="B254">
        <v>22</v>
      </c>
      <c r="C254">
        <v>5.86</v>
      </c>
      <c r="D254">
        <v>0</v>
      </c>
      <c r="E254">
        <v>0.43099999999999999</v>
      </c>
      <c r="F254">
        <v>6.4379999999999997</v>
      </c>
      <c r="G254">
        <v>8.9</v>
      </c>
      <c r="H254">
        <v>7.3967000000000001</v>
      </c>
      <c r="I254">
        <v>7</v>
      </c>
      <c r="J254">
        <v>330</v>
      </c>
      <c r="K254">
        <v>19.100000000000001</v>
      </c>
      <c r="L254">
        <v>377.07</v>
      </c>
      <c r="M254">
        <v>3.59</v>
      </c>
      <c r="N254">
        <v>24.8</v>
      </c>
    </row>
    <row r="255" spans="1:14">
      <c r="A255">
        <v>8.2210000000000005E-2</v>
      </c>
      <c r="B255">
        <v>22</v>
      </c>
      <c r="C255">
        <v>5.86</v>
      </c>
      <c r="D255">
        <v>0</v>
      </c>
      <c r="E255">
        <v>0.43099999999999999</v>
      </c>
      <c r="F255">
        <v>6.9569999999999999</v>
      </c>
      <c r="G255">
        <v>6.8</v>
      </c>
      <c r="H255">
        <v>8.9067000000000007</v>
      </c>
      <c r="I255">
        <v>7</v>
      </c>
      <c r="J255">
        <v>330</v>
      </c>
      <c r="K255">
        <v>19.100000000000001</v>
      </c>
      <c r="L255">
        <v>386.09</v>
      </c>
      <c r="M255">
        <v>3.53</v>
      </c>
      <c r="N255">
        <v>29.6</v>
      </c>
    </row>
    <row r="256" spans="1:14">
      <c r="A256">
        <v>0.36893999999999999</v>
      </c>
      <c r="B256">
        <v>22</v>
      </c>
      <c r="C256">
        <v>5.86</v>
      </c>
      <c r="D256">
        <v>0</v>
      </c>
      <c r="E256">
        <v>0.43099999999999999</v>
      </c>
      <c r="F256">
        <v>8.2590000000000003</v>
      </c>
      <c r="G256">
        <v>8.4</v>
      </c>
      <c r="H256">
        <v>8.9067000000000007</v>
      </c>
      <c r="I256">
        <v>7</v>
      </c>
      <c r="J256">
        <v>330</v>
      </c>
      <c r="K256">
        <v>19.100000000000001</v>
      </c>
      <c r="L256">
        <v>396.9</v>
      </c>
      <c r="M256">
        <v>3.54</v>
      </c>
      <c r="N256">
        <v>42.8</v>
      </c>
    </row>
    <row r="257" spans="1:14">
      <c r="A257">
        <v>4.8189999999999997E-2</v>
      </c>
      <c r="B257">
        <v>80</v>
      </c>
      <c r="C257">
        <v>3.64</v>
      </c>
      <c r="D257">
        <v>0</v>
      </c>
      <c r="E257">
        <v>0.39200000000000002</v>
      </c>
      <c r="F257">
        <v>6.1079999999999997</v>
      </c>
      <c r="G257">
        <v>32</v>
      </c>
      <c r="H257">
        <v>9.2202999999999999</v>
      </c>
      <c r="I257">
        <v>1</v>
      </c>
      <c r="J257">
        <v>315</v>
      </c>
      <c r="K257">
        <v>16.399999999999999</v>
      </c>
      <c r="L257">
        <v>392.89</v>
      </c>
      <c r="M257">
        <v>6.57</v>
      </c>
      <c r="N257">
        <v>21.9</v>
      </c>
    </row>
    <row r="258" spans="1:14">
      <c r="A258">
        <v>3.5479999999999998E-2</v>
      </c>
      <c r="B258">
        <v>80</v>
      </c>
      <c r="C258">
        <v>3.64</v>
      </c>
      <c r="D258">
        <v>0</v>
      </c>
      <c r="E258">
        <v>0.39200000000000002</v>
      </c>
      <c r="F258">
        <v>5.8760000000000003</v>
      </c>
      <c r="G258">
        <v>19.100000000000001</v>
      </c>
      <c r="H258">
        <v>9.2202999999999999</v>
      </c>
      <c r="I258">
        <v>1</v>
      </c>
      <c r="J258">
        <v>315</v>
      </c>
      <c r="K258">
        <v>16.399999999999999</v>
      </c>
      <c r="L258">
        <v>395.18</v>
      </c>
      <c r="M258">
        <v>9.25</v>
      </c>
      <c r="N258">
        <v>20.9</v>
      </c>
    </row>
    <row r="259" spans="1:14">
      <c r="A259">
        <v>1.538E-2</v>
      </c>
      <c r="B259">
        <v>90</v>
      </c>
      <c r="C259">
        <v>3.75</v>
      </c>
      <c r="D259">
        <v>0</v>
      </c>
      <c r="E259">
        <v>0.39400000000000002</v>
      </c>
      <c r="F259">
        <v>7.4539999999999997</v>
      </c>
      <c r="G259">
        <v>34.200000000000003</v>
      </c>
      <c r="H259">
        <v>6.3361000000000001</v>
      </c>
      <c r="I259">
        <v>3</v>
      </c>
      <c r="J259">
        <v>244</v>
      </c>
      <c r="K259">
        <v>15.9</v>
      </c>
      <c r="L259">
        <v>386.34</v>
      </c>
      <c r="M259">
        <v>3.11</v>
      </c>
      <c r="N259">
        <v>44</v>
      </c>
    </row>
    <row r="260" spans="1:14">
      <c r="A260">
        <v>0.61153999999999997</v>
      </c>
      <c r="B260">
        <v>20</v>
      </c>
      <c r="C260">
        <v>3.97</v>
      </c>
      <c r="D260">
        <v>0</v>
      </c>
      <c r="E260">
        <v>0.64700000000000002</v>
      </c>
      <c r="F260">
        <v>8.7040000000000006</v>
      </c>
      <c r="G260">
        <v>86.9</v>
      </c>
      <c r="H260">
        <v>1.8009999999999999</v>
      </c>
      <c r="I260">
        <v>5</v>
      </c>
      <c r="J260">
        <v>264</v>
      </c>
      <c r="K260">
        <v>13</v>
      </c>
      <c r="L260">
        <v>389.7</v>
      </c>
      <c r="M260">
        <v>5.12</v>
      </c>
      <c r="N260">
        <v>50</v>
      </c>
    </row>
    <row r="261" spans="1:14">
      <c r="A261">
        <v>0.66351000000000004</v>
      </c>
      <c r="B261">
        <v>20</v>
      </c>
      <c r="C261">
        <v>3.97</v>
      </c>
      <c r="D261">
        <v>0</v>
      </c>
      <c r="E261">
        <v>0.64700000000000002</v>
      </c>
      <c r="F261">
        <v>7.3330000000000002</v>
      </c>
      <c r="G261">
        <v>100</v>
      </c>
      <c r="H261">
        <v>1.8946000000000001</v>
      </c>
      <c r="I261">
        <v>5</v>
      </c>
      <c r="J261">
        <v>264</v>
      </c>
      <c r="K261">
        <v>13</v>
      </c>
      <c r="L261">
        <v>383.29</v>
      </c>
      <c r="M261">
        <v>7.79</v>
      </c>
      <c r="N261">
        <v>36</v>
      </c>
    </row>
    <row r="262" spans="1:14">
      <c r="A262">
        <v>0.65664999999999996</v>
      </c>
      <c r="B262">
        <v>20</v>
      </c>
      <c r="C262">
        <v>3.97</v>
      </c>
      <c r="D262">
        <v>0</v>
      </c>
      <c r="E262">
        <v>0.64700000000000002</v>
      </c>
      <c r="F262">
        <v>6.8419999999999996</v>
      </c>
      <c r="G262">
        <v>100</v>
      </c>
      <c r="H262">
        <v>2.0106999999999999</v>
      </c>
      <c r="I262">
        <v>5</v>
      </c>
      <c r="J262">
        <v>264</v>
      </c>
      <c r="K262">
        <v>13</v>
      </c>
      <c r="L262">
        <v>391.93</v>
      </c>
      <c r="M262">
        <v>6.9</v>
      </c>
      <c r="N262">
        <v>30.1</v>
      </c>
    </row>
    <row r="263" spans="1:14">
      <c r="A263">
        <v>0.54010999999999998</v>
      </c>
      <c r="B263">
        <v>20</v>
      </c>
      <c r="C263">
        <v>3.97</v>
      </c>
      <c r="D263">
        <v>0</v>
      </c>
      <c r="E263">
        <v>0.64700000000000002</v>
      </c>
      <c r="F263">
        <v>7.2030000000000003</v>
      </c>
      <c r="G263">
        <v>81.8</v>
      </c>
      <c r="H263">
        <v>2.1120999999999999</v>
      </c>
      <c r="I263">
        <v>5</v>
      </c>
      <c r="J263">
        <v>264</v>
      </c>
      <c r="K263">
        <v>13</v>
      </c>
      <c r="L263">
        <v>392.8</v>
      </c>
      <c r="M263">
        <v>9.59</v>
      </c>
      <c r="N263">
        <v>33.799999999999997</v>
      </c>
    </row>
    <row r="264" spans="1:14">
      <c r="A264">
        <v>0.53412000000000004</v>
      </c>
      <c r="B264">
        <v>20</v>
      </c>
      <c r="C264">
        <v>3.97</v>
      </c>
      <c r="D264">
        <v>0</v>
      </c>
      <c r="E264">
        <v>0.64700000000000002</v>
      </c>
      <c r="F264">
        <v>7.52</v>
      </c>
      <c r="G264">
        <v>89.4</v>
      </c>
      <c r="H264">
        <v>2.1398000000000001</v>
      </c>
      <c r="I264">
        <v>5</v>
      </c>
      <c r="J264">
        <v>264</v>
      </c>
      <c r="K264">
        <v>13</v>
      </c>
      <c r="L264">
        <v>388.37</v>
      </c>
      <c r="M264">
        <v>7.26</v>
      </c>
      <c r="N264">
        <v>43.1</v>
      </c>
    </row>
    <row r="265" spans="1:14">
      <c r="A265">
        <v>0.52014000000000005</v>
      </c>
      <c r="B265">
        <v>20</v>
      </c>
      <c r="C265">
        <v>3.97</v>
      </c>
      <c r="D265">
        <v>0</v>
      </c>
      <c r="E265">
        <v>0.64700000000000002</v>
      </c>
      <c r="F265">
        <v>8.3979999999999997</v>
      </c>
      <c r="G265">
        <v>91.5</v>
      </c>
      <c r="H265">
        <v>2.2885</v>
      </c>
      <c r="I265">
        <v>5</v>
      </c>
      <c r="J265">
        <v>264</v>
      </c>
      <c r="K265">
        <v>13</v>
      </c>
      <c r="L265">
        <v>386.86</v>
      </c>
      <c r="M265">
        <v>5.91</v>
      </c>
      <c r="N265">
        <v>48.8</v>
      </c>
    </row>
    <row r="266" spans="1:14">
      <c r="A266">
        <v>0.82525999999999999</v>
      </c>
      <c r="B266">
        <v>20</v>
      </c>
      <c r="C266">
        <v>3.97</v>
      </c>
      <c r="D266">
        <v>0</v>
      </c>
      <c r="E266">
        <v>0.64700000000000002</v>
      </c>
      <c r="F266">
        <v>7.327</v>
      </c>
      <c r="G266">
        <v>94.5</v>
      </c>
      <c r="H266">
        <v>2.0788000000000002</v>
      </c>
      <c r="I266">
        <v>5</v>
      </c>
      <c r="J266">
        <v>264</v>
      </c>
      <c r="K266">
        <v>13</v>
      </c>
      <c r="L266">
        <v>393.42</v>
      </c>
      <c r="M266">
        <v>11.25</v>
      </c>
      <c r="N266">
        <v>31</v>
      </c>
    </row>
    <row r="267" spans="1:14">
      <c r="A267">
        <v>0.55006999999999995</v>
      </c>
      <c r="B267">
        <v>20</v>
      </c>
      <c r="C267">
        <v>3.97</v>
      </c>
      <c r="D267">
        <v>0</v>
      </c>
      <c r="E267">
        <v>0.64700000000000002</v>
      </c>
      <c r="F267">
        <v>7.2060000000000004</v>
      </c>
      <c r="G267">
        <v>91.6</v>
      </c>
      <c r="H267">
        <v>1.9300999999999999</v>
      </c>
      <c r="I267">
        <v>5</v>
      </c>
      <c r="J267">
        <v>264</v>
      </c>
      <c r="K267">
        <v>13</v>
      </c>
      <c r="L267">
        <v>387.89</v>
      </c>
      <c r="M267">
        <v>8.1</v>
      </c>
      <c r="N267">
        <v>36.5</v>
      </c>
    </row>
    <row r="268" spans="1:14">
      <c r="A268">
        <v>0.76161999999999996</v>
      </c>
      <c r="B268">
        <v>20</v>
      </c>
      <c r="C268">
        <v>3.97</v>
      </c>
      <c r="D268">
        <v>0</v>
      </c>
      <c r="E268">
        <v>0.64700000000000002</v>
      </c>
      <c r="F268">
        <v>5.56</v>
      </c>
      <c r="G268">
        <v>62.8</v>
      </c>
      <c r="H268">
        <v>1.9864999999999999</v>
      </c>
      <c r="I268">
        <v>5</v>
      </c>
      <c r="J268">
        <v>264</v>
      </c>
      <c r="K268">
        <v>13</v>
      </c>
      <c r="L268">
        <v>392.4</v>
      </c>
      <c r="M268">
        <v>10.45</v>
      </c>
      <c r="N268">
        <v>22.8</v>
      </c>
    </row>
    <row r="269" spans="1:14">
      <c r="A269">
        <v>0.78569999999999995</v>
      </c>
      <c r="B269">
        <v>20</v>
      </c>
      <c r="C269">
        <v>3.97</v>
      </c>
      <c r="D269">
        <v>0</v>
      </c>
      <c r="E269">
        <v>0.64700000000000002</v>
      </c>
      <c r="F269">
        <v>7.0140000000000002</v>
      </c>
      <c r="G269">
        <v>84.6</v>
      </c>
      <c r="H269">
        <v>2.1328999999999998</v>
      </c>
      <c r="I269">
        <v>5</v>
      </c>
      <c r="J269">
        <v>264</v>
      </c>
      <c r="K269">
        <v>13</v>
      </c>
      <c r="L269">
        <v>384.07</v>
      </c>
      <c r="M269">
        <v>14.79</v>
      </c>
      <c r="N269">
        <v>30.7</v>
      </c>
    </row>
    <row r="270" spans="1:14">
      <c r="A270">
        <v>0.57833999999999997</v>
      </c>
      <c r="B270">
        <v>20</v>
      </c>
      <c r="C270">
        <v>3.97</v>
      </c>
      <c r="D270">
        <v>0</v>
      </c>
      <c r="E270">
        <v>0.57499999999999996</v>
      </c>
      <c r="F270">
        <v>8.2970000000000006</v>
      </c>
      <c r="G270">
        <v>67</v>
      </c>
      <c r="H270">
        <v>2.4216000000000002</v>
      </c>
      <c r="I270">
        <v>5</v>
      </c>
      <c r="J270">
        <v>264</v>
      </c>
      <c r="K270">
        <v>13</v>
      </c>
      <c r="L270">
        <v>384.54</v>
      </c>
      <c r="M270">
        <v>7.44</v>
      </c>
      <c r="N270">
        <v>50</v>
      </c>
    </row>
    <row r="271" spans="1:14">
      <c r="A271">
        <v>0.54049999999999998</v>
      </c>
      <c r="B271">
        <v>20</v>
      </c>
      <c r="C271">
        <v>3.97</v>
      </c>
      <c r="D271">
        <v>0</v>
      </c>
      <c r="E271">
        <v>0.57499999999999996</v>
      </c>
      <c r="F271">
        <v>7.47</v>
      </c>
      <c r="G271">
        <v>52.6</v>
      </c>
      <c r="H271">
        <v>2.8719999999999999</v>
      </c>
      <c r="I271">
        <v>5</v>
      </c>
      <c r="J271">
        <v>264</v>
      </c>
      <c r="K271">
        <v>13</v>
      </c>
      <c r="L271">
        <v>390.3</v>
      </c>
      <c r="M271">
        <v>3.16</v>
      </c>
      <c r="N271">
        <v>43.5</v>
      </c>
    </row>
    <row r="272" spans="1:14">
      <c r="A272">
        <v>9.0649999999999994E-2</v>
      </c>
      <c r="B272">
        <v>20</v>
      </c>
      <c r="C272">
        <v>6.96</v>
      </c>
      <c r="D272">
        <v>1</v>
      </c>
      <c r="E272">
        <v>0.46400000000000002</v>
      </c>
      <c r="F272">
        <v>5.92</v>
      </c>
      <c r="G272">
        <v>61.5</v>
      </c>
      <c r="H272">
        <v>3.9175</v>
      </c>
      <c r="I272">
        <v>3</v>
      </c>
      <c r="J272">
        <v>223</v>
      </c>
      <c r="K272">
        <v>18.600000000000001</v>
      </c>
      <c r="L272">
        <v>391.34</v>
      </c>
      <c r="M272">
        <v>13.65</v>
      </c>
      <c r="N272">
        <v>20.7</v>
      </c>
    </row>
    <row r="273" spans="1:14">
      <c r="A273">
        <v>0.29915999999999998</v>
      </c>
      <c r="B273">
        <v>20</v>
      </c>
      <c r="C273">
        <v>6.96</v>
      </c>
      <c r="D273">
        <v>0</v>
      </c>
      <c r="E273">
        <v>0.46400000000000002</v>
      </c>
      <c r="F273">
        <v>5.8559999999999999</v>
      </c>
      <c r="G273">
        <v>42.1</v>
      </c>
      <c r="H273">
        <v>4.4290000000000003</v>
      </c>
      <c r="I273">
        <v>3</v>
      </c>
      <c r="J273">
        <v>223</v>
      </c>
      <c r="K273">
        <v>18.600000000000001</v>
      </c>
      <c r="L273">
        <v>388.65</v>
      </c>
      <c r="M273">
        <v>13</v>
      </c>
      <c r="N273">
        <v>21.1</v>
      </c>
    </row>
    <row r="274" spans="1:14">
      <c r="A274">
        <v>0.16211</v>
      </c>
      <c r="B274">
        <v>20</v>
      </c>
      <c r="C274">
        <v>6.96</v>
      </c>
      <c r="D274">
        <v>0</v>
      </c>
      <c r="E274">
        <v>0.46400000000000002</v>
      </c>
      <c r="F274">
        <v>6.24</v>
      </c>
      <c r="G274">
        <v>16.3</v>
      </c>
      <c r="H274">
        <v>4.4290000000000003</v>
      </c>
      <c r="I274">
        <v>3</v>
      </c>
      <c r="J274">
        <v>223</v>
      </c>
      <c r="K274">
        <v>18.600000000000001</v>
      </c>
      <c r="L274">
        <v>396.9</v>
      </c>
      <c r="M274">
        <v>6.59</v>
      </c>
      <c r="N274">
        <v>25.2</v>
      </c>
    </row>
    <row r="275" spans="1:14">
      <c r="A275">
        <v>0.11459999999999999</v>
      </c>
      <c r="B275">
        <v>20</v>
      </c>
      <c r="C275">
        <v>6.96</v>
      </c>
      <c r="D275">
        <v>0</v>
      </c>
      <c r="E275">
        <v>0.46400000000000002</v>
      </c>
      <c r="F275">
        <v>6.5380000000000003</v>
      </c>
      <c r="G275">
        <v>58.7</v>
      </c>
      <c r="H275">
        <v>3.9175</v>
      </c>
      <c r="I275">
        <v>3</v>
      </c>
      <c r="J275">
        <v>223</v>
      </c>
      <c r="K275">
        <v>18.600000000000001</v>
      </c>
      <c r="L275">
        <v>394.96</v>
      </c>
      <c r="M275">
        <v>7.73</v>
      </c>
      <c r="N275">
        <v>24.4</v>
      </c>
    </row>
    <row r="276" spans="1:14">
      <c r="A276">
        <v>0.22187999999999999</v>
      </c>
      <c r="B276">
        <v>20</v>
      </c>
      <c r="C276">
        <v>6.96</v>
      </c>
      <c r="D276">
        <v>1</v>
      </c>
      <c r="E276">
        <v>0.46400000000000002</v>
      </c>
      <c r="F276">
        <v>7.6909999999999998</v>
      </c>
      <c r="G276">
        <v>51.8</v>
      </c>
      <c r="H276">
        <v>4.3665000000000003</v>
      </c>
      <c r="I276">
        <v>3</v>
      </c>
      <c r="J276">
        <v>223</v>
      </c>
      <c r="K276">
        <v>18.600000000000001</v>
      </c>
      <c r="L276">
        <v>390.77</v>
      </c>
      <c r="M276">
        <v>6.58</v>
      </c>
      <c r="N276">
        <v>35.200000000000003</v>
      </c>
    </row>
    <row r="277" spans="1:14">
      <c r="A277">
        <v>5.6439999999999997E-2</v>
      </c>
      <c r="B277">
        <v>40</v>
      </c>
      <c r="C277">
        <v>6.41</v>
      </c>
      <c r="D277">
        <v>1</v>
      </c>
      <c r="E277">
        <v>0.44700000000000001</v>
      </c>
      <c r="F277">
        <v>6.758</v>
      </c>
      <c r="G277">
        <v>32.9</v>
      </c>
      <c r="H277">
        <v>4.0776000000000003</v>
      </c>
      <c r="I277">
        <v>4</v>
      </c>
      <c r="J277">
        <v>254</v>
      </c>
      <c r="K277">
        <v>17.600000000000001</v>
      </c>
      <c r="L277">
        <v>396.9</v>
      </c>
      <c r="M277">
        <v>3.53</v>
      </c>
      <c r="N277">
        <v>32.4</v>
      </c>
    </row>
    <row r="278" spans="1:14">
      <c r="A278">
        <v>9.604E-2</v>
      </c>
      <c r="B278">
        <v>40</v>
      </c>
      <c r="C278">
        <v>6.41</v>
      </c>
      <c r="D278">
        <v>0</v>
      </c>
      <c r="E278">
        <v>0.44700000000000001</v>
      </c>
      <c r="F278">
        <v>6.8540000000000001</v>
      </c>
      <c r="G278">
        <v>42.8</v>
      </c>
      <c r="H278">
        <v>4.2672999999999996</v>
      </c>
      <c r="I278">
        <v>4</v>
      </c>
      <c r="J278">
        <v>254</v>
      </c>
      <c r="K278">
        <v>17.600000000000001</v>
      </c>
      <c r="L278">
        <v>396.9</v>
      </c>
      <c r="M278">
        <v>2.98</v>
      </c>
      <c r="N278">
        <v>32</v>
      </c>
    </row>
    <row r="279" spans="1:14">
      <c r="A279">
        <v>0.10469000000000001</v>
      </c>
      <c r="B279">
        <v>40</v>
      </c>
      <c r="C279">
        <v>6.41</v>
      </c>
      <c r="D279">
        <v>1</v>
      </c>
      <c r="E279">
        <v>0.44700000000000001</v>
      </c>
      <c r="F279">
        <v>7.2670000000000003</v>
      </c>
      <c r="G279">
        <v>49</v>
      </c>
      <c r="H279">
        <v>4.7872000000000003</v>
      </c>
      <c r="I279">
        <v>4</v>
      </c>
      <c r="J279">
        <v>254</v>
      </c>
      <c r="K279">
        <v>17.600000000000001</v>
      </c>
      <c r="L279">
        <v>389.25</v>
      </c>
      <c r="M279">
        <v>6.05</v>
      </c>
      <c r="N279">
        <v>33.200000000000003</v>
      </c>
    </row>
    <row r="280" spans="1:14">
      <c r="A280">
        <v>6.1269999999999998E-2</v>
      </c>
      <c r="B280">
        <v>40</v>
      </c>
      <c r="C280">
        <v>6.41</v>
      </c>
      <c r="D280">
        <v>1</v>
      </c>
      <c r="E280">
        <v>0.44700000000000001</v>
      </c>
      <c r="F280">
        <v>6.8259999999999996</v>
      </c>
      <c r="G280">
        <v>27.6</v>
      </c>
      <c r="H280">
        <v>4.8628</v>
      </c>
      <c r="I280">
        <v>4</v>
      </c>
      <c r="J280">
        <v>254</v>
      </c>
      <c r="K280">
        <v>17.600000000000001</v>
      </c>
      <c r="L280">
        <v>393.45</v>
      </c>
      <c r="M280">
        <v>4.16</v>
      </c>
      <c r="N280">
        <v>33.1</v>
      </c>
    </row>
    <row r="281" spans="1:14">
      <c r="A281">
        <v>7.9780000000000004E-2</v>
      </c>
      <c r="B281">
        <v>40</v>
      </c>
      <c r="C281">
        <v>6.41</v>
      </c>
      <c r="D281">
        <v>0</v>
      </c>
      <c r="E281">
        <v>0.44700000000000001</v>
      </c>
      <c r="F281">
        <v>6.4820000000000002</v>
      </c>
      <c r="G281">
        <v>32.1</v>
      </c>
      <c r="H281">
        <v>4.1402999999999999</v>
      </c>
      <c r="I281">
        <v>4</v>
      </c>
      <c r="J281">
        <v>254</v>
      </c>
      <c r="K281">
        <v>17.600000000000001</v>
      </c>
      <c r="L281">
        <v>396.9</v>
      </c>
      <c r="M281">
        <v>7.19</v>
      </c>
      <c r="N281">
        <v>29.1</v>
      </c>
    </row>
    <row r="282" spans="1:14">
      <c r="A282">
        <v>0.21038000000000001</v>
      </c>
      <c r="B282">
        <v>20</v>
      </c>
      <c r="C282">
        <v>3.33</v>
      </c>
      <c r="D282">
        <v>0</v>
      </c>
      <c r="E282">
        <v>0.44290000000000002</v>
      </c>
      <c r="F282">
        <v>6.8120000000000003</v>
      </c>
      <c r="G282">
        <v>32.200000000000003</v>
      </c>
      <c r="H282">
        <v>4.1006999999999998</v>
      </c>
      <c r="I282">
        <v>5</v>
      </c>
      <c r="J282">
        <v>216</v>
      </c>
      <c r="K282">
        <v>14.9</v>
      </c>
      <c r="L282">
        <v>396.9</v>
      </c>
      <c r="M282">
        <v>4.8499999999999996</v>
      </c>
      <c r="N282">
        <v>35.1</v>
      </c>
    </row>
    <row r="283" spans="1:14">
      <c r="A283">
        <v>3.5779999999999999E-2</v>
      </c>
      <c r="B283">
        <v>20</v>
      </c>
      <c r="C283">
        <v>3.33</v>
      </c>
      <c r="D283">
        <v>0</v>
      </c>
      <c r="E283">
        <v>0.44290000000000002</v>
      </c>
      <c r="F283">
        <v>7.82</v>
      </c>
      <c r="G283">
        <v>64.5</v>
      </c>
      <c r="H283">
        <v>4.6947000000000001</v>
      </c>
      <c r="I283">
        <v>5</v>
      </c>
      <c r="J283">
        <v>216</v>
      </c>
      <c r="K283">
        <v>14.9</v>
      </c>
      <c r="L283">
        <v>387.31</v>
      </c>
      <c r="M283">
        <v>3.76</v>
      </c>
      <c r="N283">
        <v>45.4</v>
      </c>
    </row>
    <row r="284" spans="1:14">
      <c r="A284">
        <v>3.705E-2</v>
      </c>
      <c r="B284">
        <v>20</v>
      </c>
      <c r="C284">
        <v>3.33</v>
      </c>
      <c r="D284">
        <v>0</v>
      </c>
      <c r="E284">
        <v>0.44290000000000002</v>
      </c>
      <c r="F284">
        <v>6.968</v>
      </c>
      <c r="G284">
        <v>37.200000000000003</v>
      </c>
      <c r="H284">
        <v>5.2446999999999999</v>
      </c>
      <c r="I284">
        <v>5</v>
      </c>
      <c r="J284">
        <v>216</v>
      </c>
      <c r="K284">
        <v>14.9</v>
      </c>
      <c r="L284">
        <v>392.23</v>
      </c>
      <c r="M284">
        <v>4.59</v>
      </c>
      <c r="N284">
        <v>35.4</v>
      </c>
    </row>
    <row r="285" spans="1:14">
      <c r="A285">
        <v>6.1289999999999997E-2</v>
      </c>
      <c r="B285">
        <v>20</v>
      </c>
      <c r="C285">
        <v>3.33</v>
      </c>
      <c r="D285">
        <v>1</v>
      </c>
      <c r="E285">
        <v>0.44290000000000002</v>
      </c>
      <c r="F285">
        <v>7.6449999999999996</v>
      </c>
      <c r="G285">
        <v>49.7</v>
      </c>
      <c r="H285">
        <v>5.2119</v>
      </c>
      <c r="I285">
        <v>5</v>
      </c>
      <c r="J285">
        <v>216</v>
      </c>
      <c r="K285">
        <v>14.9</v>
      </c>
      <c r="L285">
        <v>377.07</v>
      </c>
      <c r="M285">
        <v>3.01</v>
      </c>
      <c r="N285">
        <v>46</v>
      </c>
    </row>
    <row r="286" spans="1:14">
      <c r="A286">
        <v>1.5010000000000001E-2</v>
      </c>
      <c r="B286">
        <v>90</v>
      </c>
      <c r="C286">
        <v>1.21</v>
      </c>
      <c r="D286">
        <v>1</v>
      </c>
      <c r="E286">
        <v>0.40100000000000002</v>
      </c>
      <c r="F286">
        <v>7.923</v>
      </c>
      <c r="G286">
        <v>24.8</v>
      </c>
      <c r="H286">
        <v>5.8849999999999998</v>
      </c>
      <c r="I286">
        <v>1</v>
      </c>
      <c r="J286">
        <v>198</v>
      </c>
      <c r="K286">
        <v>13.6</v>
      </c>
      <c r="L286">
        <v>395.52</v>
      </c>
      <c r="M286">
        <v>3.16</v>
      </c>
      <c r="N286">
        <v>50</v>
      </c>
    </row>
    <row r="287" spans="1:14">
      <c r="A287">
        <v>9.0600000000000003E-3</v>
      </c>
      <c r="B287">
        <v>90</v>
      </c>
      <c r="C287">
        <v>2.97</v>
      </c>
      <c r="D287">
        <v>0</v>
      </c>
      <c r="E287">
        <v>0.4</v>
      </c>
      <c r="F287">
        <v>7.0880000000000001</v>
      </c>
      <c r="G287">
        <v>20.8</v>
      </c>
      <c r="H287">
        <v>7.3072999999999997</v>
      </c>
      <c r="I287">
        <v>1</v>
      </c>
      <c r="J287">
        <v>285</v>
      </c>
      <c r="K287">
        <v>15.3</v>
      </c>
      <c r="L287">
        <v>394.72</v>
      </c>
      <c r="M287">
        <v>7.85</v>
      </c>
      <c r="N287">
        <v>32.200000000000003</v>
      </c>
    </row>
    <row r="288" spans="1:14">
      <c r="A288">
        <v>1.0959999999999999E-2</v>
      </c>
      <c r="B288">
        <v>55</v>
      </c>
      <c r="C288">
        <v>2.25</v>
      </c>
      <c r="D288">
        <v>0</v>
      </c>
      <c r="E288">
        <v>0.38900000000000001</v>
      </c>
      <c r="F288">
        <v>6.4530000000000003</v>
      </c>
      <c r="G288">
        <v>31.9</v>
      </c>
      <c r="H288">
        <v>7.3072999999999997</v>
      </c>
      <c r="I288">
        <v>1</v>
      </c>
      <c r="J288">
        <v>300</v>
      </c>
      <c r="K288">
        <v>15.3</v>
      </c>
      <c r="L288">
        <v>394.72</v>
      </c>
      <c r="M288">
        <v>8.23</v>
      </c>
      <c r="N288">
        <v>22</v>
      </c>
    </row>
    <row r="289" spans="1:14">
      <c r="A289">
        <v>1.9650000000000001E-2</v>
      </c>
      <c r="B289">
        <v>80</v>
      </c>
      <c r="C289">
        <v>1.76</v>
      </c>
      <c r="D289">
        <v>0</v>
      </c>
      <c r="E289">
        <v>0.38500000000000001</v>
      </c>
      <c r="F289">
        <v>6.23</v>
      </c>
      <c r="G289">
        <v>31.5</v>
      </c>
      <c r="H289">
        <v>9.0891999999999999</v>
      </c>
      <c r="I289">
        <v>1</v>
      </c>
      <c r="J289">
        <v>241</v>
      </c>
      <c r="K289">
        <v>18.2</v>
      </c>
      <c r="L289">
        <v>341.6</v>
      </c>
      <c r="M289">
        <v>12.93</v>
      </c>
      <c r="N289">
        <v>20.100000000000001</v>
      </c>
    </row>
    <row r="290" spans="1:14">
      <c r="A290">
        <v>3.8710000000000001E-2</v>
      </c>
      <c r="B290">
        <v>52.5</v>
      </c>
      <c r="C290">
        <v>5.32</v>
      </c>
      <c r="D290">
        <v>0</v>
      </c>
      <c r="E290">
        <v>0.40500000000000003</v>
      </c>
      <c r="F290">
        <v>6.2089999999999996</v>
      </c>
      <c r="G290">
        <v>31.3</v>
      </c>
      <c r="H290">
        <v>7.3171999999999997</v>
      </c>
      <c r="I290">
        <v>6</v>
      </c>
      <c r="J290">
        <v>293</v>
      </c>
      <c r="K290">
        <v>16.600000000000001</v>
      </c>
      <c r="L290">
        <v>396.9</v>
      </c>
      <c r="M290">
        <v>7.14</v>
      </c>
      <c r="N290">
        <v>23.2</v>
      </c>
    </row>
    <row r="291" spans="1:14">
      <c r="A291">
        <v>4.5900000000000003E-2</v>
      </c>
      <c r="B291">
        <v>52.5</v>
      </c>
      <c r="C291">
        <v>5.32</v>
      </c>
      <c r="D291">
        <v>0</v>
      </c>
      <c r="E291">
        <v>0.40500000000000003</v>
      </c>
      <c r="F291">
        <v>6.3150000000000004</v>
      </c>
      <c r="G291">
        <v>45.6</v>
      </c>
      <c r="H291">
        <v>7.3171999999999997</v>
      </c>
      <c r="I291">
        <v>6</v>
      </c>
      <c r="J291">
        <v>293</v>
      </c>
      <c r="K291">
        <v>16.600000000000001</v>
      </c>
      <c r="L291">
        <v>396.9</v>
      </c>
      <c r="M291">
        <v>7.6</v>
      </c>
      <c r="N291">
        <v>22.3</v>
      </c>
    </row>
    <row r="292" spans="1:14">
      <c r="A292">
        <v>4.2970000000000001E-2</v>
      </c>
      <c r="B292">
        <v>52.5</v>
      </c>
      <c r="C292">
        <v>5.32</v>
      </c>
      <c r="D292">
        <v>0</v>
      </c>
      <c r="E292">
        <v>0.40500000000000003</v>
      </c>
      <c r="F292">
        <v>6.5650000000000004</v>
      </c>
      <c r="G292">
        <v>22.9</v>
      </c>
      <c r="H292">
        <v>7.3171999999999997</v>
      </c>
      <c r="I292">
        <v>6</v>
      </c>
      <c r="J292">
        <v>293</v>
      </c>
      <c r="K292">
        <v>16.600000000000001</v>
      </c>
      <c r="L292">
        <v>371.72</v>
      </c>
      <c r="M292">
        <v>9.51</v>
      </c>
      <c r="N292">
        <v>24.8</v>
      </c>
    </row>
    <row r="293" spans="1:14">
      <c r="A293">
        <v>3.5020000000000003E-2</v>
      </c>
      <c r="B293">
        <v>80</v>
      </c>
      <c r="C293">
        <v>4.95</v>
      </c>
      <c r="D293">
        <v>0</v>
      </c>
      <c r="E293">
        <v>0.41099999999999998</v>
      </c>
      <c r="F293">
        <v>6.8609999999999998</v>
      </c>
      <c r="G293">
        <v>27.9</v>
      </c>
      <c r="H293">
        <v>5.1166999999999998</v>
      </c>
      <c r="I293">
        <v>4</v>
      </c>
      <c r="J293">
        <v>245</v>
      </c>
      <c r="K293">
        <v>19.2</v>
      </c>
      <c r="L293">
        <v>396.9</v>
      </c>
      <c r="M293">
        <v>3.33</v>
      </c>
      <c r="N293">
        <v>28.5</v>
      </c>
    </row>
    <row r="294" spans="1:14">
      <c r="A294">
        <v>7.886E-2</v>
      </c>
      <c r="B294">
        <v>80</v>
      </c>
      <c r="C294">
        <v>4.95</v>
      </c>
      <c r="D294">
        <v>0</v>
      </c>
      <c r="E294">
        <v>0.41099999999999998</v>
      </c>
      <c r="F294">
        <v>7.1479999999999997</v>
      </c>
      <c r="G294">
        <v>27.7</v>
      </c>
      <c r="H294">
        <v>5.1166999999999998</v>
      </c>
      <c r="I294">
        <v>4</v>
      </c>
      <c r="J294">
        <v>245</v>
      </c>
      <c r="K294">
        <v>19.2</v>
      </c>
      <c r="L294">
        <v>396.9</v>
      </c>
      <c r="M294">
        <v>3.56</v>
      </c>
      <c r="N294">
        <v>37.299999999999997</v>
      </c>
    </row>
    <row r="295" spans="1:14">
      <c r="A295">
        <v>3.6150000000000002E-2</v>
      </c>
      <c r="B295">
        <v>80</v>
      </c>
      <c r="C295">
        <v>4.95</v>
      </c>
      <c r="D295">
        <v>0</v>
      </c>
      <c r="E295">
        <v>0.41099999999999998</v>
      </c>
      <c r="F295">
        <v>6.63</v>
      </c>
      <c r="G295">
        <v>23.4</v>
      </c>
      <c r="H295">
        <v>5.1166999999999998</v>
      </c>
      <c r="I295">
        <v>4</v>
      </c>
      <c r="J295">
        <v>245</v>
      </c>
      <c r="K295">
        <v>19.2</v>
      </c>
      <c r="L295">
        <v>396.9</v>
      </c>
      <c r="M295">
        <v>4.7</v>
      </c>
      <c r="N295">
        <v>27.9</v>
      </c>
    </row>
    <row r="296" spans="1:14">
      <c r="A296">
        <v>8.2650000000000001E-2</v>
      </c>
      <c r="B296">
        <v>0</v>
      </c>
      <c r="C296">
        <v>13.92</v>
      </c>
      <c r="D296">
        <v>0</v>
      </c>
      <c r="E296">
        <v>0.437</v>
      </c>
      <c r="F296">
        <v>6.1269999999999998</v>
      </c>
      <c r="G296">
        <v>18.399999999999999</v>
      </c>
      <c r="H296">
        <v>5.5026999999999999</v>
      </c>
      <c r="I296">
        <v>4</v>
      </c>
      <c r="J296">
        <v>289</v>
      </c>
      <c r="K296">
        <v>16</v>
      </c>
      <c r="L296">
        <v>396.9</v>
      </c>
      <c r="M296">
        <v>8.58</v>
      </c>
      <c r="N296">
        <v>23.9</v>
      </c>
    </row>
    <row r="297" spans="1:14">
      <c r="A297">
        <v>8.1989999999999993E-2</v>
      </c>
      <c r="B297">
        <v>0</v>
      </c>
      <c r="C297">
        <v>13.92</v>
      </c>
      <c r="D297">
        <v>0</v>
      </c>
      <c r="E297">
        <v>0.437</v>
      </c>
      <c r="F297">
        <v>6.0090000000000003</v>
      </c>
      <c r="G297">
        <v>42.3</v>
      </c>
      <c r="H297">
        <v>5.5026999999999999</v>
      </c>
      <c r="I297">
        <v>4</v>
      </c>
      <c r="J297">
        <v>289</v>
      </c>
      <c r="K297">
        <v>16</v>
      </c>
      <c r="L297">
        <v>396.9</v>
      </c>
      <c r="M297">
        <v>10.4</v>
      </c>
      <c r="N297">
        <v>21.7</v>
      </c>
    </row>
    <row r="298" spans="1:14">
      <c r="A298">
        <v>0.12931999999999999</v>
      </c>
      <c r="B298">
        <v>0</v>
      </c>
      <c r="C298">
        <v>13.92</v>
      </c>
      <c r="D298">
        <v>0</v>
      </c>
      <c r="E298">
        <v>0.437</v>
      </c>
      <c r="F298">
        <v>6.6779999999999999</v>
      </c>
      <c r="G298">
        <v>31.1</v>
      </c>
      <c r="H298">
        <v>5.9603999999999999</v>
      </c>
      <c r="I298">
        <v>4</v>
      </c>
      <c r="J298">
        <v>289</v>
      </c>
      <c r="K298">
        <v>16</v>
      </c>
      <c r="L298">
        <v>396.9</v>
      </c>
      <c r="M298">
        <v>6.27</v>
      </c>
      <c r="N298">
        <v>28.6</v>
      </c>
    </row>
    <row r="299" spans="1:14">
      <c r="A299">
        <v>5.3719999999999997E-2</v>
      </c>
      <c r="B299">
        <v>0</v>
      </c>
      <c r="C299">
        <v>13.92</v>
      </c>
      <c r="D299">
        <v>0</v>
      </c>
      <c r="E299">
        <v>0.437</v>
      </c>
      <c r="F299">
        <v>6.5490000000000004</v>
      </c>
      <c r="G299">
        <v>51</v>
      </c>
      <c r="H299">
        <v>5.9603999999999999</v>
      </c>
      <c r="I299">
        <v>4</v>
      </c>
      <c r="J299">
        <v>289</v>
      </c>
      <c r="K299">
        <v>16</v>
      </c>
      <c r="L299">
        <v>392.85</v>
      </c>
      <c r="M299">
        <v>7.39</v>
      </c>
      <c r="N299">
        <v>27.1</v>
      </c>
    </row>
    <row r="300" spans="1:14">
      <c r="A300">
        <v>0.14102999999999999</v>
      </c>
      <c r="B300">
        <v>0</v>
      </c>
      <c r="C300">
        <v>13.92</v>
      </c>
      <c r="D300">
        <v>0</v>
      </c>
      <c r="E300">
        <v>0.437</v>
      </c>
      <c r="F300">
        <v>5.79</v>
      </c>
      <c r="G300">
        <v>58</v>
      </c>
      <c r="H300">
        <v>6.32</v>
      </c>
      <c r="I300">
        <v>4</v>
      </c>
      <c r="J300">
        <v>289</v>
      </c>
      <c r="K300">
        <v>16</v>
      </c>
      <c r="L300">
        <v>396.9</v>
      </c>
      <c r="M300">
        <v>15.84</v>
      </c>
      <c r="N300">
        <v>20.3</v>
      </c>
    </row>
    <row r="301" spans="1:14">
      <c r="A301">
        <v>6.4659999999999995E-2</v>
      </c>
      <c r="B301">
        <v>70</v>
      </c>
      <c r="C301">
        <v>2.2400000000000002</v>
      </c>
      <c r="D301">
        <v>0</v>
      </c>
      <c r="E301">
        <v>0.4</v>
      </c>
      <c r="F301">
        <v>6.3449999999999998</v>
      </c>
      <c r="G301">
        <v>20.100000000000001</v>
      </c>
      <c r="H301">
        <v>7.8277999999999999</v>
      </c>
      <c r="I301">
        <v>5</v>
      </c>
      <c r="J301">
        <v>358</v>
      </c>
      <c r="K301">
        <v>14.8</v>
      </c>
      <c r="L301">
        <v>368.24</v>
      </c>
      <c r="M301">
        <v>4.97</v>
      </c>
      <c r="N301">
        <v>22.5</v>
      </c>
    </row>
    <row r="302" spans="1:14">
      <c r="A302">
        <v>5.561E-2</v>
      </c>
      <c r="B302">
        <v>70</v>
      </c>
      <c r="C302">
        <v>2.2400000000000002</v>
      </c>
      <c r="D302">
        <v>0</v>
      </c>
      <c r="E302">
        <v>0.4</v>
      </c>
      <c r="F302">
        <v>7.0410000000000004</v>
      </c>
      <c r="G302">
        <v>10</v>
      </c>
      <c r="H302">
        <v>7.8277999999999999</v>
      </c>
      <c r="I302">
        <v>5</v>
      </c>
      <c r="J302">
        <v>358</v>
      </c>
      <c r="K302">
        <v>14.8</v>
      </c>
      <c r="L302">
        <v>371.58</v>
      </c>
      <c r="M302">
        <v>4.74</v>
      </c>
      <c r="N302">
        <v>29</v>
      </c>
    </row>
    <row r="303" spans="1:14">
      <c r="A303">
        <v>4.4170000000000001E-2</v>
      </c>
      <c r="B303">
        <v>70</v>
      </c>
      <c r="C303">
        <v>2.2400000000000002</v>
      </c>
      <c r="D303">
        <v>0</v>
      </c>
      <c r="E303">
        <v>0.4</v>
      </c>
      <c r="F303">
        <v>6.8710000000000004</v>
      </c>
      <c r="G303">
        <v>47.4</v>
      </c>
      <c r="H303">
        <v>7.8277999999999999</v>
      </c>
      <c r="I303">
        <v>5</v>
      </c>
      <c r="J303">
        <v>358</v>
      </c>
      <c r="K303">
        <v>14.8</v>
      </c>
      <c r="L303">
        <v>390.86</v>
      </c>
      <c r="M303">
        <v>6.07</v>
      </c>
      <c r="N303">
        <v>24.8</v>
      </c>
    </row>
    <row r="304" spans="1:14">
      <c r="A304">
        <v>3.5369999999999999E-2</v>
      </c>
      <c r="B304">
        <v>34</v>
      </c>
      <c r="C304">
        <v>6.09</v>
      </c>
      <c r="D304">
        <v>0</v>
      </c>
      <c r="E304">
        <v>0.433</v>
      </c>
      <c r="F304">
        <v>6.59</v>
      </c>
      <c r="G304">
        <v>40.4</v>
      </c>
      <c r="H304">
        <v>5.4916999999999998</v>
      </c>
      <c r="I304">
        <v>7</v>
      </c>
      <c r="J304">
        <v>329</v>
      </c>
      <c r="K304">
        <v>16.100000000000001</v>
      </c>
      <c r="L304">
        <v>395.75</v>
      </c>
      <c r="M304">
        <v>9.5</v>
      </c>
      <c r="N304">
        <v>22</v>
      </c>
    </row>
    <row r="305" spans="1:14">
      <c r="A305">
        <v>9.2660000000000006E-2</v>
      </c>
      <c r="B305">
        <v>34</v>
      </c>
      <c r="C305">
        <v>6.09</v>
      </c>
      <c r="D305">
        <v>0</v>
      </c>
      <c r="E305">
        <v>0.433</v>
      </c>
      <c r="F305">
        <v>6.4950000000000001</v>
      </c>
      <c r="G305">
        <v>18.399999999999999</v>
      </c>
      <c r="H305">
        <v>5.4916999999999998</v>
      </c>
      <c r="I305">
        <v>7</v>
      </c>
      <c r="J305">
        <v>329</v>
      </c>
      <c r="K305">
        <v>16.100000000000001</v>
      </c>
      <c r="L305">
        <v>383.61</v>
      </c>
      <c r="M305">
        <v>8.67</v>
      </c>
      <c r="N305">
        <v>26.4</v>
      </c>
    </row>
    <row r="306" spans="1:14">
      <c r="A306">
        <v>0.1</v>
      </c>
      <c r="B306">
        <v>34</v>
      </c>
      <c r="C306">
        <v>6.09</v>
      </c>
      <c r="D306">
        <v>0</v>
      </c>
      <c r="E306">
        <v>0.433</v>
      </c>
      <c r="F306">
        <v>6.9820000000000002</v>
      </c>
      <c r="G306">
        <v>17.7</v>
      </c>
      <c r="H306">
        <v>5.4916999999999998</v>
      </c>
      <c r="I306">
        <v>7</v>
      </c>
      <c r="J306">
        <v>329</v>
      </c>
      <c r="K306">
        <v>16.100000000000001</v>
      </c>
      <c r="L306">
        <v>390.43</v>
      </c>
      <c r="M306">
        <v>4.8600000000000003</v>
      </c>
      <c r="N306">
        <v>33.1</v>
      </c>
    </row>
    <row r="307" spans="1:14">
      <c r="A307">
        <v>5.5149999999999998E-2</v>
      </c>
      <c r="B307">
        <v>33</v>
      </c>
      <c r="C307">
        <v>2.1800000000000002</v>
      </c>
      <c r="D307">
        <v>0</v>
      </c>
      <c r="E307">
        <v>0.47199999999999998</v>
      </c>
      <c r="F307">
        <v>7.2359999999999998</v>
      </c>
      <c r="G307">
        <v>41.1</v>
      </c>
      <c r="H307">
        <v>4.0220000000000002</v>
      </c>
      <c r="I307">
        <v>7</v>
      </c>
      <c r="J307">
        <v>222</v>
      </c>
      <c r="K307">
        <v>18.399999999999999</v>
      </c>
      <c r="L307">
        <v>393.68</v>
      </c>
      <c r="M307">
        <v>6.93</v>
      </c>
      <c r="N307">
        <v>36.1</v>
      </c>
    </row>
    <row r="308" spans="1:14">
      <c r="A308">
        <v>5.4789999999999998E-2</v>
      </c>
      <c r="B308">
        <v>33</v>
      </c>
      <c r="C308">
        <v>2.1800000000000002</v>
      </c>
      <c r="D308">
        <v>0</v>
      </c>
      <c r="E308">
        <v>0.47199999999999998</v>
      </c>
      <c r="F308">
        <v>6.6159999999999997</v>
      </c>
      <c r="G308">
        <v>58.1</v>
      </c>
      <c r="H308">
        <v>3.37</v>
      </c>
      <c r="I308">
        <v>7</v>
      </c>
      <c r="J308">
        <v>222</v>
      </c>
      <c r="K308">
        <v>18.399999999999999</v>
      </c>
      <c r="L308">
        <v>393.36</v>
      </c>
      <c r="M308">
        <v>8.93</v>
      </c>
      <c r="N308">
        <v>28.4</v>
      </c>
    </row>
    <row r="309" spans="1:14">
      <c r="A309">
        <v>7.5029999999999999E-2</v>
      </c>
      <c r="B309">
        <v>33</v>
      </c>
      <c r="C309">
        <v>2.1800000000000002</v>
      </c>
      <c r="D309">
        <v>0</v>
      </c>
      <c r="E309">
        <v>0.47199999999999998</v>
      </c>
      <c r="F309">
        <v>7.42</v>
      </c>
      <c r="G309">
        <v>71.900000000000006</v>
      </c>
      <c r="H309">
        <v>3.0992000000000002</v>
      </c>
      <c r="I309">
        <v>7</v>
      </c>
      <c r="J309">
        <v>222</v>
      </c>
      <c r="K309">
        <v>18.399999999999999</v>
      </c>
      <c r="L309">
        <v>396.9</v>
      </c>
      <c r="M309">
        <v>6.47</v>
      </c>
      <c r="N309">
        <v>33.4</v>
      </c>
    </row>
    <row r="310" spans="1:14">
      <c r="A310">
        <v>4.9320000000000003E-2</v>
      </c>
      <c r="B310">
        <v>33</v>
      </c>
      <c r="C310">
        <v>2.1800000000000002</v>
      </c>
      <c r="D310">
        <v>0</v>
      </c>
      <c r="E310">
        <v>0.47199999999999998</v>
      </c>
      <c r="F310">
        <v>6.8490000000000002</v>
      </c>
      <c r="G310">
        <v>70.3</v>
      </c>
      <c r="H310">
        <v>3.1827000000000001</v>
      </c>
      <c r="I310">
        <v>7</v>
      </c>
      <c r="J310">
        <v>222</v>
      </c>
      <c r="K310">
        <v>18.399999999999999</v>
      </c>
      <c r="L310">
        <v>396.9</v>
      </c>
      <c r="M310">
        <v>7.53</v>
      </c>
      <c r="N310">
        <v>28.2</v>
      </c>
    </row>
    <row r="311" spans="1:14">
      <c r="A311">
        <v>0.49297999999999997</v>
      </c>
      <c r="B311">
        <v>0</v>
      </c>
      <c r="C311">
        <v>9.9</v>
      </c>
      <c r="D311">
        <v>0</v>
      </c>
      <c r="E311">
        <v>0.54400000000000004</v>
      </c>
      <c r="F311">
        <v>6.6349999999999998</v>
      </c>
      <c r="G311">
        <v>82.5</v>
      </c>
      <c r="H311">
        <v>3.3174999999999999</v>
      </c>
      <c r="I311">
        <v>4</v>
      </c>
      <c r="J311">
        <v>304</v>
      </c>
      <c r="K311">
        <v>18.399999999999999</v>
      </c>
      <c r="L311">
        <v>396.9</v>
      </c>
      <c r="M311">
        <v>4.54</v>
      </c>
      <c r="N311">
        <v>22.8</v>
      </c>
    </row>
    <row r="312" spans="1:14">
      <c r="A312">
        <v>0.34939999999999999</v>
      </c>
      <c r="B312">
        <v>0</v>
      </c>
      <c r="C312">
        <v>9.9</v>
      </c>
      <c r="D312">
        <v>0</v>
      </c>
      <c r="E312">
        <v>0.54400000000000004</v>
      </c>
      <c r="F312">
        <v>5.9720000000000004</v>
      </c>
      <c r="G312">
        <v>76.7</v>
      </c>
      <c r="H312">
        <v>3.1025</v>
      </c>
      <c r="I312">
        <v>4</v>
      </c>
      <c r="J312">
        <v>304</v>
      </c>
      <c r="K312">
        <v>18.399999999999999</v>
      </c>
      <c r="L312">
        <v>396.24</v>
      </c>
      <c r="M312">
        <v>9.9700000000000006</v>
      </c>
      <c r="N312">
        <v>20.3</v>
      </c>
    </row>
    <row r="313" spans="1:14">
      <c r="A313">
        <v>2.6354799999999998</v>
      </c>
      <c r="B313">
        <v>0</v>
      </c>
      <c r="C313">
        <v>9.9</v>
      </c>
      <c r="D313">
        <v>0</v>
      </c>
      <c r="E313">
        <v>0.54400000000000004</v>
      </c>
      <c r="F313">
        <v>4.9729999999999999</v>
      </c>
      <c r="G313">
        <v>37.799999999999997</v>
      </c>
      <c r="H313">
        <v>2.5194000000000001</v>
      </c>
      <c r="I313">
        <v>4</v>
      </c>
      <c r="J313">
        <v>304</v>
      </c>
      <c r="K313">
        <v>18.399999999999999</v>
      </c>
      <c r="L313">
        <v>350.45</v>
      </c>
      <c r="M313">
        <v>12.64</v>
      </c>
      <c r="N313">
        <v>16.100000000000001</v>
      </c>
    </row>
    <row r="314" spans="1:14">
      <c r="A314">
        <v>0.79040999999999995</v>
      </c>
      <c r="B314">
        <v>0</v>
      </c>
      <c r="C314">
        <v>9.9</v>
      </c>
      <c r="D314">
        <v>0</v>
      </c>
      <c r="E314">
        <v>0.54400000000000004</v>
      </c>
      <c r="F314">
        <v>6.1219999999999999</v>
      </c>
      <c r="G314">
        <v>52.8</v>
      </c>
      <c r="H314">
        <v>2.6402999999999999</v>
      </c>
      <c r="I314">
        <v>4</v>
      </c>
      <c r="J314">
        <v>304</v>
      </c>
      <c r="K314">
        <v>18.399999999999999</v>
      </c>
      <c r="L314">
        <v>396.9</v>
      </c>
      <c r="M314">
        <v>5.98</v>
      </c>
      <c r="N314">
        <v>22.1</v>
      </c>
    </row>
    <row r="315" spans="1:14">
      <c r="A315">
        <v>0.26168999999999998</v>
      </c>
      <c r="B315">
        <v>0</v>
      </c>
      <c r="C315">
        <v>9.9</v>
      </c>
      <c r="D315">
        <v>0</v>
      </c>
      <c r="E315">
        <v>0.54400000000000004</v>
      </c>
      <c r="F315">
        <v>6.0229999999999997</v>
      </c>
      <c r="G315">
        <v>90.4</v>
      </c>
      <c r="H315">
        <v>2.8340000000000001</v>
      </c>
      <c r="I315">
        <v>4</v>
      </c>
      <c r="J315">
        <v>304</v>
      </c>
      <c r="K315">
        <v>18.399999999999999</v>
      </c>
      <c r="L315">
        <v>396.3</v>
      </c>
      <c r="M315">
        <v>11.72</v>
      </c>
      <c r="N315">
        <v>19.399999999999999</v>
      </c>
    </row>
    <row r="316" spans="1:14">
      <c r="A316">
        <v>0.26938000000000001</v>
      </c>
      <c r="B316">
        <v>0</v>
      </c>
      <c r="C316">
        <v>9.9</v>
      </c>
      <c r="D316">
        <v>0</v>
      </c>
      <c r="E316">
        <v>0.54400000000000004</v>
      </c>
      <c r="F316">
        <v>6.266</v>
      </c>
      <c r="G316">
        <v>82.8</v>
      </c>
      <c r="H316">
        <v>3.2627999999999999</v>
      </c>
      <c r="I316">
        <v>4</v>
      </c>
      <c r="J316">
        <v>304</v>
      </c>
      <c r="K316">
        <v>18.399999999999999</v>
      </c>
      <c r="L316">
        <v>393.39</v>
      </c>
      <c r="M316">
        <v>7.9</v>
      </c>
      <c r="N316">
        <v>21.6</v>
      </c>
    </row>
    <row r="317" spans="1:14">
      <c r="A317">
        <v>0.36919999999999997</v>
      </c>
      <c r="B317">
        <v>0</v>
      </c>
      <c r="C317">
        <v>9.9</v>
      </c>
      <c r="D317">
        <v>0</v>
      </c>
      <c r="E317">
        <v>0.54400000000000004</v>
      </c>
      <c r="F317">
        <v>6.5670000000000002</v>
      </c>
      <c r="G317">
        <v>87.3</v>
      </c>
      <c r="H317">
        <v>3.6023000000000001</v>
      </c>
      <c r="I317">
        <v>4</v>
      </c>
      <c r="J317">
        <v>304</v>
      </c>
      <c r="K317">
        <v>18.399999999999999</v>
      </c>
      <c r="L317">
        <v>395.69</v>
      </c>
      <c r="M317">
        <v>9.2799999999999994</v>
      </c>
      <c r="N317">
        <v>23.8</v>
      </c>
    </row>
    <row r="318" spans="1:14">
      <c r="A318">
        <v>0.25356000000000001</v>
      </c>
      <c r="B318">
        <v>0</v>
      </c>
      <c r="C318">
        <v>9.9</v>
      </c>
      <c r="D318">
        <v>0</v>
      </c>
      <c r="E318">
        <v>0.54400000000000004</v>
      </c>
      <c r="F318">
        <v>5.7050000000000001</v>
      </c>
      <c r="G318">
        <v>77.7</v>
      </c>
      <c r="H318">
        <v>3.9449999999999998</v>
      </c>
      <c r="I318">
        <v>4</v>
      </c>
      <c r="J318">
        <v>304</v>
      </c>
      <c r="K318">
        <v>18.399999999999999</v>
      </c>
      <c r="L318">
        <v>396.42</v>
      </c>
      <c r="M318">
        <v>11.5</v>
      </c>
      <c r="N318">
        <v>16.2</v>
      </c>
    </row>
    <row r="319" spans="1:14">
      <c r="A319">
        <v>0.31827</v>
      </c>
      <c r="B319">
        <v>0</v>
      </c>
      <c r="C319">
        <v>9.9</v>
      </c>
      <c r="D319">
        <v>0</v>
      </c>
      <c r="E319">
        <v>0.54400000000000004</v>
      </c>
      <c r="F319">
        <v>5.9139999999999997</v>
      </c>
      <c r="G319">
        <v>83.2</v>
      </c>
      <c r="H319">
        <v>3.9986000000000002</v>
      </c>
      <c r="I319">
        <v>4</v>
      </c>
      <c r="J319">
        <v>304</v>
      </c>
      <c r="K319">
        <v>18.399999999999999</v>
      </c>
      <c r="L319">
        <v>390.7</v>
      </c>
      <c r="M319">
        <v>18.329999999999998</v>
      </c>
      <c r="N319">
        <v>17.8</v>
      </c>
    </row>
    <row r="320" spans="1:14">
      <c r="A320">
        <v>0.24521999999999999</v>
      </c>
      <c r="B320">
        <v>0</v>
      </c>
      <c r="C320">
        <v>9.9</v>
      </c>
      <c r="D320">
        <v>0</v>
      </c>
      <c r="E320">
        <v>0.54400000000000004</v>
      </c>
      <c r="F320">
        <v>5.782</v>
      </c>
      <c r="G320">
        <v>71.7</v>
      </c>
      <c r="H320">
        <v>4.0316999999999998</v>
      </c>
      <c r="I320">
        <v>4</v>
      </c>
      <c r="J320">
        <v>304</v>
      </c>
      <c r="K320">
        <v>18.399999999999999</v>
      </c>
      <c r="L320">
        <v>396.9</v>
      </c>
      <c r="M320">
        <v>15.94</v>
      </c>
      <c r="N320">
        <v>19.8</v>
      </c>
    </row>
    <row r="321" spans="1:14">
      <c r="A321">
        <v>0.40201999999999999</v>
      </c>
      <c r="B321">
        <v>0</v>
      </c>
      <c r="C321">
        <v>9.9</v>
      </c>
      <c r="D321">
        <v>0</v>
      </c>
      <c r="E321">
        <v>0.54400000000000004</v>
      </c>
      <c r="F321">
        <v>6.3819999999999997</v>
      </c>
      <c r="G321">
        <v>67.2</v>
      </c>
      <c r="H321">
        <v>3.5325000000000002</v>
      </c>
      <c r="I321">
        <v>4</v>
      </c>
      <c r="J321">
        <v>304</v>
      </c>
      <c r="K321">
        <v>18.399999999999999</v>
      </c>
      <c r="L321">
        <v>395.21</v>
      </c>
      <c r="M321">
        <v>10.36</v>
      </c>
      <c r="N321">
        <v>23.1</v>
      </c>
    </row>
    <row r="322" spans="1:14">
      <c r="A322">
        <v>0.47547</v>
      </c>
      <c r="B322">
        <v>0</v>
      </c>
      <c r="C322">
        <v>9.9</v>
      </c>
      <c r="D322">
        <v>0</v>
      </c>
      <c r="E322">
        <v>0.54400000000000004</v>
      </c>
      <c r="F322">
        <v>6.1130000000000004</v>
      </c>
      <c r="G322">
        <v>58.8</v>
      </c>
      <c r="H322">
        <v>4.0019</v>
      </c>
      <c r="I322">
        <v>4</v>
      </c>
      <c r="J322">
        <v>304</v>
      </c>
      <c r="K322">
        <v>18.399999999999999</v>
      </c>
      <c r="L322">
        <v>396.23</v>
      </c>
      <c r="M322">
        <v>12.73</v>
      </c>
      <c r="N322">
        <v>21</v>
      </c>
    </row>
    <row r="323" spans="1:14">
      <c r="A323">
        <v>0.1676</v>
      </c>
      <c r="B323">
        <v>0</v>
      </c>
      <c r="C323">
        <v>7.38</v>
      </c>
      <c r="D323">
        <v>0</v>
      </c>
      <c r="E323">
        <v>0.49299999999999999</v>
      </c>
      <c r="F323">
        <v>6.4260000000000002</v>
      </c>
      <c r="G323">
        <v>52.3</v>
      </c>
      <c r="H323">
        <v>4.5404</v>
      </c>
      <c r="I323">
        <v>5</v>
      </c>
      <c r="J323">
        <v>287</v>
      </c>
      <c r="K323">
        <v>19.600000000000001</v>
      </c>
      <c r="L323">
        <v>396.9</v>
      </c>
      <c r="M323">
        <v>7.2</v>
      </c>
      <c r="N323">
        <v>23.8</v>
      </c>
    </row>
    <row r="324" spans="1:14">
      <c r="A324">
        <v>0.18159</v>
      </c>
      <c r="B324">
        <v>0</v>
      </c>
      <c r="C324">
        <v>7.38</v>
      </c>
      <c r="D324">
        <v>0</v>
      </c>
      <c r="E324">
        <v>0.49299999999999999</v>
      </c>
      <c r="F324">
        <v>6.3760000000000003</v>
      </c>
      <c r="G324">
        <v>54.3</v>
      </c>
      <c r="H324">
        <v>4.5404</v>
      </c>
      <c r="I324">
        <v>5</v>
      </c>
      <c r="J324">
        <v>287</v>
      </c>
      <c r="K324">
        <v>19.600000000000001</v>
      </c>
      <c r="L324">
        <v>396.9</v>
      </c>
      <c r="M324">
        <v>6.87</v>
      </c>
      <c r="N324">
        <v>23.1</v>
      </c>
    </row>
    <row r="325" spans="1:14">
      <c r="A325">
        <v>0.35114000000000001</v>
      </c>
      <c r="B325">
        <v>0</v>
      </c>
      <c r="C325">
        <v>7.38</v>
      </c>
      <c r="D325">
        <v>0</v>
      </c>
      <c r="E325">
        <v>0.49299999999999999</v>
      </c>
      <c r="F325">
        <v>6.0410000000000004</v>
      </c>
      <c r="G325">
        <v>49.9</v>
      </c>
      <c r="H325">
        <v>4.7210999999999999</v>
      </c>
      <c r="I325">
        <v>5</v>
      </c>
      <c r="J325">
        <v>287</v>
      </c>
      <c r="K325">
        <v>19.600000000000001</v>
      </c>
      <c r="L325">
        <v>396.9</v>
      </c>
      <c r="M325">
        <v>7.7</v>
      </c>
      <c r="N325">
        <v>20.399999999999999</v>
      </c>
    </row>
    <row r="326" spans="1:14">
      <c r="A326">
        <v>0.28392000000000001</v>
      </c>
      <c r="B326">
        <v>0</v>
      </c>
      <c r="C326">
        <v>7.38</v>
      </c>
      <c r="D326">
        <v>0</v>
      </c>
      <c r="E326">
        <v>0.49299999999999999</v>
      </c>
      <c r="F326">
        <v>5.7080000000000002</v>
      </c>
      <c r="G326">
        <v>74.3</v>
      </c>
      <c r="H326">
        <v>4.7210999999999999</v>
      </c>
      <c r="I326">
        <v>5</v>
      </c>
      <c r="J326">
        <v>287</v>
      </c>
      <c r="K326">
        <v>19.600000000000001</v>
      </c>
      <c r="L326">
        <v>391.13</v>
      </c>
      <c r="M326">
        <v>11.74</v>
      </c>
      <c r="N326">
        <v>18.5</v>
      </c>
    </row>
    <row r="327" spans="1:14">
      <c r="A327">
        <v>0.34109</v>
      </c>
      <c r="B327">
        <v>0</v>
      </c>
      <c r="C327">
        <v>7.38</v>
      </c>
      <c r="D327">
        <v>0</v>
      </c>
      <c r="E327">
        <v>0.49299999999999999</v>
      </c>
      <c r="F327">
        <v>6.415</v>
      </c>
      <c r="G327">
        <v>40.1</v>
      </c>
      <c r="H327">
        <v>4.7210999999999999</v>
      </c>
      <c r="I327">
        <v>5</v>
      </c>
      <c r="J327">
        <v>287</v>
      </c>
      <c r="K327">
        <v>19.600000000000001</v>
      </c>
      <c r="L327">
        <v>396.9</v>
      </c>
      <c r="M327">
        <v>6.12</v>
      </c>
      <c r="N327">
        <v>25</v>
      </c>
    </row>
    <row r="328" spans="1:14">
      <c r="A328">
        <v>0.19186</v>
      </c>
      <c r="B328">
        <v>0</v>
      </c>
      <c r="C328">
        <v>7.38</v>
      </c>
      <c r="D328">
        <v>0</v>
      </c>
      <c r="E328">
        <v>0.49299999999999999</v>
      </c>
      <c r="F328">
        <v>6.431</v>
      </c>
      <c r="G328">
        <v>14.7</v>
      </c>
      <c r="H328">
        <v>5.4158999999999997</v>
      </c>
      <c r="I328">
        <v>5</v>
      </c>
      <c r="J328">
        <v>287</v>
      </c>
      <c r="K328">
        <v>19.600000000000001</v>
      </c>
      <c r="L328">
        <v>393.68</v>
      </c>
      <c r="M328">
        <v>5.08</v>
      </c>
      <c r="N328">
        <v>24.6</v>
      </c>
    </row>
    <row r="329" spans="1:14">
      <c r="A329">
        <v>0.30347000000000002</v>
      </c>
      <c r="B329">
        <v>0</v>
      </c>
      <c r="C329">
        <v>7.38</v>
      </c>
      <c r="D329">
        <v>0</v>
      </c>
      <c r="E329">
        <v>0.49299999999999999</v>
      </c>
      <c r="F329">
        <v>6.3120000000000003</v>
      </c>
      <c r="G329">
        <v>28.9</v>
      </c>
      <c r="H329">
        <v>5.4158999999999997</v>
      </c>
      <c r="I329">
        <v>5</v>
      </c>
      <c r="J329">
        <v>287</v>
      </c>
      <c r="K329">
        <v>19.600000000000001</v>
      </c>
      <c r="L329">
        <v>396.9</v>
      </c>
      <c r="M329">
        <v>6.15</v>
      </c>
      <c r="N329">
        <v>23</v>
      </c>
    </row>
    <row r="330" spans="1:14">
      <c r="A330">
        <v>0.24102999999999999</v>
      </c>
      <c r="B330">
        <v>0</v>
      </c>
      <c r="C330">
        <v>7.38</v>
      </c>
      <c r="D330">
        <v>0</v>
      </c>
      <c r="E330">
        <v>0.49299999999999999</v>
      </c>
      <c r="F330">
        <v>6.0830000000000002</v>
      </c>
      <c r="G330">
        <v>43.7</v>
      </c>
      <c r="H330">
        <v>5.4158999999999997</v>
      </c>
      <c r="I330">
        <v>5</v>
      </c>
      <c r="J330">
        <v>287</v>
      </c>
      <c r="K330">
        <v>19.600000000000001</v>
      </c>
      <c r="L330">
        <v>396.9</v>
      </c>
      <c r="M330">
        <v>12.79</v>
      </c>
      <c r="N330">
        <v>22.2</v>
      </c>
    </row>
    <row r="331" spans="1:14">
      <c r="A331">
        <v>6.6170000000000007E-2</v>
      </c>
      <c r="B331">
        <v>0</v>
      </c>
      <c r="C331">
        <v>3.24</v>
      </c>
      <c r="D331">
        <v>0</v>
      </c>
      <c r="E331">
        <v>0.46</v>
      </c>
      <c r="F331">
        <v>5.8680000000000003</v>
      </c>
      <c r="G331">
        <v>25.8</v>
      </c>
      <c r="H331">
        <v>5.2145999999999999</v>
      </c>
      <c r="I331">
        <v>4</v>
      </c>
      <c r="J331">
        <v>430</v>
      </c>
      <c r="K331">
        <v>16.899999999999999</v>
      </c>
      <c r="L331">
        <v>382.44</v>
      </c>
      <c r="M331">
        <v>9.9700000000000006</v>
      </c>
      <c r="N331">
        <v>19.3</v>
      </c>
    </row>
    <row r="332" spans="1:14">
      <c r="A332">
        <v>6.7239999999999994E-2</v>
      </c>
      <c r="B332">
        <v>0</v>
      </c>
      <c r="C332">
        <v>3.24</v>
      </c>
      <c r="D332">
        <v>0</v>
      </c>
      <c r="E332">
        <v>0.46</v>
      </c>
      <c r="F332">
        <v>6.3330000000000002</v>
      </c>
      <c r="G332">
        <v>17.2</v>
      </c>
      <c r="H332">
        <v>5.2145999999999999</v>
      </c>
      <c r="I332">
        <v>4</v>
      </c>
      <c r="J332">
        <v>430</v>
      </c>
      <c r="K332">
        <v>16.899999999999999</v>
      </c>
      <c r="L332">
        <v>375.21</v>
      </c>
      <c r="M332">
        <v>7.34</v>
      </c>
      <c r="N332">
        <v>22.6</v>
      </c>
    </row>
    <row r="333" spans="1:14">
      <c r="A333">
        <v>4.5440000000000001E-2</v>
      </c>
      <c r="B333">
        <v>0</v>
      </c>
      <c r="C333">
        <v>3.24</v>
      </c>
      <c r="D333">
        <v>0</v>
      </c>
      <c r="E333">
        <v>0.46</v>
      </c>
      <c r="F333">
        <v>6.1440000000000001</v>
      </c>
      <c r="G333">
        <v>32.200000000000003</v>
      </c>
      <c r="H333">
        <v>5.8735999999999997</v>
      </c>
      <c r="I333">
        <v>4</v>
      </c>
      <c r="J333">
        <v>430</v>
      </c>
      <c r="K333">
        <v>16.899999999999999</v>
      </c>
      <c r="L333">
        <v>368.57</v>
      </c>
      <c r="M333">
        <v>9.09</v>
      </c>
      <c r="N333">
        <v>19.8</v>
      </c>
    </row>
    <row r="334" spans="1:14">
      <c r="A334">
        <v>5.0229999999999997E-2</v>
      </c>
      <c r="B334">
        <v>35</v>
      </c>
      <c r="C334">
        <v>6.06</v>
      </c>
      <c r="D334">
        <v>0</v>
      </c>
      <c r="E334">
        <v>0.43790000000000001</v>
      </c>
      <c r="F334">
        <v>5.7060000000000004</v>
      </c>
      <c r="G334">
        <v>28.4</v>
      </c>
      <c r="H334">
        <v>6.6406999999999998</v>
      </c>
      <c r="I334">
        <v>1</v>
      </c>
      <c r="J334">
        <v>304</v>
      </c>
      <c r="K334">
        <v>16.899999999999999</v>
      </c>
      <c r="L334">
        <v>394.02</v>
      </c>
      <c r="M334">
        <v>12.43</v>
      </c>
      <c r="N334">
        <v>17.100000000000001</v>
      </c>
    </row>
    <row r="335" spans="1:14">
      <c r="A335">
        <v>3.4660000000000003E-2</v>
      </c>
      <c r="B335">
        <v>35</v>
      </c>
      <c r="C335">
        <v>6.06</v>
      </c>
      <c r="D335">
        <v>0</v>
      </c>
      <c r="E335">
        <v>0.43790000000000001</v>
      </c>
      <c r="F335">
        <v>6.0309999999999997</v>
      </c>
      <c r="G335">
        <v>23.3</v>
      </c>
      <c r="H335">
        <v>6.6406999999999998</v>
      </c>
      <c r="I335">
        <v>1</v>
      </c>
      <c r="J335">
        <v>304</v>
      </c>
      <c r="K335">
        <v>16.899999999999999</v>
      </c>
      <c r="L335">
        <v>362.25</v>
      </c>
      <c r="M335">
        <v>7.83</v>
      </c>
      <c r="N335">
        <v>19.399999999999999</v>
      </c>
    </row>
    <row r="336" spans="1:14">
      <c r="A336">
        <v>5.083E-2</v>
      </c>
      <c r="B336">
        <v>0</v>
      </c>
      <c r="C336">
        <v>5.19</v>
      </c>
      <c r="D336">
        <v>0</v>
      </c>
      <c r="E336">
        <v>0.51500000000000001</v>
      </c>
      <c r="F336">
        <v>6.3159999999999998</v>
      </c>
      <c r="G336">
        <v>38.1</v>
      </c>
      <c r="H336">
        <v>6.4584000000000001</v>
      </c>
      <c r="I336">
        <v>5</v>
      </c>
      <c r="J336">
        <v>224</v>
      </c>
      <c r="K336">
        <v>20.2</v>
      </c>
      <c r="L336">
        <v>389.71</v>
      </c>
      <c r="M336">
        <v>5.68</v>
      </c>
      <c r="N336">
        <v>22.2</v>
      </c>
    </row>
    <row r="337" spans="1:14">
      <c r="A337">
        <v>3.7379999999999997E-2</v>
      </c>
      <c r="B337">
        <v>0</v>
      </c>
      <c r="C337">
        <v>5.19</v>
      </c>
      <c r="D337">
        <v>0</v>
      </c>
      <c r="E337">
        <v>0.51500000000000001</v>
      </c>
      <c r="F337">
        <v>6.31</v>
      </c>
      <c r="G337">
        <v>38.5</v>
      </c>
      <c r="H337">
        <v>6.4584000000000001</v>
      </c>
      <c r="I337">
        <v>5</v>
      </c>
      <c r="J337">
        <v>224</v>
      </c>
      <c r="K337">
        <v>20.2</v>
      </c>
      <c r="L337">
        <v>389.4</v>
      </c>
      <c r="M337">
        <v>6.75</v>
      </c>
      <c r="N337">
        <v>20.7</v>
      </c>
    </row>
    <row r="338" spans="1:14">
      <c r="A338">
        <v>3.9609999999999999E-2</v>
      </c>
      <c r="B338">
        <v>0</v>
      </c>
      <c r="C338">
        <v>5.19</v>
      </c>
      <c r="D338">
        <v>0</v>
      </c>
      <c r="E338">
        <v>0.51500000000000001</v>
      </c>
      <c r="F338">
        <v>6.0369999999999999</v>
      </c>
      <c r="G338">
        <v>34.5</v>
      </c>
      <c r="H338">
        <v>5.9852999999999996</v>
      </c>
      <c r="I338">
        <v>5</v>
      </c>
      <c r="J338">
        <v>224</v>
      </c>
      <c r="K338">
        <v>20.2</v>
      </c>
      <c r="L338">
        <v>396.9</v>
      </c>
      <c r="M338">
        <v>8.01</v>
      </c>
      <c r="N338">
        <v>21.1</v>
      </c>
    </row>
    <row r="339" spans="1:14">
      <c r="A339">
        <v>3.4270000000000002E-2</v>
      </c>
      <c r="B339">
        <v>0</v>
      </c>
      <c r="C339">
        <v>5.19</v>
      </c>
      <c r="D339">
        <v>0</v>
      </c>
      <c r="E339">
        <v>0.51500000000000001</v>
      </c>
      <c r="F339">
        <v>5.8689999999999998</v>
      </c>
      <c r="G339">
        <v>46.3</v>
      </c>
      <c r="H339">
        <v>5.2310999999999996</v>
      </c>
      <c r="I339">
        <v>5</v>
      </c>
      <c r="J339">
        <v>224</v>
      </c>
      <c r="K339">
        <v>20.2</v>
      </c>
      <c r="L339">
        <v>396.9</v>
      </c>
      <c r="M339">
        <v>9.8000000000000007</v>
      </c>
      <c r="N339">
        <v>19.5</v>
      </c>
    </row>
    <row r="340" spans="1:14">
      <c r="A340">
        <v>3.041E-2</v>
      </c>
      <c r="B340">
        <v>0</v>
      </c>
      <c r="C340">
        <v>5.19</v>
      </c>
      <c r="D340">
        <v>0</v>
      </c>
      <c r="E340">
        <v>0.51500000000000001</v>
      </c>
      <c r="F340">
        <v>5.8949999999999996</v>
      </c>
      <c r="G340">
        <v>59.6</v>
      </c>
      <c r="H340">
        <v>5.6150000000000002</v>
      </c>
      <c r="I340">
        <v>5</v>
      </c>
      <c r="J340">
        <v>224</v>
      </c>
      <c r="K340">
        <v>20.2</v>
      </c>
      <c r="L340">
        <v>394.81</v>
      </c>
      <c r="M340">
        <v>10.56</v>
      </c>
      <c r="N340">
        <v>18.5</v>
      </c>
    </row>
    <row r="341" spans="1:14">
      <c r="A341">
        <v>3.3059999999999999E-2</v>
      </c>
      <c r="B341">
        <v>0</v>
      </c>
      <c r="C341">
        <v>5.19</v>
      </c>
      <c r="D341">
        <v>0</v>
      </c>
      <c r="E341">
        <v>0.51500000000000001</v>
      </c>
      <c r="F341">
        <v>6.0590000000000002</v>
      </c>
      <c r="G341">
        <v>37.299999999999997</v>
      </c>
      <c r="H341">
        <v>4.8121999999999998</v>
      </c>
      <c r="I341">
        <v>5</v>
      </c>
      <c r="J341">
        <v>224</v>
      </c>
      <c r="K341">
        <v>20.2</v>
      </c>
      <c r="L341">
        <v>396.14</v>
      </c>
      <c r="M341">
        <v>8.51</v>
      </c>
      <c r="N341">
        <v>20.6</v>
      </c>
    </row>
    <row r="342" spans="1:14">
      <c r="A342">
        <v>5.4969999999999998E-2</v>
      </c>
      <c r="B342">
        <v>0</v>
      </c>
      <c r="C342">
        <v>5.19</v>
      </c>
      <c r="D342">
        <v>0</v>
      </c>
      <c r="E342">
        <v>0.51500000000000001</v>
      </c>
      <c r="F342">
        <v>5.9850000000000003</v>
      </c>
      <c r="G342">
        <v>45.4</v>
      </c>
      <c r="H342">
        <v>4.8121999999999998</v>
      </c>
      <c r="I342">
        <v>5</v>
      </c>
      <c r="J342">
        <v>224</v>
      </c>
      <c r="K342">
        <v>20.2</v>
      </c>
      <c r="L342">
        <v>396.9</v>
      </c>
      <c r="M342">
        <v>9.74</v>
      </c>
      <c r="N342">
        <v>19</v>
      </c>
    </row>
    <row r="343" spans="1:14">
      <c r="A343">
        <v>6.1510000000000002E-2</v>
      </c>
      <c r="B343">
        <v>0</v>
      </c>
      <c r="C343">
        <v>5.19</v>
      </c>
      <c r="D343">
        <v>0</v>
      </c>
      <c r="E343">
        <v>0.51500000000000001</v>
      </c>
      <c r="F343">
        <v>5.968</v>
      </c>
      <c r="G343">
        <v>58.5</v>
      </c>
      <c r="H343">
        <v>4.8121999999999998</v>
      </c>
      <c r="I343">
        <v>5</v>
      </c>
      <c r="J343">
        <v>224</v>
      </c>
      <c r="K343">
        <v>20.2</v>
      </c>
      <c r="L343">
        <v>396.9</v>
      </c>
      <c r="M343">
        <v>9.2899999999999991</v>
      </c>
      <c r="N343">
        <v>18.7</v>
      </c>
    </row>
    <row r="344" spans="1:14">
      <c r="A344">
        <v>1.3010000000000001E-2</v>
      </c>
      <c r="B344">
        <v>35</v>
      </c>
      <c r="C344">
        <v>1.52</v>
      </c>
      <c r="D344">
        <v>0</v>
      </c>
      <c r="E344">
        <v>0.442</v>
      </c>
      <c r="F344">
        <v>7.2409999999999997</v>
      </c>
      <c r="G344">
        <v>49.3</v>
      </c>
      <c r="H344">
        <v>7.0378999999999996</v>
      </c>
      <c r="I344">
        <v>1</v>
      </c>
      <c r="J344">
        <v>284</v>
      </c>
      <c r="K344">
        <v>15.5</v>
      </c>
      <c r="L344">
        <v>394.74</v>
      </c>
      <c r="M344">
        <v>5.49</v>
      </c>
      <c r="N344">
        <v>32.700000000000003</v>
      </c>
    </row>
    <row r="345" spans="1:14">
      <c r="A345">
        <v>2.4979999999999999E-2</v>
      </c>
      <c r="B345">
        <v>0</v>
      </c>
      <c r="C345">
        <v>1.89</v>
      </c>
      <c r="D345">
        <v>0</v>
      </c>
      <c r="E345">
        <v>0.51800000000000002</v>
      </c>
      <c r="F345">
        <v>6.54</v>
      </c>
      <c r="G345">
        <v>59.7</v>
      </c>
      <c r="H345">
        <v>6.2668999999999997</v>
      </c>
      <c r="I345">
        <v>1</v>
      </c>
      <c r="J345">
        <v>422</v>
      </c>
      <c r="K345">
        <v>15.9</v>
      </c>
      <c r="L345">
        <v>389.96</v>
      </c>
      <c r="M345">
        <v>8.65</v>
      </c>
      <c r="N345">
        <v>16.5</v>
      </c>
    </row>
    <row r="346" spans="1:14">
      <c r="A346">
        <v>2.5430000000000001E-2</v>
      </c>
      <c r="B346">
        <v>55</v>
      </c>
      <c r="C346">
        <v>3.78</v>
      </c>
      <c r="D346">
        <v>0</v>
      </c>
      <c r="E346">
        <v>0.48399999999999999</v>
      </c>
      <c r="F346">
        <v>6.6959999999999997</v>
      </c>
      <c r="G346">
        <v>56.4</v>
      </c>
      <c r="H346">
        <v>5.7321</v>
      </c>
      <c r="I346">
        <v>5</v>
      </c>
      <c r="J346">
        <v>370</v>
      </c>
      <c r="K346">
        <v>17.600000000000001</v>
      </c>
      <c r="L346">
        <v>396.9</v>
      </c>
      <c r="M346">
        <v>7.18</v>
      </c>
      <c r="N346">
        <v>23.9</v>
      </c>
    </row>
    <row r="347" spans="1:14">
      <c r="A347">
        <v>3.049E-2</v>
      </c>
      <c r="B347">
        <v>55</v>
      </c>
      <c r="C347">
        <v>3.78</v>
      </c>
      <c r="D347">
        <v>0</v>
      </c>
      <c r="E347">
        <v>0.48399999999999999</v>
      </c>
      <c r="F347">
        <v>6.8739999999999997</v>
      </c>
      <c r="G347">
        <v>28.1</v>
      </c>
      <c r="H347">
        <v>6.4653999999999998</v>
      </c>
      <c r="I347">
        <v>5</v>
      </c>
      <c r="J347">
        <v>370</v>
      </c>
      <c r="K347">
        <v>17.600000000000001</v>
      </c>
      <c r="L347">
        <v>387.97</v>
      </c>
      <c r="M347">
        <v>4.6100000000000003</v>
      </c>
      <c r="N347">
        <v>31.2</v>
      </c>
    </row>
    <row r="348" spans="1:14">
      <c r="A348">
        <v>3.1130000000000001E-2</v>
      </c>
      <c r="B348">
        <v>0</v>
      </c>
      <c r="C348">
        <v>4.3899999999999997</v>
      </c>
      <c r="D348">
        <v>0</v>
      </c>
      <c r="E348">
        <v>0.442</v>
      </c>
      <c r="F348">
        <v>6.0140000000000002</v>
      </c>
      <c r="G348">
        <v>48.5</v>
      </c>
      <c r="H348">
        <v>8.0136000000000003</v>
      </c>
      <c r="I348">
        <v>3</v>
      </c>
      <c r="J348">
        <v>352</v>
      </c>
      <c r="K348">
        <v>18.8</v>
      </c>
      <c r="L348">
        <v>385.64</v>
      </c>
      <c r="M348">
        <v>10.53</v>
      </c>
      <c r="N348">
        <v>17.5</v>
      </c>
    </row>
    <row r="349" spans="1:14">
      <c r="A349">
        <v>6.1620000000000001E-2</v>
      </c>
      <c r="B349">
        <v>0</v>
      </c>
      <c r="C349">
        <v>4.3899999999999997</v>
      </c>
      <c r="D349">
        <v>0</v>
      </c>
      <c r="E349">
        <v>0.442</v>
      </c>
      <c r="F349">
        <v>5.8979999999999997</v>
      </c>
      <c r="G349">
        <v>52.3</v>
      </c>
      <c r="H349">
        <v>8.0136000000000003</v>
      </c>
      <c r="I349">
        <v>3</v>
      </c>
      <c r="J349">
        <v>352</v>
      </c>
      <c r="K349">
        <v>18.8</v>
      </c>
      <c r="L349">
        <v>364.61</v>
      </c>
      <c r="M349">
        <v>12.67</v>
      </c>
      <c r="N349">
        <v>17.2</v>
      </c>
    </row>
    <row r="350" spans="1:14">
      <c r="A350">
        <v>1.8700000000000001E-2</v>
      </c>
      <c r="B350">
        <v>85</v>
      </c>
      <c r="C350">
        <v>4.1500000000000004</v>
      </c>
      <c r="D350">
        <v>0</v>
      </c>
      <c r="E350">
        <v>0.42899999999999999</v>
      </c>
      <c r="F350">
        <v>6.516</v>
      </c>
      <c r="G350">
        <v>27.7</v>
      </c>
      <c r="H350">
        <v>8.5352999999999994</v>
      </c>
      <c r="I350">
        <v>4</v>
      </c>
      <c r="J350">
        <v>351</v>
      </c>
      <c r="K350">
        <v>17.899999999999999</v>
      </c>
      <c r="L350">
        <v>392.43</v>
      </c>
      <c r="M350">
        <v>6.36</v>
      </c>
      <c r="N350">
        <v>23.1</v>
      </c>
    </row>
    <row r="351" spans="1:14">
      <c r="A351">
        <v>1.5010000000000001E-2</v>
      </c>
      <c r="B351">
        <v>80</v>
      </c>
      <c r="C351">
        <v>2.0099999999999998</v>
      </c>
      <c r="D351">
        <v>0</v>
      </c>
      <c r="E351">
        <v>0.435</v>
      </c>
      <c r="F351">
        <v>6.6349999999999998</v>
      </c>
      <c r="G351">
        <v>29.7</v>
      </c>
      <c r="H351">
        <v>8.3439999999999994</v>
      </c>
      <c r="I351">
        <v>4</v>
      </c>
      <c r="J351">
        <v>280</v>
      </c>
      <c r="K351">
        <v>17</v>
      </c>
      <c r="L351">
        <v>390.94</v>
      </c>
      <c r="M351">
        <v>5.99</v>
      </c>
      <c r="N351">
        <v>24.5</v>
      </c>
    </row>
    <row r="352" spans="1:14">
      <c r="A352">
        <v>2.8989999999999998E-2</v>
      </c>
      <c r="B352">
        <v>40</v>
      </c>
      <c r="C352">
        <v>1.25</v>
      </c>
      <c r="D352">
        <v>0</v>
      </c>
      <c r="E352">
        <v>0.42899999999999999</v>
      </c>
      <c r="F352">
        <v>6.9390000000000001</v>
      </c>
      <c r="G352">
        <v>34.5</v>
      </c>
      <c r="H352">
        <v>8.7920999999999996</v>
      </c>
      <c r="I352">
        <v>1</v>
      </c>
      <c r="J352">
        <v>335</v>
      </c>
      <c r="K352">
        <v>19.7</v>
      </c>
      <c r="L352">
        <v>389.85</v>
      </c>
      <c r="M352">
        <v>5.89</v>
      </c>
      <c r="N352">
        <v>26.6</v>
      </c>
    </row>
    <row r="353" spans="1:14">
      <c r="A353">
        <v>6.2109999999999999E-2</v>
      </c>
      <c r="B353">
        <v>40</v>
      </c>
      <c r="C353">
        <v>1.25</v>
      </c>
      <c r="D353">
        <v>0</v>
      </c>
      <c r="E353">
        <v>0.42899999999999999</v>
      </c>
      <c r="F353">
        <v>6.49</v>
      </c>
      <c r="G353">
        <v>44.4</v>
      </c>
      <c r="H353">
        <v>8.7920999999999996</v>
      </c>
      <c r="I353">
        <v>1</v>
      </c>
      <c r="J353">
        <v>335</v>
      </c>
      <c r="K353">
        <v>19.7</v>
      </c>
      <c r="L353">
        <v>396.9</v>
      </c>
      <c r="M353">
        <v>5.98</v>
      </c>
      <c r="N353">
        <v>22.9</v>
      </c>
    </row>
    <row r="354" spans="1:14">
      <c r="A354">
        <v>7.9500000000000001E-2</v>
      </c>
      <c r="B354">
        <v>60</v>
      </c>
      <c r="C354">
        <v>1.69</v>
      </c>
      <c r="D354">
        <v>0</v>
      </c>
      <c r="E354">
        <v>0.41099999999999998</v>
      </c>
      <c r="F354">
        <v>6.5789999999999997</v>
      </c>
      <c r="G354">
        <v>35.9</v>
      </c>
      <c r="H354">
        <v>10.7103</v>
      </c>
      <c r="I354">
        <v>4</v>
      </c>
      <c r="J354">
        <v>411</v>
      </c>
      <c r="K354">
        <v>18.3</v>
      </c>
      <c r="L354">
        <v>370.78</v>
      </c>
      <c r="M354">
        <v>5.49</v>
      </c>
      <c r="N354">
        <v>24.1</v>
      </c>
    </row>
    <row r="355" spans="1:14">
      <c r="A355">
        <v>7.2440000000000004E-2</v>
      </c>
      <c r="B355">
        <v>60</v>
      </c>
      <c r="C355">
        <v>1.69</v>
      </c>
      <c r="D355">
        <v>0</v>
      </c>
      <c r="E355">
        <v>0.41099999999999998</v>
      </c>
      <c r="F355">
        <v>5.8840000000000003</v>
      </c>
      <c r="G355">
        <v>18.5</v>
      </c>
      <c r="H355">
        <v>10.7103</v>
      </c>
      <c r="I355">
        <v>4</v>
      </c>
      <c r="J355">
        <v>411</v>
      </c>
      <c r="K355">
        <v>18.3</v>
      </c>
      <c r="L355">
        <v>392.33</v>
      </c>
      <c r="M355">
        <v>7.79</v>
      </c>
      <c r="N355">
        <v>18.600000000000001</v>
      </c>
    </row>
    <row r="356" spans="1:14">
      <c r="A356">
        <v>1.7090000000000001E-2</v>
      </c>
      <c r="B356">
        <v>90</v>
      </c>
      <c r="C356">
        <v>2.02</v>
      </c>
      <c r="D356">
        <v>0</v>
      </c>
      <c r="E356">
        <v>0.41</v>
      </c>
      <c r="F356">
        <v>6.7279999999999998</v>
      </c>
      <c r="G356">
        <v>36.1</v>
      </c>
      <c r="H356">
        <v>12.1265</v>
      </c>
      <c r="I356">
        <v>5</v>
      </c>
      <c r="J356">
        <v>187</v>
      </c>
      <c r="K356">
        <v>17</v>
      </c>
      <c r="L356">
        <v>384.46</v>
      </c>
      <c r="M356">
        <v>4.5</v>
      </c>
      <c r="N356">
        <v>30.1</v>
      </c>
    </row>
    <row r="357" spans="1:14">
      <c r="A357">
        <v>4.301E-2</v>
      </c>
      <c r="B357">
        <v>80</v>
      </c>
      <c r="C357">
        <v>1.91</v>
      </c>
      <c r="D357">
        <v>0</v>
      </c>
      <c r="E357">
        <v>0.41299999999999998</v>
      </c>
      <c r="F357">
        <v>5.6630000000000003</v>
      </c>
      <c r="G357">
        <v>21.9</v>
      </c>
      <c r="H357">
        <v>10.585699999999999</v>
      </c>
      <c r="I357">
        <v>4</v>
      </c>
      <c r="J357">
        <v>334</v>
      </c>
      <c r="K357">
        <v>22</v>
      </c>
      <c r="L357">
        <v>382.8</v>
      </c>
      <c r="M357">
        <v>8.0500000000000007</v>
      </c>
      <c r="N357">
        <v>18.2</v>
      </c>
    </row>
    <row r="358" spans="1:14">
      <c r="A358">
        <v>0.10659</v>
      </c>
      <c r="B358">
        <v>80</v>
      </c>
      <c r="C358">
        <v>1.91</v>
      </c>
      <c r="D358">
        <v>0</v>
      </c>
      <c r="E358">
        <v>0.41299999999999998</v>
      </c>
      <c r="F358">
        <v>5.9359999999999999</v>
      </c>
      <c r="G358">
        <v>19.5</v>
      </c>
      <c r="H358">
        <v>10.585699999999999</v>
      </c>
      <c r="I358">
        <v>4</v>
      </c>
      <c r="J358">
        <v>334</v>
      </c>
      <c r="K358">
        <v>22</v>
      </c>
      <c r="L358">
        <v>376.04</v>
      </c>
      <c r="M358">
        <v>5.57</v>
      </c>
      <c r="N358">
        <v>20.6</v>
      </c>
    </row>
    <row r="359" spans="1:14">
      <c r="A359">
        <v>8.9829600000000003</v>
      </c>
      <c r="B359">
        <v>0</v>
      </c>
      <c r="C359">
        <v>18.100000000000001</v>
      </c>
      <c r="D359">
        <v>1</v>
      </c>
      <c r="E359">
        <v>0.77</v>
      </c>
      <c r="F359">
        <v>6.2119999999999997</v>
      </c>
      <c r="G359">
        <v>97.4</v>
      </c>
      <c r="H359">
        <v>2.1221999999999999</v>
      </c>
      <c r="I359">
        <v>24</v>
      </c>
      <c r="J359">
        <v>666</v>
      </c>
      <c r="K359">
        <v>20.2</v>
      </c>
      <c r="L359">
        <v>377.73</v>
      </c>
      <c r="M359">
        <v>17.600000000000001</v>
      </c>
      <c r="N359">
        <v>17.8</v>
      </c>
    </row>
    <row r="360" spans="1:14">
      <c r="A360">
        <v>3.8496999999999999</v>
      </c>
      <c r="B360">
        <v>0</v>
      </c>
      <c r="C360">
        <v>18.100000000000001</v>
      </c>
      <c r="D360">
        <v>1</v>
      </c>
      <c r="E360">
        <v>0.77</v>
      </c>
      <c r="F360">
        <v>6.3949999999999996</v>
      </c>
      <c r="G360">
        <v>91</v>
      </c>
      <c r="H360">
        <v>2.5051999999999999</v>
      </c>
      <c r="I360">
        <v>24</v>
      </c>
      <c r="J360">
        <v>666</v>
      </c>
      <c r="K360">
        <v>20.2</v>
      </c>
      <c r="L360">
        <v>391.34</v>
      </c>
      <c r="M360">
        <v>13.27</v>
      </c>
      <c r="N360">
        <v>21.7</v>
      </c>
    </row>
    <row r="361" spans="1:14">
      <c r="A361">
        <v>5.2017699999999998</v>
      </c>
      <c r="B361">
        <v>0</v>
      </c>
      <c r="C361">
        <v>18.100000000000001</v>
      </c>
      <c r="D361">
        <v>1</v>
      </c>
      <c r="E361">
        <v>0.77</v>
      </c>
      <c r="F361">
        <v>6.1269999999999998</v>
      </c>
      <c r="G361">
        <v>83.4</v>
      </c>
      <c r="H361">
        <v>2.7227000000000001</v>
      </c>
      <c r="I361">
        <v>24</v>
      </c>
      <c r="J361">
        <v>666</v>
      </c>
      <c r="K361">
        <v>20.2</v>
      </c>
      <c r="L361">
        <v>395.43</v>
      </c>
      <c r="M361">
        <v>11.48</v>
      </c>
      <c r="N361">
        <v>22.7</v>
      </c>
    </row>
    <row r="362" spans="1:14">
      <c r="A362">
        <v>4.2613099999999999</v>
      </c>
      <c r="B362">
        <v>0</v>
      </c>
      <c r="C362">
        <v>18.100000000000001</v>
      </c>
      <c r="D362">
        <v>0</v>
      </c>
      <c r="E362">
        <v>0.77</v>
      </c>
      <c r="F362">
        <v>6.1120000000000001</v>
      </c>
      <c r="G362">
        <v>81.3</v>
      </c>
      <c r="H362">
        <v>2.5091000000000001</v>
      </c>
      <c r="I362">
        <v>24</v>
      </c>
      <c r="J362">
        <v>666</v>
      </c>
      <c r="K362">
        <v>20.2</v>
      </c>
      <c r="L362">
        <v>390.74</v>
      </c>
      <c r="M362">
        <v>12.67</v>
      </c>
      <c r="N362">
        <v>22.6</v>
      </c>
    </row>
    <row r="363" spans="1:14">
      <c r="A363">
        <v>4.5419200000000002</v>
      </c>
      <c r="B363">
        <v>0</v>
      </c>
      <c r="C363">
        <v>18.100000000000001</v>
      </c>
      <c r="D363">
        <v>0</v>
      </c>
      <c r="E363">
        <v>0.77</v>
      </c>
      <c r="F363">
        <v>6.3979999999999997</v>
      </c>
      <c r="G363">
        <v>88</v>
      </c>
      <c r="H363">
        <v>2.5182000000000002</v>
      </c>
      <c r="I363">
        <v>24</v>
      </c>
      <c r="J363">
        <v>666</v>
      </c>
      <c r="K363">
        <v>20.2</v>
      </c>
      <c r="L363">
        <v>374.56</v>
      </c>
      <c r="M363">
        <v>7.79</v>
      </c>
      <c r="N363">
        <v>25</v>
      </c>
    </row>
    <row r="364" spans="1:14">
      <c r="A364">
        <v>3.83684</v>
      </c>
      <c r="B364">
        <v>0</v>
      </c>
      <c r="C364">
        <v>18.100000000000001</v>
      </c>
      <c r="D364">
        <v>0</v>
      </c>
      <c r="E364">
        <v>0.77</v>
      </c>
      <c r="F364">
        <v>6.2510000000000003</v>
      </c>
      <c r="G364">
        <v>91.1</v>
      </c>
      <c r="H364">
        <v>2.2955000000000001</v>
      </c>
      <c r="I364">
        <v>24</v>
      </c>
      <c r="J364">
        <v>666</v>
      </c>
      <c r="K364">
        <v>20.2</v>
      </c>
      <c r="L364">
        <v>350.65</v>
      </c>
      <c r="M364">
        <v>14.19</v>
      </c>
      <c r="N364">
        <v>19.899999999999999</v>
      </c>
    </row>
    <row r="365" spans="1:14">
      <c r="A365">
        <v>3.67822</v>
      </c>
      <c r="B365">
        <v>0</v>
      </c>
      <c r="C365">
        <v>18.100000000000001</v>
      </c>
      <c r="D365">
        <v>0</v>
      </c>
      <c r="E365">
        <v>0.77</v>
      </c>
      <c r="F365">
        <v>5.3620000000000001</v>
      </c>
      <c r="G365">
        <v>96.2</v>
      </c>
      <c r="H365">
        <v>2.1036000000000001</v>
      </c>
      <c r="I365">
        <v>24</v>
      </c>
      <c r="J365">
        <v>666</v>
      </c>
      <c r="K365">
        <v>20.2</v>
      </c>
      <c r="L365">
        <v>380.79</v>
      </c>
      <c r="M365">
        <v>10.19</v>
      </c>
      <c r="N365">
        <v>20.8</v>
      </c>
    </row>
    <row r="366" spans="1:14">
      <c r="A366">
        <v>4.2223899999999999</v>
      </c>
      <c r="B366">
        <v>0</v>
      </c>
      <c r="C366">
        <v>18.100000000000001</v>
      </c>
      <c r="D366">
        <v>1</v>
      </c>
      <c r="E366">
        <v>0.77</v>
      </c>
      <c r="F366">
        <v>5.8029999999999999</v>
      </c>
      <c r="G366">
        <v>89</v>
      </c>
      <c r="H366">
        <v>1.9047000000000001</v>
      </c>
      <c r="I366">
        <v>24</v>
      </c>
      <c r="J366">
        <v>666</v>
      </c>
      <c r="K366">
        <v>20.2</v>
      </c>
      <c r="L366">
        <v>353.04</v>
      </c>
      <c r="M366">
        <v>14.64</v>
      </c>
      <c r="N366">
        <v>16.8</v>
      </c>
    </row>
    <row r="367" spans="1:14">
      <c r="A367">
        <v>3.4742799999999998</v>
      </c>
      <c r="B367">
        <v>0</v>
      </c>
      <c r="C367">
        <v>18.100000000000001</v>
      </c>
      <c r="D367">
        <v>1</v>
      </c>
      <c r="E367">
        <v>0.71799999999999997</v>
      </c>
      <c r="F367">
        <v>8.7799999999999994</v>
      </c>
      <c r="G367">
        <v>82.9</v>
      </c>
      <c r="H367">
        <v>1.9047000000000001</v>
      </c>
      <c r="I367">
        <v>24</v>
      </c>
      <c r="J367">
        <v>666</v>
      </c>
      <c r="K367">
        <v>20.2</v>
      </c>
      <c r="L367">
        <v>354.55</v>
      </c>
      <c r="M367">
        <v>5.29</v>
      </c>
      <c r="N367">
        <v>21.9</v>
      </c>
    </row>
    <row r="368" spans="1:14">
      <c r="A368">
        <v>4.5558699999999996</v>
      </c>
      <c r="B368">
        <v>0</v>
      </c>
      <c r="C368">
        <v>18.100000000000001</v>
      </c>
      <c r="D368">
        <v>0</v>
      </c>
      <c r="E368">
        <v>0.71799999999999997</v>
      </c>
      <c r="F368">
        <v>3.5609999999999999</v>
      </c>
      <c r="G368">
        <v>87.9</v>
      </c>
      <c r="H368">
        <v>1.6132</v>
      </c>
      <c r="I368">
        <v>24</v>
      </c>
      <c r="J368">
        <v>666</v>
      </c>
      <c r="K368">
        <v>20.2</v>
      </c>
      <c r="L368">
        <v>354.7</v>
      </c>
      <c r="M368">
        <v>7.12</v>
      </c>
      <c r="N368">
        <v>27.5</v>
      </c>
    </row>
    <row r="369" spans="1:14">
      <c r="A369">
        <v>3.6969500000000002</v>
      </c>
      <c r="B369">
        <v>0</v>
      </c>
      <c r="C369">
        <v>18.100000000000001</v>
      </c>
      <c r="D369">
        <v>0</v>
      </c>
      <c r="E369">
        <v>0.71799999999999997</v>
      </c>
      <c r="F369">
        <v>4.9630000000000001</v>
      </c>
      <c r="G369">
        <v>91.4</v>
      </c>
      <c r="H369">
        <v>1.7523</v>
      </c>
      <c r="I369">
        <v>24</v>
      </c>
      <c r="J369">
        <v>666</v>
      </c>
      <c r="K369">
        <v>20.2</v>
      </c>
      <c r="L369">
        <v>316.02999999999997</v>
      </c>
      <c r="M369">
        <v>14</v>
      </c>
      <c r="N369">
        <v>21.9</v>
      </c>
    </row>
    <row r="370" spans="1:14">
      <c r="A370">
        <v>13.5222</v>
      </c>
      <c r="B370">
        <v>0</v>
      </c>
      <c r="C370">
        <v>18.100000000000001</v>
      </c>
      <c r="D370">
        <v>0</v>
      </c>
      <c r="E370">
        <v>0.63100000000000001</v>
      </c>
      <c r="F370">
        <v>3.863</v>
      </c>
      <c r="G370">
        <v>100</v>
      </c>
      <c r="H370">
        <v>1.5105999999999999</v>
      </c>
      <c r="I370">
        <v>24</v>
      </c>
      <c r="J370">
        <v>666</v>
      </c>
      <c r="K370">
        <v>20.2</v>
      </c>
      <c r="L370">
        <v>131.41999999999999</v>
      </c>
      <c r="M370">
        <v>13.33</v>
      </c>
      <c r="N370">
        <v>23.1</v>
      </c>
    </row>
    <row r="371" spans="1:14">
      <c r="A371">
        <v>4.8982200000000002</v>
      </c>
      <c r="B371">
        <v>0</v>
      </c>
      <c r="C371">
        <v>18.100000000000001</v>
      </c>
      <c r="D371">
        <v>0</v>
      </c>
      <c r="E371">
        <v>0.63100000000000001</v>
      </c>
      <c r="F371">
        <v>4.97</v>
      </c>
      <c r="G371">
        <v>100</v>
      </c>
      <c r="H371">
        <v>1.3325</v>
      </c>
      <c r="I371">
        <v>24</v>
      </c>
      <c r="J371">
        <v>666</v>
      </c>
      <c r="K371">
        <v>20.2</v>
      </c>
      <c r="L371">
        <v>375.52</v>
      </c>
      <c r="M371">
        <v>3.26</v>
      </c>
      <c r="N371">
        <v>50</v>
      </c>
    </row>
    <row r="372" spans="1:14">
      <c r="A372">
        <v>5.6699799999999998</v>
      </c>
      <c r="B372">
        <v>0</v>
      </c>
      <c r="C372">
        <v>18.100000000000001</v>
      </c>
      <c r="D372">
        <v>1</v>
      </c>
      <c r="E372">
        <v>0.63100000000000001</v>
      </c>
      <c r="F372">
        <v>6.6829999999999998</v>
      </c>
      <c r="G372">
        <v>96.8</v>
      </c>
      <c r="H372">
        <v>1.3567</v>
      </c>
      <c r="I372">
        <v>24</v>
      </c>
      <c r="J372">
        <v>666</v>
      </c>
      <c r="K372">
        <v>20.2</v>
      </c>
      <c r="L372">
        <v>375.33</v>
      </c>
      <c r="M372">
        <v>3.73</v>
      </c>
      <c r="N372">
        <v>50</v>
      </c>
    </row>
    <row r="373" spans="1:14">
      <c r="A373">
        <v>6.5387599999999999</v>
      </c>
      <c r="B373">
        <v>0</v>
      </c>
      <c r="C373">
        <v>18.100000000000001</v>
      </c>
      <c r="D373">
        <v>1</v>
      </c>
      <c r="E373">
        <v>0.63100000000000001</v>
      </c>
      <c r="F373">
        <v>7.016</v>
      </c>
      <c r="G373">
        <v>97.5</v>
      </c>
      <c r="H373">
        <v>1.2023999999999999</v>
      </c>
      <c r="I373">
        <v>24</v>
      </c>
      <c r="J373">
        <v>666</v>
      </c>
      <c r="K373">
        <v>20.2</v>
      </c>
      <c r="L373">
        <v>392.05</v>
      </c>
      <c r="M373">
        <v>2.96</v>
      </c>
      <c r="N373">
        <v>50</v>
      </c>
    </row>
    <row r="374" spans="1:14">
      <c r="A374">
        <v>9.2323000000000004</v>
      </c>
      <c r="B374">
        <v>0</v>
      </c>
      <c r="C374">
        <v>18.100000000000001</v>
      </c>
      <c r="D374">
        <v>0</v>
      </c>
      <c r="E374">
        <v>0.63100000000000001</v>
      </c>
      <c r="F374">
        <v>6.2160000000000002</v>
      </c>
      <c r="G374">
        <v>100</v>
      </c>
      <c r="H374">
        <v>1.1691</v>
      </c>
      <c r="I374">
        <v>24</v>
      </c>
      <c r="J374">
        <v>666</v>
      </c>
      <c r="K374">
        <v>20.2</v>
      </c>
      <c r="L374">
        <v>366.15</v>
      </c>
      <c r="M374">
        <v>9.5299999999999994</v>
      </c>
      <c r="N374">
        <v>50</v>
      </c>
    </row>
    <row r="375" spans="1:14">
      <c r="A375">
        <v>8.2672500000000007</v>
      </c>
      <c r="B375">
        <v>0</v>
      </c>
      <c r="C375">
        <v>18.100000000000001</v>
      </c>
      <c r="D375">
        <v>1</v>
      </c>
      <c r="E375">
        <v>0.66800000000000004</v>
      </c>
      <c r="F375">
        <v>5.875</v>
      </c>
      <c r="G375">
        <v>89.6</v>
      </c>
      <c r="H375">
        <v>1.1295999999999999</v>
      </c>
      <c r="I375">
        <v>24</v>
      </c>
      <c r="J375">
        <v>666</v>
      </c>
      <c r="K375">
        <v>20.2</v>
      </c>
      <c r="L375">
        <v>347.88</v>
      </c>
      <c r="M375">
        <v>8.8800000000000008</v>
      </c>
      <c r="N375">
        <v>50</v>
      </c>
    </row>
    <row r="376" spans="1:14">
      <c r="A376">
        <v>11.1081</v>
      </c>
      <c r="B376">
        <v>0</v>
      </c>
      <c r="C376">
        <v>18.100000000000001</v>
      </c>
      <c r="D376">
        <v>0</v>
      </c>
      <c r="E376">
        <v>0.66800000000000004</v>
      </c>
      <c r="F376">
        <v>4.9059999999999997</v>
      </c>
      <c r="G376">
        <v>100</v>
      </c>
      <c r="H376">
        <v>1.1741999999999999</v>
      </c>
      <c r="I376">
        <v>24</v>
      </c>
      <c r="J376">
        <v>666</v>
      </c>
      <c r="K376">
        <v>20.2</v>
      </c>
      <c r="L376">
        <v>396.9</v>
      </c>
      <c r="M376">
        <v>34.770000000000003</v>
      </c>
      <c r="N376">
        <v>13.8</v>
      </c>
    </row>
    <row r="377" spans="1:14">
      <c r="A377">
        <v>18.498200000000001</v>
      </c>
      <c r="B377">
        <v>0</v>
      </c>
      <c r="C377">
        <v>18.100000000000001</v>
      </c>
      <c r="D377">
        <v>0</v>
      </c>
      <c r="E377">
        <v>0.66800000000000004</v>
      </c>
      <c r="F377">
        <v>4.1379999999999999</v>
      </c>
      <c r="G377">
        <v>100</v>
      </c>
      <c r="H377">
        <v>1.137</v>
      </c>
      <c r="I377">
        <v>24</v>
      </c>
      <c r="J377">
        <v>666</v>
      </c>
      <c r="K377">
        <v>20.2</v>
      </c>
      <c r="L377">
        <v>396.9</v>
      </c>
      <c r="M377">
        <v>37.97</v>
      </c>
      <c r="N377">
        <v>13.8</v>
      </c>
    </row>
    <row r="378" spans="1:14">
      <c r="A378">
        <v>19.609100000000002</v>
      </c>
      <c r="B378">
        <v>0</v>
      </c>
      <c r="C378">
        <v>18.100000000000001</v>
      </c>
      <c r="D378">
        <v>0</v>
      </c>
      <c r="E378">
        <v>0.67100000000000004</v>
      </c>
      <c r="F378">
        <v>7.3129999999999997</v>
      </c>
      <c r="G378">
        <v>97.9</v>
      </c>
      <c r="H378">
        <v>1.3163</v>
      </c>
      <c r="I378">
        <v>24</v>
      </c>
      <c r="J378">
        <v>666</v>
      </c>
      <c r="K378">
        <v>20.2</v>
      </c>
      <c r="L378">
        <v>396.9</v>
      </c>
      <c r="M378">
        <v>13.44</v>
      </c>
      <c r="N378">
        <v>15</v>
      </c>
    </row>
    <row r="379" spans="1:14">
      <c r="A379">
        <v>15.288</v>
      </c>
      <c r="B379">
        <v>0</v>
      </c>
      <c r="C379">
        <v>18.100000000000001</v>
      </c>
      <c r="D379">
        <v>0</v>
      </c>
      <c r="E379">
        <v>0.67100000000000004</v>
      </c>
      <c r="F379">
        <v>6.649</v>
      </c>
      <c r="G379">
        <v>93.3</v>
      </c>
      <c r="H379">
        <v>1.3449</v>
      </c>
      <c r="I379">
        <v>24</v>
      </c>
      <c r="J379">
        <v>666</v>
      </c>
      <c r="K379">
        <v>20.2</v>
      </c>
      <c r="L379">
        <v>363.02</v>
      </c>
      <c r="M379">
        <v>23.24</v>
      </c>
      <c r="N379">
        <v>13.9</v>
      </c>
    </row>
    <row r="380" spans="1:14">
      <c r="A380">
        <v>9.8234899999999996</v>
      </c>
      <c r="B380">
        <v>0</v>
      </c>
      <c r="C380">
        <v>18.100000000000001</v>
      </c>
      <c r="D380">
        <v>0</v>
      </c>
      <c r="E380">
        <v>0.67100000000000004</v>
      </c>
      <c r="F380">
        <v>6.7939999999999996</v>
      </c>
      <c r="G380">
        <v>98.8</v>
      </c>
      <c r="H380">
        <v>1.3580000000000001</v>
      </c>
      <c r="I380">
        <v>24</v>
      </c>
      <c r="J380">
        <v>666</v>
      </c>
      <c r="K380">
        <v>20.2</v>
      </c>
      <c r="L380">
        <v>396.9</v>
      </c>
      <c r="M380">
        <v>21.24</v>
      </c>
      <c r="N380">
        <v>13.3</v>
      </c>
    </row>
    <row r="381" spans="1:14">
      <c r="A381">
        <v>23.648199999999999</v>
      </c>
      <c r="B381">
        <v>0</v>
      </c>
      <c r="C381">
        <v>18.100000000000001</v>
      </c>
      <c r="D381">
        <v>0</v>
      </c>
      <c r="E381">
        <v>0.67100000000000004</v>
      </c>
      <c r="F381">
        <v>6.38</v>
      </c>
      <c r="G381">
        <v>96.2</v>
      </c>
      <c r="H381">
        <v>1.3861000000000001</v>
      </c>
      <c r="I381">
        <v>24</v>
      </c>
      <c r="J381">
        <v>666</v>
      </c>
      <c r="K381">
        <v>20.2</v>
      </c>
      <c r="L381">
        <v>396.9</v>
      </c>
      <c r="M381">
        <v>23.69</v>
      </c>
      <c r="N381">
        <v>13.1</v>
      </c>
    </row>
    <row r="382" spans="1:14">
      <c r="A382">
        <v>17.866700000000002</v>
      </c>
      <c r="B382">
        <v>0</v>
      </c>
      <c r="C382">
        <v>18.100000000000001</v>
      </c>
      <c r="D382">
        <v>0</v>
      </c>
      <c r="E382">
        <v>0.67100000000000004</v>
      </c>
      <c r="F382">
        <v>6.2229999999999999</v>
      </c>
      <c r="G382">
        <v>100</v>
      </c>
      <c r="H382">
        <v>1.3861000000000001</v>
      </c>
      <c r="I382">
        <v>24</v>
      </c>
      <c r="J382">
        <v>666</v>
      </c>
      <c r="K382">
        <v>20.2</v>
      </c>
      <c r="L382">
        <v>393.74</v>
      </c>
      <c r="M382">
        <v>21.78</v>
      </c>
      <c r="N382">
        <v>10.199999999999999</v>
      </c>
    </row>
    <row r="383" spans="1:14">
      <c r="A383">
        <v>88.976200000000006</v>
      </c>
      <c r="B383">
        <v>0</v>
      </c>
      <c r="C383">
        <v>18.100000000000001</v>
      </c>
      <c r="D383">
        <v>0</v>
      </c>
      <c r="E383">
        <v>0.67100000000000004</v>
      </c>
      <c r="F383">
        <v>6.968</v>
      </c>
      <c r="G383">
        <v>91.9</v>
      </c>
      <c r="H383">
        <v>1.4165000000000001</v>
      </c>
      <c r="I383">
        <v>24</v>
      </c>
      <c r="J383">
        <v>666</v>
      </c>
      <c r="K383">
        <v>20.2</v>
      </c>
      <c r="L383">
        <v>396.9</v>
      </c>
      <c r="M383">
        <v>17.21</v>
      </c>
      <c r="N383">
        <v>10.4</v>
      </c>
    </row>
    <row r="384" spans="1:14">
      <c r="A384">
        <v>15.8744</v>
      </c>
      <c r="B384">
        <v>0</v>
      </c>
      <c r="C384">
        <v>18.100000000000001</v>
      </c>
      <c r="D384">
        <v>0</v>
      </c>
      <c r="E384">
        <v>0.67100000000000004</v>
      </c>
      <c r="F384">
        <v>6.5449999999999999</v>
      </c>
      <c r="G384">
        <v>99.1</v>
      </c>
      <c r="H384">
        <v>1.5192000000000001</v>
      </c>
      <c r="I384">
        <v>24</v>
      </c>
      <c r="J384">
        <v>666</v>
      </c>
      <c r="K384">
        <v>20.2</v>
      </c>
      <c r="L384">
        <v>396.9</v>
      </c>
      <c r="M384">
        <v>21.08</v>
      </c>
      <c r="N384">
        <v>10.9</v>
      </c>
    </row>
    <row r="385" spans="1:14">
      <c r="A385">
        <v>9.1870200000000004</v>
      </c>
      <c r="B385">
        <v>0</v>
      </c>
      <c r="C385">
        <v>18.100000000000001</v>
      </c>
      <c r="D385">
        <v>0</v>
      </c>
      <c r="E385">
        <v>0.7</v>
      </c>
      <c r="F385">
        <v>5.5359999999999996</v>
      </c>
      <c r="G385">
        <v>100</v>
      </c>
      <c r="H385">
        <v>1.5804</v>
      </c>
      <c r="I385">
        <v>24</v>
      </c>
      <c r="J385">
        <v>666</v>
      </c>
      <c r="K385">
        <v>20.2</v>
      </c>
      <c r="L385">
        <v>396.9</v>
      </c>
      <c r="M385">
        <v>23.6</v>
      </c>
      <c r="N385">
        <v>11.3</v>
      </c>
    </row>
    <row r="386" spans="1:14">
      <c r="A386">
        <v>7.9924799999999996</v>
      </c>
      <c r="B386">
        <v>0</v>
      </c>
      <c r="C386">
        <v>18.100000000000001</v>
      </c>
      <c r="D386">
        <v>0</v>
      </c>
      <c r="E386">
        <v>0.7</v>
      </c>
      <c r="F386">
        <v>5.52</v>
      </c>
      <c r="G386">
        <v>100</v>
      </c>
      <c r="H386">
        <v>1.5330999999999999</v>
      </c>
      <c r="I386">
        <v>24</v>
      </c>
      <c r="J386">
        <v>666</v>
      </c>
      <c r="K386">
        <v>20.2</v>
      </c>
      <c r="L386">
        <v>396.9</v>
      </c>
      <c r="M386">
        <v>24.56</v>
      </c>
      <c r="N386">
        <v>12.3</v>
      </c>
    </row>
    <row r="387" spans="1:14">
      <c r="A387">
        <v>20.084900000000001</v>
      </c>
      <c r="B387">
        <v>0</v>
      </c>
      <c r="C387">
        <v>18.100000000000001</v>
      </c>
      <c r="D387">
        <v>0</v>
      </c>
      <c r="E387">
        <v>0.7</v>
      </c>
      <c r="F387">
        <v>4.3680000000000003</v>
      </c>
      <c r="G387">
        <v>91.2</v>
      </c>
      <c r="H387">
        <v>1.4395</v>
      </c>
      <c r="I387">
        <v>24</v>
      </c>
      <c r="J387">
        <v>666</v>
      </c>
      <c r="K387">
        <v>20.2</v>
      </c>
      <c r="L387">
        <v>285.83</v>
      </c>
      <c r="M387">
        <v>30.63</v>
      </c>
      <c r="N387">
        <v>8.8000000000000007</v>
      </c>
    </row>
    <row r="388" spans="1:14">
      <c r="A388">
        <v>16.811800000000002</v>
      </c>
      <c r="B388">
        <v>0</v>
      </c>
      <c r="C388">
        <v>18.100000000000001</v>
      </c>
      <c r="D388">
        <v>0</v>
      </c>
      <c r="E388">
        <v>0.7</v>
      </c>
      <c r="F388">
        <v>5.2770000000000001</v>
      </c>
      <c r="G388">
        <v>98.1</v>
      </c>
      <c r="H388">
        <v>1.4260999999999999</v>
      </c>
      <c r="I388">
        <v>24</v>
      </c>
      <c r="J388">
        <v>666</v>
      </c>
      <c r="K388">
        <v>20.2</v>
      </c>
      <c r="L388">
        <v>396.9</v>
      </c>
      <c r="M388">
        <v>30.81</v>
      </c>
      <c r="N388">
        <v>7.2</v>
      </c>
    </row>
    <row r="389" spans="1:14">
      <c r="A389">
        <v>24.393799999999999</v>
      </c>
      <c r="B389">
        <v>0</v>
      </c>
      <c r="C389">
        <v>18.100000000000001</v>
      </c>
      <c r="D389">
        <v>0</v>
      </c>
      <c r="E389">
        <v>0.7</v>
      </c>
      <c r="F389">
        <v>4.6520000000000001</v>
      </c>
      <c r="G389">
        <v>100</v>
      </c>
      <c r="H389">
        <v>1.4672000000000001</v>
      </c>
      <c r="I389">
        <v>24</v>
      </c>
      <c r="J389">
        <v>666</v>
      </c>
      <c r="K389">
        <v>20.2</v>
      </c>
      <c r="L389">
        <v>396.9</v>
      </c>
      <c r="M389">
        <v>28.28</v>
      </c>
      <c r="N389">
        <v>10.5</v>
      </c>
    </row>
    <row r="390" spans="1:14">
      <c r="A390">
        <v>22.597100000000001</v>
      </c>
      <c r="B390">
        <v>0</v>
      </c>
      <c r="C390">
        <v>18.100000000000001</v>
      </c>
      <c r="D390">
        <v>0</v>
      </c>
      <c r="E390">
        <v>0.7</v>
      </c>
      <c r="F390">
        <v>5</v>
      </c>
      <c r="G390">
        <v>89.5</v>
      </c>
      <c r="H390">
        <v>1.5184</v>
      </c>
      <c r="I390">
        <v>24</v>
      </c>
      <c r="J390">
        <v>666</v>
      </c>
      <c r="K390">
        <v>20.2</v>
      </c>
      <c r="L390">
        <v>396.9</v>
      </c>
      <c r="M390">
        <v>31.99</v>
      </c>
      <c r="N390">
        <v>7.4</v>
      </c>
    </row>
    <row r="391" spans="1:14">
      <c r="A391">
        <v>14.3337</v>
      </c>
      <c r="B391">
        <v>0</v>
      </c>
      <c r="C391">
        <v>18.100000000000001</v>
      </c>
      <c r="D391">
        <v>0</v>
      </c>
      <c r="E391">
        <v>0.7</v>
      </c>
      <c r="F391">
        <v>4.88</v>
      </c>
      <c r="G391">
        <v>100</v>
      </c>
      <c r="H391">
        <v>1.5894999999999999</v>
      </c>
      <c r="I391">
        <v>24</v>
      </c>
      <c r="J391">
        <v>666</v>
      </c>
      <c r="K391">
        <v>20.2</v>
      </c>
      <c r="L391">
        <v>372.92</v>
      </c>
      <c r="M391">
        <v>30.62</v>
      </c>
      <c r="N391">
        <v>10.199999999999999</v>
      </c>
    </row>
    <row r="392" spans="1:14">
      <c r="A392">
        <v>8.1517400000000002</v>
      </c>
      <c r="B392">
        <v>0</v>
      </c>
      <c r="C392">
        <v>18.100000000000001</v>
      </c>
      <c r="D392">
        <v>0</v>
      </c>
      <c r="E392">
        <v>0.7</v>
      </c>
      <c r="F392">
        <v>5.39</v>
      </c>
      <c r="G392">
        <v>98.9</v>
      </c>
      <c r="H392">
        <v>1.7281</v>
      </c>
      <c r="I392">
        <v>24</v>
      </c>
      <c r="J392">
        <v>666</v>
      </c>
      <c r="K392">
        <v>20.2</v>
      </c>
      <c r="L392">
        <v>396.9</v>
      </c>
      <c r="M392">
        <v>20.85</v>
      </c>
      <c r="N392">
        <v>11.5</v>
      </c>
    </row>
    <row r="393" spans="1:14">
      <c r="A393">
        <v>6.9621500000000003</v>
      </c>
      <c r="B393">
        <v>0</v>
      </c>
      <c r="C393">
        <v>18.100000000000001</v>
      </c>
      <c r="D393">
        <v>0</v>
      </c>
      <c r="E393">
        <v>0.7</v>
      </c>
      <c r="F393">
        <v>5.7130000000000001</v>
      </c>
      <c r="G393">
        <v>97</v>
      </c>
      <c r="H393">
        <v>1.9265000000000001</v>
      </c>
      <c r="I393">
        <v>24</v>
      </c>
      <c r="J393">
        <v>666</v>
      </c>
      <c r="K393">
        <v>20.2</v>
      </c>
      <c r="L393">
        <v>394.43</v>
      </c>
      <c r="M393">
        <v>17.11</v>
      </c>
      <c r="N393">
        <v>15.1</v>
      </c>
    </row>
    <row r="394" spans="1:14">
      <c r="A394">
        <v>5.29305</v>
      </c>
      <c r="B394">
        <v>0</v>
      </c>
      <c r="C394">
        <v>18.100000000000001</v>
      </c>
      <c r="D394">
        <v>0</v>
      </c>
      <c r="E394">
        <v>0.7</v>
      </c>
      <c r="F394">
        <v>6.0510000000000002</v>
      </c>
      <c r="G394">
        <v>82.5</v>
      </c>
      <c r="H394">
        <v>2.1678000000000002</v>
      </c>
      <c r="I394">
        <v>24</v>
      </c>
      <c r="J394">
        <v>666</v>
      </c>
      <c r="K394">
        <v>20.2</v>
      </c>
      <c r="L394">
        <v>378.38</v>
      </c>
      <c r="M394">
        <v>18.760000000000002</v>
      </c>
      <c r="N394">
        <v>23.2</v>
      </c>
    </row>
    <row r="395" spans="1:14">
      <c r="A395">
        <v>11.5779</v>
      </c>
      <c r="B395">
        <v>0</v>
      </c>
      <c r="C395">
        <v>18.100000000000001</v>
      </c>
      <c r="D395">
        <v>0</v>
      </c>
      <c r="E395">
        <v>0.7</v>
      </c>
      <c r="F395">
        <v>5.0359999999999996</v>
      </c>
      <c r="G395">
        <v>97</v>
      </c>
      <c r="H395">
        <v>1.77</v>
      </c>
      <c r="I395">
        <v>24</v>
      </c>
      <c r="J395">
        <v>666</v>
      </c>
      <c r="K395">
        <v>20.2</v>
      </c>
      <c r="L395">
        <v>396.9</v>
      </c>
      <c r="M395">
        <v>25.68</v>
      </c>
      <c r="N395">
        <v>9.6999999999999993</v>
      </c>
    </row>
    <row r="396" spans="1:14">
      <c r="A396">
        <v>8.6447599999999998</v>
      </c>
      <c r="B396">
        <v>0</v>
      </c>
      <c r="C396">
        <v>18.100000000000001</v>
      </c>
      <c r="D396">
        <v>0</v>
      </c>
      <c r="E396">
        <v>0.69299999999999995</v>
      </c>
      <c r="F396">
        <v>6.1929999999999996</v>
      </c>
      <c r="G396">
        <v>92.6</v>
      </c>
      <c r="H396">
        <v>1.7911999999999999</v>
      </c>
      <c r="I396">
        <v>24</v>
      </c>
      <c r="J396">
        <v>666</v>
      </c>
      <c r="K396">
        <v>20.2</v>
      </c>
      <c r="L396">
        <v>396.9</v>
      </c>
      <c r="M396">
        <v>15.17</v>
      </c>
      <c r="N396">
        <v>13.8</v>
      </c>
    </row>
    <row r="397" spans="1:14">
      <c r="A397">
        <v>13.3598</v>
      </c>
      <c r="B397">
        <v>0</v>
      </c>
      <c r="C397">
        <v>18.100000000000001</v>
      </c>
      <c r="D397">
        <v>0</v>
      </c>
      <c r="E397">
        <v>0.69299999999999995</v>
      </c>
      <c r="F397">
        <v>5.8869999999999996</v>
      </c>
      <c r="G397">
        <v>94.7</v>
      </c>
      <c r="H397">
        <v>1.7821</v>
      </c>
      <c r="I397">
        <v>24</v>
      </c>
      <c r="J397">
        <v>666</v>
      </c>
      <c r="K397">
        <v>20.2</v>
      </c>
      <c r="L397">
        <v>396.9</v>
      </c>
      <c r="M397">
        <v>16.350000000000001</v>
      </c>
      <c r="N397">
        <v>12.7</v>
      </c>
    </row>
    <row r="398" spans="1:14">
      <c r="A398">
        <v>8.7167499999999993</v>
      </c>
      <c r="B398">
        <v>0</v>
      </c>
      <c r="C398">
        <v>18.100000000000001</v>
      </c>
      <c r="D398">
        <v>0</v>
      </c>
      <c r="E398">
        <v>0.69299999999999995</v>
      </c>
      <c r="F398">
        <v>6.4710000000000001</v>
      </c>
      <c r="G398">
        <v>98.8</v>
      </c>
      <c r="H398">
        <v>1.7257</v>
      </c>
      <c r="I398">
        <v>24</v>
      </c>
      <c r="J398">
        <v>666</v>
      </c>
      <c r="K398">
        <v>20.2</v>
      </c>
      <c r="L398">
        <v>391.98</v>
      </c>
      <c r="M398">
        <v>17.12</v>
      </c>
      <c r="N398">
        <v>13.1</v>
      </c>
    </row>
    <row r="399" spans="1:14">
      <c r="A399">
        <v>5.8720499999999998</v>
      </c>
      <c r="B399">
        <v>0</v>
      </c>
      <c r="C399">
        <v>18.100000000000001</v>
      </c>
      <c r="D399">
        <v>0</v>
      </c>
      <c r="E399">
        <v>0.69299999999999995</v>
      </c>
      <c r="F399">
        <v>6.4050000000000002</v>
      </c>
      <c r="G399">
        <v>96</v>
      </c>
      <c r="H399">
        <v>1.6768000000000001</v>
      </c>
      <c r="I399">
        <v>24</v>
      </c>
      <c r="J399">
        <v>666</v>
      </c>
      <c r="K399">
        <v>20.2</v>
      </c>
      <c r="L399">
        <v>396.9</v>
      </c>
      <c r="M399">
        <v>19.37</v>
      </c>
      <c r="N399">
        <v>12.5</v>
      </c>
    </row>
    <row r="400" spans="1:14">
      <c r="A400">
        <v>7.6720199999999998</v>
      </c>
      <c r="B400">
        <v>0</v>
      </c>
      <c r="C400">
        <v>18.100000000000001</v>
      </c>
      <c r="D400">
        <v>0</v>
      </c>
      <c r="E400">
        <v>0.69299999999999995</v>
      </c>
      <c r="F400">
        <v>5.7469999999999999</v>
      </c>
      <c r="G400">
        <v>98.9</v>
      </c>
      <c r="H400">
        <v>1.6334</v>
      </c>
      <c r="I400">
        <v>24</v>
      </c>
      <c r="J400">
        <v>666</v>
      </c>
      <c r="K400">
        <v>20.2</v>
      </c>
      <c r="L400">
        <v>393.1</v>
      </c>
      <c r="M400">
        <v>19.920000000000002</v>
      </c>
      <c r="N400">
        <v>8.5</v>
      </c>
    </row>
    <row r="401" spans="1:14">
      <c r="A401">
        <v>38.351799999999997</v>
      </c>
      <c r="B401">
        <v>0</v>
      </c>
      <c r="C401">
        <v>18.100000000000001</v>
      </c>
      <c r="D401">
        <v>0</v>
      </c>
      <c r="E401">
        <v>0.69299999999999995</v>
      </c>
      <c r="F401">
        <v>5.4530000000000003</v>
      </c>
      <c r="G401">
        <v>100</v>
      </c>
      <c r="H401">
        <v>1.4896</v>
      </c>
      <c r="I401">
        <v>24</v>
      </c>
      <c r="J401">
        <v>666</v>
      </c>
      <c r="K401">
        <v>20.2</v>
      </c>
      <c r="L401">
        <v>396.9</v>
      </c>
      <c r="M401">
        <v>30.59</v>
      </c>
      <c r="N401">
        <v>5</v>
      </c>
    </row>
    <row r="402" spans="1:14">
      <c r="A402">
        <v>9.9165500000000009</v>
      </c>
      <c r="B402">
        <v>0</v>
      </c>
      <c r="C402">
        <v>18.100000000000001</v>
      </c>
      <c r="D402">
        <v>0</v>
      </c>
      <c r="E402">
        <v>0.69299999999999995</v>
      </c>
      <c r="F402">
        <v>5.8520000000000003</v>
      </c>
      <c r="G402">
        <v>77.8</v>
      </c>
      <c r="H402">
        <v>1.5004</v>
      </c>
      <c r="I402">
        <v>24</v>
      </c>
      <c r="J402">
        <v>666</v>
      </c>
      <c r="K402">
        <v>20.2</v>
      </c>
      <c r="L402">
        <v>338.16</v>
      </c>
      <c r="M402">
        <v>29.97</v>
      </c>
      <c r="N402">
        <v>6.3</v>
      </c>
    </row>
    <row r="403" spans="1:14">
      <c r="A403">
        <v>25.046099999999999</v>
      </c>
      <c r="B403">
        <v>0</v>
      </c>
      <c r="C403">
        <v>18.100000000000001</v>
      </c>
      <c r="D403">
        <v>0</v>
      </c>
      <c r="E403">
        <v>0.69299999999999995</v>
      </c>
      <c r="F403">
        <v>5.9870000000000001</v>
      </c>
      <c r="G403">
        <v>100</v>
      </c>
      <c r="H403">
        <v>1.5888</v>
      </c>
      <c r="I403">
        <v>24</v>
      </c>
      <c r="J403">
        <v>666</v>
      </c>
      <c r="K403">
        <v>20.2</v>
      </c>
      <c r="L403">
        <v>396.9</v>
      </c>
      <c r="M403">
        <v>26.77</v>
      </c>
      <c r="N403">
        <v>5.6</v>
      </c>
    </row>
    <row r="404" spans="1:14">
      <c r="A404">
        <v>14.2362</v>
      </c>
      <c r="B404">
        <v>0</v>
      </c>
      <c r="C404">
        <v>18.100000000000001</v>
      </c>
      <c r="D404">
        <v>0</v>
      </c>
      <c r="E404">
        <v>0.69299999999999995</v>
      </c>
      <c r="F404">
        <v>6.343</v>
      </c>
      <c r="G404">
        <v>100</v>
      </c>
      <c r="H404">
        <v>1.5741000000000001</v>
      </c>
      <c r="I404">
        <v>24</v>
      </c>
      <c r="J404">
        <v>666</v>
      </c>
      <c r="K404">
        <v>20.2</v>
      </c>
      <c r="L404">
        <v>396.9</v>
      </c>
      <c r="M404">
        <v>20.32</v>
      </c>
      <c r="N404">
        <v>7.2</v>
      </c>
    </row>
    <row r="405" spans="1:14">
      <c r="A405">
        <v>9.5957100000000004</v>
      </c>
      <c r="B405">
        <v>0</v>
      </c>
      <c r="C405">
        <v>18.100000000000001</v>
      </c>
      <c r="D405">
        <v>0</v>
      </c>
      <c r="E405">
        <v>0.69299999999999995</v>
      </c>
      <c r="F405">
        <v>6.4039999999999999</v>
      </c>
      <c r="G405">
        <v>100</v>
      </c>
      <c r="H405">
        <v>1.639</v>
      </c>
      <c r="I405">
        <v>24</v>
      </c>
      <c r="J405">
        <v>666</v>
      </c>
      <c r="K405">
        <v>20.2</v>
      </c>
      <c r="L405">
        <v>376.11</v>
      </c>
      <c r="M405">
        <v>20.309999999999999</v>
      </c>
      <c r="N405">
        <v>12.1</v>
      </c>
    </row>
    <row r="406" spans="1:14">
      <c r="A406">
        <v>24.8017</v>
      </c>
      <c r="B406">
        <v>0</v>
      </c>
      <c r="C406">
        <v>18.100000000000001</v>
      </c>
      <c r="D406">
        <v>0</v>
      </c>
      <c r="E406">
        <v>0.69299999999999995</v>
      </c>
      <c r="F406">
        <v>5.3490000000000002</v>
      </c>
      <c r="G406">
        <v>96</v>
      </c>
      <c r="H406">
        <v>1.7028000000000001</v>
      </c>
      <c r="I406">
        <v>24</v>
      </c>
      <c r="J406">
        <v>666</v>
      </c>
      <c r="K406">
        <v>20.2</v>
      </c>
      <c r="L406">
        <v>396.9</v>
      </c>
      <c r="M406">
        <v>19.77</v>
      </c>
      <c r="N406">
        <v>8.3000000000000007</v>
      </c>
    </row>
    <row r="407" spans="1:14">
      <c r="A407">
        <v>41.529200000000003</v>
      </c>
      <c r="B407">
        <v>0</v>
      </c>
      <c r="C407">
        <v>18.100000000000001</v>
      </c>
      <c r="D407">
        <v>0</v>
      </c>
      <c r="E407">
        <v>0.69299999999999995</v>
      </c>
      <c r="F407">
        <v>5.5309999999999997</v>
      </c>
      <c r="G407">
        <v>85.4</v>
      </c>
      <c r="H407">
        <v>1.6073999999999999</v>
      </c>
      <c r="I407">
        <v>24</v>
      </c>
      <c r="J407">
        <v>666</v>
      </c>
      <c r="K407">
        <v>20.2</v>
      </c>
      <c r="L407">
        <v>329.46</v>
      </c>
      <c r="M407">
        <v>27.38</v>
      </c>
      <c r="N407">
        <v>8.5</v>
      </c>
    </row>
    <row r="408" spans="1:14">
      <c r="A408">
        <v>67.9208</v>
      </c>
      <c r="B408">
        <v>0</v>
      </c>
      <c r="C408">
        <v>18.100000000000001</v>
      </c>
      <c r="D408">
        <v>0</v>
      </c>
      <c r="E408">
        <v>0.69299999999999995</v>
      </c>
      <c r="F408">
        <v>5.6829999999999998</v>
      </c>
      <c r="G408">
        <v>100</v>
      </c>
      <c r="H408">
        <v>1.4254</v>
      </c>
      <c r="I408">
        <v>24</v>
      </c>
      <c r="J408">
        <v>666</v>
      </c>
      <c r="K408">
        <v>20.2</v>
      </c>
      <c r="L408">
        <v>384.97</v>
      </c>
      <c r="M408">
        <v>22.98</v>
      </c>
      <c r="N408">
        <v>5</v>
      </c>
    </row>
    <row r="409" spans="1:14">
      <c r="A409">
        <v>20.716200000000001</v>
      </c>
      <c r="B409">
        <v>0</v>
      </c>
      <c r="C409">
        <v>18.100000000000001</v>
      </c>
      <c r="D409">
        <v>0</v>
      </c>
      <c r="E409">
        <v>0.65900000000000003</v>
      </c>
      <c r="F409">
        <v>4.1379999999999999</v>
      </c>
      <c r="G409">
        <v>100</v>
      </c>
      <c r="H409">
        <v>1.1780999999999999</v>
      </c>
      <c r="I409">
        <v>24</v>
      </c>
      <c r="J409">
        <v>666</v>
      </c>
      <c r="K409">
        <v>20.2</v>
      </c>
      <c r="L409">
        <v>370.22</v>
      </c>
      <c r="M409">
        <v>23.34</v>
      </c>
      <c r="N409">
        <v>11.9</v>
      </c>
    </row>
    <row r="410" spans="1:14">
      <c r="A410">
        <v>11.9511</v>
      </c>
      <c r="B410">
        <v>0</v>
      </c>
      <c r="C410">
        <v>18.100000000000001</v>
      </c>
      <c r="D410">
        <v>0</v>
      </c>
      <c r="E410">
        <v>0.65900000000000003</v>
      </c>
      <c r="F410">
        <v>5.6079999999999997</v>
      </c>
      <c r="G410">
        <v>100</v>
      </c>
      <c r="H410">
        <v>1.2851999999999999</v>
      </c>
      <c r="I410">
        <v>24</v>
      </c>
      <c r="J410">
        <v>666</v>
      </c>
      <c r="K410">
        <v>20.2</v>
      </c>
      <c r="L410">
        <v>332.09</v>
      </c>
      <c r="M410">
        <v>12.13</v>
      </c>
      <c r="N410">
        <v>27.9</v>
      </c>
    </row>
    <row r="411" spans="1:14">
      <c r="A411">
        <v>7.4038899999999996</v>
      </c>
      <c r="B411">
        <v>0</v>
      </c>
      <c r="C411">
        <v>18.100000000000001</v>
      </c>
      <c r="D411">
        <v>0</v>
      </c>
      <c r="E411">
        <v>0.59699999999999998</v>
      </c>
      <c r="F411">
        <v>5.617</v>
      </c>
      <c r="G411">
        <v>97.9</v>
      </c>
      <c r="H411">
        <v>1.4547000000000001</v>
      </c>
      <c r="I411">
        <v>24</v>
      </c>
      <c r="J411">
        <v>666</v>
      </c>
      <c r="K411">
        <v>20.2</v>
      </c>
      <c r="L411">
        <v>314.64</v>
      </c>
      <c r="M411">
        <v>26.4</v>
      </c>
      <c r="N411">
        <v>17.2</v>
      </c>
    </row>
    <row r="412" spans="1:14">
      <c r="A412">
        <v>14.4383</v>
      </c>
      <c r="B412">
        <v>0</v>
      </c>
      <c r="C412">
        <v>18.100000000000001</v>
      </c>
      <c r="D412">
        <v>0</v>
      </c>
      <c r="E412">
        <v>0.59699999999999998</v>
      </c>
      <c r="F412">
        <v>6.8520000000000003</v>
      </c>
      <c r="G412">
        <v>100</v>
      </c>
      <c r="H412">
        <v>1.4655</v>
      </c>
      <c r="I412">
        <v>24</v>
      </c>
      <c r="J412">
        <v>666</v>
      </c>
      <c r="K412">
        <v>20.2</v>
      </c>
      <c r="L412">
        <v>179.36</v>
      </c>
      <c r="M412">
        <v>19.78</v>
      </c>
      <c r="N412">
        <v>27.5</v>
      </c>
    </row>
    <row r="413" spans="1:14">
      <c r="A413">
        <v>51.135800000000003</v>
      </c>
      <c r="B413">
        <v>0</v>
      </c>
      <c r="C413">
        <v>18.100000000000001</v>
      </c>
      <c r="D413">
        <v>0</v>
      </c>
      <c r="E413">
        <v>0.59699999999999998</v>
      </c>
      <c r="F413">
        <v>5.7569999999999997</v>
      </c>
      <c r="G413">
        <v>100</v>
      </c>
      <c r="H413">
        <v>1.413</v>
      </c>
      <c r="I413">
        <v>24</v>
      </c>
      <c r="J413">
        <v>666</v>
      </c>
      <c r="K413">
        <v>20.2</v>
      </c>
      <c r="L413">
        <v>2.6</v>
      </c>
      <c r="M413">
        <v>10.11</v>
      </c>
      <c r="N413">
        <v>15</v>
      </c>
    </row>
    <row r="414" spans="1:14">
      <c r="A414">
        <v>14.050700000000001</v>
      </c>
      <c r="B414">
        <v>0</v>
      </c>
      <c r="C414">
        <v>18.100000000000001</v>
      </c>
      <c r="D414">
        <v>0</v>
      </c>
      <c r="E414">
        <v>0.59699999999999998</v>
      </c>
      <c r="F414">
        <v>6.657</v>
      </c>
      <c r="G414">
        <v>100</v>
      </c>
      <c r="H414">
        <v>1.5275000000000001</v>
      </c>
      <c r="I414">
        <v>24</v>
      </c>
      <c r="J414">
        <v>666</v>
      </c>
      <c r="K414">
        <v>20.2</v>
      </c>
      <c r="L414">
        <v>35.049999999999997</v>
      </c>
      <c r="M414">
        <v>21.22</v>
      </c>
      <c r="N414">
        <v>17.2</v>
      </c>
    </row>
    <row r="415" spans="1:14">
      <c r="A415">
        <v>18.811</v>
      </c>
      <c r="B415">
        <v>0</v>
      </c>
      <c r="C415">
        <v>18.100000000000001</v>
      </c>
      <c r="D415">
        <v>0</v>
      </c>
      <c r="E415">
        <v>0.59699999999999998</v>
      </c>
      <c r="F415">
        <v>4.6280000000000001</v>
      </c>
      <c r="G415">
        <v>100</v>
      </c>
      <c r="H415">
        <v>1.5539000000000001</v>
      </c>
      <c r="I415">
        <v>24</v>
      </c>
      <c r="J415">
        <v>666</v>
      </c>
      <c r="K415">
        <v>20.2</v>
      </c>
      <c r="L415">
        <v>28.79</v>
      </c>
      <c r="M415">
        <v>34.369999999999997</v>
      </c>
      <c r="N415">
        <v>17.899999999999999</v>
      </c>
    </row>
    <row r="416" spans="1:14">
      <c r="A416">
        <v>28.655799999999999</v>
      </c>
      <c r="B416">
        <v>0</v>
      </c>
      <c r="C416">
        <v>18.100000000000001</v>
      </c>
      <c r="D416">
        <v>0</v>
      </c>
      <c r="E416">
        <v>0.59699999999999998</v>
      </c>
      <c r="F416">
        <v>5.1550000000000002</v>
      </c>
      <c r="G416">
        <v>100</v>
      </c>
      <c r="H416">
        <v>1.5893999999999999</v>
      </c>
      <c r="I416">
        <v>24</v>
      </c>
      <c r="J416">
        <v>666</v>
      </c>
      <c r="K416">
        <v>20.2</v>
      </c>
      <c r="L416">
        <v>210.97</v>
      </c>
      <c r="M416">
        <v>20.079999999999998</v>
      </c>
      <c r="N416">
        <v>16.3</v>
      </c>
    </row>
    <row r="417" spans="1:14">
      <c r="A417">
        <v>45.746099999999998</v>
      </c>
      <c r="B417">
        <v>0</v>
      </c>
      <c r="C417">
        <v>18.100000000000001</v>
      </c>
      <c r="D417">
        <v>0</v>
      </c>
      <c r="E417">
        <v>0.69299999999999995</v>
      </c>
      <c r="F417">
        <v>4.5190000000000001</v>
      </c>
      <c r="G417">
        <v>100</v>
      </c>
      <c r="H417">
        <v>1.6581999999999999</v>
      </c>
      <c r="I417">
        <v>24</v>
      </c>
      <c r="J417">
        <v>666</v>
      </c>
      <c r="K417">
        <v>20.2</v>
      </c>
      <c r="L417">
        <v>88.27</v>
      </c>
      <c r="M417">
        <v>36.979999999999997</v>
      </c>
      <c r="N417">
        <v>7</v>
      </c>
    </row>
    <row r="418" spans="1:14">
      <c r="A418">
        <v>18.084599999999998</v>
      </c>
      <c r="B418">
        <v>0</v>
      </c>
      <c r="C418">
        <v>18.100000000000001</v>
      </c>
      <c r="D418">
        <v>0</v>
      </c>
      <c r="E418">
        <v>0.67900000000000005</v>
      </c>
      <c r="F418">
        <v>6.4340000000000002</v>
      </c>
      <c r="G418">
        <v>100</v>
      </c>
      <c r="H418">
        <v>1.8347</v>
      </c>
      <c r="I418">
        <v>24</v>
      </c>
      <c r="J418">
        <v>666</v>
      </c>
      <c r="K418">
        <v>20.2</v>
      </c>
      <c r="L418">
        <v>27.25</v>
      </c>
      <c r="M418">
        <v>29.05</v>
      </c>
      <c r="N418">
        <v>7.2</v>
      </c>
    </row>
    <row r="419" spans="1:14">
      <c r="A419">
        <v>10.834199999999999</v>
      </c>
      <c r="B419">
        <v>0</v>
      </c>
      <c r="C419">
        <v>18.100000000000001</v>
      </c>
      <c r="D419">
        <v>0</v>
      </c>
      <c r="E419">
        <v>0.67900000000000005</v>
      </c>
      <c r="F419">
        <v>6.782</v>
      </c>
      <c r="G419">
        <v>90.8</v>
      </c>
      <c r="H419">
        <v>1.8194999999999999</v>
      </c>
      <c r="I419">
        <v>24</v>
      </c>
      <c r="J419">
        <v>666</v>
      </c>
      <c r="K419">
        <v>20.2</v>
      </c>
      <c r="L419">
        <v>21.57</v>
      </c>
      <c r="M419">
        <v>25.79</v>
      </c>
      <c r="N419">
        <v>7.5</v>
      </c>
    </row>
    <row r="420" spans="1:14">
      <c r="A420">
        <v>25.9406</v>
      </c>
      <c r="B420">
        <v>0</v>
      </c>
      <c r="C420">
        <v>18.100000000000001</v>
      </c>
      <c r="D420">
        <v>0</v>
      </c>
      <c r="E420">
        <v>0.67900000000000005</v>
      </c>
      <c r="F420">
        <v>5.3040000000000003</v>
      </c>
      <c r="G420">
        <v>89.1</v>
      </c>
      <c r="H420">
        <v>1.6475</v>
      </c>
      <c r="I420">
        <v>24</v>
      </c>
      <c r="J420">
        <v>666</v>
      </c>
      <c r="K420">
        <v>20.2</v>
      </c>
      <c r="L420">
        <v>127.36</v>
      </c>
      <c r="M420">
        <v>26.64</v>
      </c>
      <c r="N420">
        <v>10.4</v>
      </c>
    </row>
    <row r="421" spans="1:14">
      <c r="A421">
        <v>73.534099999999995</v>
      </c>
      <c r="B421">
        <v>0</v>
      </c>
      <c r="C421">
        <v>18.100000000000001</v>
      </c>
      <c r="D421">
        <v>0</v>
      </c>
      <c r="E421">
        <v>0.67900000000000005</v>
      </c>
      <c r="F421">
        <v>5.9569999999999999</v>
      </c>
      <c r="G421">
        <v>100</v>
      </c>
      <c r="H421">
        <v>1.8026</v>
      </c>
      <c r="I421">
        <v>24</v>
      </c>
      <c r="J421">
        <v>666</v>
      </c>
      <c r="K421">
        <v>20.2</v>
      </c>
      <c r="L421">
        <v>16.45</v>
      </c>
      <c r="M421">
        <v>20.62</v>
      </c>
      <c r="N421">
        <v>8.8000000000000007</v>
      </c>
    </row>
    <row r="422" spans="1:14">
      <c r="A422">
        <v>11.8123</v>
      </c>
      <c r="B422">
        <v>0</v>
      </c>
      <c r="C422">
        <v>18.100000000000001</v>
      </c>
      <c r="D422">
        <v>0</v>
      </c>
      <c r="E422">
        <v>0.71799999999999997</v>
      </c>
      <c r="F422">
        <v>6.8239999999999998</v>
      </c>
      <c r="G422">
        <v>76.5</v>
      </c>
      <c r="H422">
        <v>1.794</v>
      </c>
      <c r="I422">
        <v>24</v>
      </c>
      <c r="J422">
        <v>666</v>
      </c>
      <c r="K422">
        <v>20.2</v>
      </c>
      <c r="L422">
        <v>48.45</v>
      </c>
      <c r="M422">
        <v>22.74</v>
      </c>
      <c r="N422">
        <v>8.4</v>
      </c>
    </row>
    <row r="423" spans="1:14">
      <c r="A423">
        <v>11.087400000000001</v>
      </c>
      <c r="B423">
        <v>0</v>
      </c>
      <c r="C423">
        <v>18.100000000000001</v>
      </c>
      <c r="D423">
        <v>0</v>
      </c>
      <c r="E423">
        <v>0.71799999999999997</v>
      </c>
      <c r="F423">
        <v>6.4109999999999996</v>
      </c>
      <c r="G423">
        <v>100</v>
      </c>
      <c r="H423">
        <v>1.8589</v>
      </c>
      <c r="I423">
        <v>24</v>
      </c>
      <c r="J423">
        <v>666</v>
      </c>
      <c r="K423">
        <v>20.2</v>
      </c>
      <c r="L423">
        <v>318.75</v>
      </c>
      <c r="M423">
        <v>15.02</v>
      </c>
      <c r="N423">
        <v>16.7</v>
      </c>
    </row>
    <row r="424" spans="1:14">
      <c r="A424">
        <v>7.0225900000000001</v>
      </c>
      <c r="B424">
        <v>0</v>
      </c>
      <c r="C424">
        <v>18.100000000000001</v>
      </c>
      <c r="D424">
        <v>0</v>
      </c>
      <c r="E424">
        <v>0.71799999999999997</v>
      </c>
      <c r="F424">
        <v>6.0060000000000002</v>
      </c>
      <c r="G424">
        <v>95.3</v>
      </c>
      <c r="H424">
        <v>1.8746</v>
      </c>
      <c r="I424">
        <v>24</v>
      </c>
      <c r="J424">
        <v>666</v>
      </c>
      <c r="K424">
        <v>20.2</v>
      </c>
      <c r="L424">
        <v>319.98</v>
      </c>
      <c r="M424">
        <v>15.7</v>
      </c>
      <c r="N424">
        <v>14.2</v>
      </c>
    </row>
    <row r="425" spans="1:14">
      <c r="A425">
        <v>12.0482</v>
      </c>
      <c r="B425">
        <v>0</v>
      </c>
      <c r="C425">
        <v>18.100000000000001</v>
      </c>
      <c r="D425">
        <v>0</v>
      </c>
      <c r="E425">
        <v>0.61399999999999999</v>
      </c>
      <c r="F425">
        <v>5.6479999999999997</v>
      </c>
      <c r="G425">
        <v>87.6</v>
      </c>
      <c r="H425">
        <v>1.9512</v>
      </c>
      <c r="I425">
        <v>24</v>
      </c>
      <c r="J425">
        <v>666</v>
      </c>
      <c r="K425">
        <v>20.2</v>
      </c>
      <c r="L425">
        <v>291.55</v>
      </c>
      <c r="M425">
        <v>14.1</v>
      </c>
      <c r="N425">
        <v>20.8</v>
      </c>
    </row>
    <row r="426" spans="1:14">
      <c r="A426">
        <v>7.0504199999999999</v>
      </c>
      <c r="B426">
        <v>0</v>
      </c>
      <c r="C426">
        <v>18.100000000000001</v>
      </c>
      <c r="D426">
        <v>0</v>
      </c>
      <c r="E426">
        <v>0.61399999999999999</v>
      </c>
      <c r="F426">
        <v>6.1029999999999998</v>
      </c>
      <c r="G426">
        <v>85.1</v>
      </c>
      <c r="H426">
        <v>2.0217999999999998</v>
      </c>
      <c r="I426">
        <v>24</v>
      </c>
      <c r="J426">
        <v>666</v>
      </c>
      <c r="K426">
        <v>20.2</v>
      </c>
      <c r="L426">
        <v>2.52</v>
      </c>
      <c r="M426">
        <v>23.29</v>
      </c>
      <c r="N426">
        <v>13.4</v>
      </c>
    </row>
    <row r="427" spans="1:14">
      <c r="A427">
        <v>8.7921200000000006</v>
      </c>
      <c r="B427">
        <v>0</v>
      </c>
      <c r="C427">
        <v>18.100000000000001</v>
      </c>
      <c r="D427">
        <v>0</v>
      </c>
      <c r="E427">
        <v>0.58399999999999996</v>
      </c>
      <c r="F427">
        <v>5.5650000000000004</v>
      </c>
      <c r="G427">
        <v>70.599999999999994</v>
      </c>
      <c r="H427">
        <v>2.0634999999999999</v>
      </c>
      <c r="I427">
        <v>24</v>
      </c>
      <c r="J427">
        <v>666</v>
      </c>
      <c r="K427">
        <v>20.2</v>
      </c>
      <c r="L427">
        <v>3.65</v>
      </c>
      <c r="M427">
        <v>17.16</v>
      </c>
      <c r="N427">
        <v>11.7</v>
      </c>
    </row>
    <row r="428" spans="1:14">
      <c r="A428">
        <v>15.860300000000001</v>
      </c>
      <c r="B428">
        <v>0</v>
      </c>
      <c r="C428">
        <v>18.100000000000001</v>
      </c>
      <c r="D428">
        <v>0</v>
      </c>
      <c r="E428">
        <v>0.67900000000000005</v>
      </c>
      <c r="F428">
        <v>5.8959999999999999</v>
      </c>
      <c r="G428">
        <v>95.4</v>
      </c>
      <c r="H428">
        <v>1.9096</v>
      </c>
      <c r="I428">
        <v>24</v>
      </c>
      <c r="J428">
        <v>666</v>
      </c>
      <c r="K428">
        <v>20.2</v>
      </c>
      <c r="L428">
        <v>7.68</v>
      </c>
      <c r="M428">
        <v>24.39</v>
      </c>
      <c r="N428">
        <v>8.3000000000000007</v>
      </c>
    </row>
    <row r="429" spans="1:14">
      <c r="A429">
        <v>12.247199999999999</v>
      </c>
      <c r="B429">
        <v>0</v>
      </c>
      <c r="C429">
        <v>18.100000000000001</v>
      </c>
      <c r="D429">
        <v>0</v>
      </c>
      <c r="E429">
        <v>0.58399999999999996</v>
      </c>
      <c r="F429">
        <v>5.8369999999999997</v>
      </c>
      <c r="G429">
        <v>59.7</v>
      </c>
      <c r="H429">
        <v>1.9976</v>
      </c>
      <c r="I429">
        <v>24</v>
      </c>
      <c r="J429">
        <v>666</v>
      </c>
      <c r="K429">
        <v>20.2</v>
      </c>
      <c r="L429">
        <v>24.65</v>
      </c>
      <c r="M429">
        <v>15.69</v>
      </c>
      <c r="N429">
        <v>10.199999999999999</v>
      </c>
    </row>
    <row r="430" spans="1:14">
      <c r="A430">
        <v>37.661900000000003</v>
      </c>
      <c r="B430">
        <v>0</v>
      </c>
      <c r="C430">
        <v>18.100000000000001</v>
      </c>
      <c r="D430">
        <v>0</v>
      </c>
      <c r="E430">
        <v>0.67900000000000005</v>
      </c>
      <c r="F430">
        <v>6.202</v>
      </c>
      <c r="G430">
        <v>78.7</v>
      </c>
      <c r="H430">
        <v>1.8629</v>
      </c>
      <c r="I430">
        <v>24</v>
      </c>
      <c r="J430">
        <v>666</v>
      </c>
      <c r="K430">
        <v>20.2</v>
      </c>
      <c r="L430">
        <v>18.82</v>
      </c>
      <c r="M430">
        <v>14.52</v>
      </c>
      <c r="N430">
        <v>10.9</v>
      </c>
    </row>
    <row r="431" spans="1:14">
      <c r="A431">
        <v>7.3671100000000003</v>
      </c>
      <c r="B431">
        <v>0</v>
      </c>
      <c r="C431">
        <v>18.100000000000001</v>
      </c>
      <c r="D431">
        <v>0</v>
      </c>
      <c r="E431">
        <v>0.67900000000000005</v>
      </c>
      <c r="F431">
        <v>6.1929999999999996</v>
      </c>
      <c r="G431">
        <v>78.099999999999994</v>
      </c>
      <c r="H431">
        <v>1.9356</v>
      </c>
      <c r="I431">
        <v>24</v>
      </c>
      <c r="J431">
        <v>666</v>
      </c>
      <c r="K431">
        <v>20.2</v>
      </c>
      <c r="L431">
        <v>96.73</v>
      </c>
      <c r="M431">
        <v>21.52</v>
      </c>
      <c r="N431">
        <v>11</v>
      </c>
    </row>
    <row r="432" spans="1:14">
      <c r="A432">
        <v>9.3388899999999992</v>
      </c>
      <c r="B432">
        <v>0</v>
      </c>
      <c r="C432">
        <v>18.100000000000001</v>
      </c>
      <c r="D432">
        <v>0</v>
      </c>
      <c r="E432">
        <v>0.67900000000000005</v>
      </c>
      <c r="F432">
        <v>6.38</v>
      </c>
      <c r="G432">
        <v>95.6</v>
      </c>
      <c r="H432">
        <v>1.9681999999999999</v>
      </c>
      <c r="I432">
        <v>24</v>
      </c>
      <c r="J432">
        <v>666</v>
      </c>
      <c r="K432">
        <v>20.2</v>
      </c>
      <c r="L432">
        <v>60.72</v>
      </c>
      <c r="M432">
        <v>24.08</v>
      </c>
      <c r="N432">
        <v>9.5</v>
      </c>
    </row>
    <row r="433" spans="1:14">
      <c r="A433">
        <v>8.4921299999999995</v>
      </c>
      <c r="B433">
        <v>0</v>
      </c>
      <c r="C433">
        <v>18.100000000000001</v>
      </c>
      <c r="D433">
        <v>0</v>
      </c>
      <c r="E433">
        <v>0.58399999999999996</v>
      </c>
      <c r="F433">
        <v>6.3479999999999999</v>
      </c>
      <c r="G433">
        <v>86.1</v>
      </c>
      <c r="H433">
        <v>2.0527000000000002</v>
      </c>
      <c r="I433">
        <v>24</v>
      </c>
      <c r="J433">
        <v>666</v>
      </c>
      <c r="K433">
        <v>20.2</v>
      </c>
      <c r="L433">
        <v>83.45</v>
      </c>
      <c r="M433">
        <v>17.64</v>
      </c>
      <c r="N433">
        <v>14.5</v>
      </c>
    </row>
    <row r="434" spans="1:14">
      <c r="A434">
        <v>10.0623</v>
      </c>
      <c r="B434">
        <v>0</v>
      </c>
      <c r="C434">
        <v>18.100000000000001</v>
      </c>
      <c r="D434">
        <v>0</v>
      </c>
      <c r="E434">
        <v>0.58399999999999996</v>
      </c>
      <c r="F434">
        <v>6.8330000000000002</v>
      </c>
      <c r="G434">
        <v>94.3</v>
      </c>
      <c r="H434">
        <v>2.0882000000000001</v>
      </c>
      <c r="I434">
        <v>24</v>
      </c>
      <c r="J434">
        <v>666</v>
      </c>
      <c r="K434">
        <v>20.2</v>
      </c>
      <c r="L434">
        <v>81.33</v>
      </c>
      <c r="M434">
        <v>19.690000000000001</v>
      </c>
      <c r="N434">
        <v>14.1</v>
      </c>
    </row>
    <row r="435" spans="1:14">
      <c r="A435">
        <v>6.4440499999999998</v>
      </c>
      <c r="B435">
        <v>0</v>
      </c>
      <c r="C435">
        <v>18.100000000000001</v>
      </c>
      <c r="D435">
        <v>0</v>
      </c>
      <c r="E435">
        <v>0.58399999999999996</v>
      </c>
      <c r="F435">
        <v>6.4249999999999998</v>
      </c>
      <c r="G435">
        <v>74.8</v>
      </c>
      <c r="H435">
        <v>2.2004000000000001</v>
      </c>
      <c r="I435">
        <v>24</v>
      </c>
      <c r="J435">
        <v>666</v>
      </c>
      <c r="K435">
        <v>20.2</v>
      </c>
      <c r="L435">
        <v>97.95</v>
      </c>
      <c r="M435">
        <v>12.03</v>
      </c>
      <c r="N435">
        <v>16.100000000000001</v>
      </c>
    </row>
    <row r="436" spans="1:14">
      <c r="A436">
        <v>5.5810700000000004</v>
      </c>
      <c r="B436">
        <v>0</v>
      </c>
      <c r="C436">
        <v>18.100000000000001</v>
      </c>
      <c r="D436">
        <v>0</v>
      </c>
      <c r="E436">
        <v>0.71299999999999997</v>
      </c>
      <c r="F436">
        <v>6.4359999999999999</v>
      </c>
      <c r="G436">
        <v>87.9</v>
      </c>
      <c r="H436">
        <v>2.3157999999999999</v>
      </c>
      <c r="I436">
        <v>24</v>
      </c>
      <c r="J436">
        <v>666</v>
      </c>
      <c r="K436">
        <v>20.2</v>
      </c>
      <c r="L436">
        <v>100.19</v>
      </c>
      <c r="M436">
        <v>16.22</v>
      </c>
      <c r="N436">
        <v>14.3</v>
      </c>
    </row>
    <row r="437" spans="1:14">
      <c r="A437">
        <v>13.913399999999999</v>
      </c>
      <c r="B437">
        <v>0</v>
      </c>
      <c r="C437">
        <v>18.100000000000001</v>
      </c>
      <c r="D437">
        <v>0</v>
      </c>
      <c r="E437">
        <v>0.71299999999999997</v>
      </c>
      <c r="F437">
        <v>6.2080000000000002</v>
      </c>
      <c r="G437">
        <v>95</v>
      </c>
      <c r="H437">
        <v>2.2222</v>
      </c>
      <c r="I437">
        <v>24</v>
      </c>
      <c r="J437">
        <v>666</v>
      </c>
      <c r="K437">
        <v>20.2</v>
      </c>
      <c r="L437">
        <v>100.63</v>
      </c>
      <c r="M437">
        <v>15.17</v>
      </c>
      <c r="N437">
        <v>11.7</v>
      </c>
    </row>
    <row r="438" spans="1:14">
      <c r="A438">
        <v>11.160399999999999</v>
      </c>
      <c r="B438">
        <v>0</v>
      </c>
      <c r="C438">
        <v>18.100000000000001</v>
      </c>
      <c r="D438">
        <v>0</v>
      </c>
      <c r="E438">
        <v>0.74</v>
      </c>
      <c r="F438">
        <v>6.6289999999999996</v>
      </c>
      <c r="G438">
        <v>94.6</v>
      </c>
      <c r="H438">
        <v>2.1246999999999998</v>
      </c>
      <c r="I438">
        <v>24</v>
      </c>
      <c r="J438">
        <v>666</v>
      </c>
      <c r="K438">
        <v>20.2</v>
      </c>
      <c r="L438">
        <v>109.85</v>
      </c>
      <c r="M438">
        <v>23.27</v>
      </c>
      <c r="N438">
        <v>13.4</v>
      </c>
    </row>
    <row r="439" spans="1:14">
      <c r="A439">
        <v>14.4208</v>
      </c>
      <c r="B439">
        <v>0</v>
      </c>
      <c r="C439">
        <v>18.100000000000001</v>
      </c>
      <c r="D439">
        <v>0</v>
      </c>
      <c r="E439">
        <v>0.74</v>
      </c>
      <c r="F439">
        <v>6.4610000000000003</v>
      </c>
      <c r="G439">
        <v>93.3</v>
      </c>
      <c r="H439">
        <v>2.0026000000000002</v>
      </c>
      <c r="I439">
        <v>24</v>
      </c>
      <c r="J439">
        <v>666</v>
      </c>
      <c r="K439">
        <v>20.2</v>
      </c>
      <c r="L439">
        <v>27.49</v>
      </c>
      <c r="M439">
        <v>18.05</v>
      </c>
      <c r="N439">
        <v>9.6</v>
      </c>
    </row>
    <row r="440" spans="1:14">
      <c r="A440">
        <v>15.177199999999999</v>
      </c>
      <c r="B440">
        <v>0</v>
      </c>
      <c r="C440">
        <v>18.100000000000001</v>
      </c>
      <c r="D440">
        <v>0</v>
      </c>
      <c r="E440">
        <v>0.74</v>
      </c>
      <c r="F440">
        <v>6.1520000000000001</v>
      </c>
      <c r="G440">
        <v>100</v>
      </c>
      <c r="H440">
        <v>1.9141999999999999</v>
      </c>
      <c r="I440">
        <v>24</v>
      </c>
      <c r="J440">
        <v>666</v>
      </c>
      <c r="K440">
        <v>20.2</v>
      </c>
      <c r="L440">
        <v>9.32</v>
      </c>
      <c r="M440">
        <v>26.45</v>
      </c>
      <c r="N440">
        <v>8.6999999999999993</v>
      </c>
    </row>
    <row r="441" spans="1:14">
      <c r="A441">
        <v>13.678100000000001</v>
      </c>
      <c r="B441">
        <v>0</v>
      </c>
      <c r="C441">
        <v>18.100000000000001</v>
      </c>
      <c r="D441">
        <v>0</v>
      </c>
      <c r="E441">
        <v>0.74</v>
      </c>
      <c r="F441">
        <v>5.9349999999999996</v>
      </c>
      <c r="G441">
        <v>87.9</v>
      </c>
      <c r="H441">
        <v>1.8206</v>
      </c>
      <c r="I441">
        <v>24</v>
      </c>
      <c r="J441">
        <v>666</v>
      </c>
      <c r="K441">
        <v>20.2</v>
      </c>
      <c r="L441">
        <v>68.95</v>
      </c>
      <c r="M441">
        <v>34.020000000000003</v>
      </c>
      <c r="N441">
        <v>8.4</v>
      </c>
    </row>
    <row r="442" spans="1:14">
      <c r="A442">
        <v>9.3906299999999998</v>
      </c>
      <c r="B442">
        <v>0</v>
      </c>
      <c r="C442">
        <v>18.100000000000001</v>
      </c>
      <c r="D442">
        <v>0</v>
      </c>
      <c r="E442">
        <v>0.74</v>
      </c>
      <c r="F442">
        <v>5.6269999999999998</v>
      </c>
      <c r="G442">
        <v>93.9</v>
      </c>
      <c r="H442">
        <v>1.8171999999999999</v>
      </c>
      <c r="I442">
        <v>24</v>
      </c>
      <c r="J442">
        <v>666</v>
      </c>
      <c r="K442">
        <v>20.2</v>
      </c>
      <c r="L442">
        <v>396.9</v>
      </c>
      <c r="M442">
        <v>22.88</v>
      </c>
      <c r="N442">
        <v>12.8</v>
      </c>
    </row>
    <row r="443" spans="1:14">
      <c r="A443">
        <v>22.051100000000002</v>
      </c>
      <c r="B443">
        <v>0</v>
      </c>
      <c r="C443">
        <v>18.100000000000001</v>
      </c>
      <c r="D443">
        <v>0</v>
      </c>
      <c r="E443">
        <v>0.74</v>
      </c>
      <c r="F443">
        <v>5.8179999999999996</v>
      </c>
      <c r="G443">
        <v>92.4</v>
      </c>
      <c r="H443">
        <v>1.8662000000000001</v>
      </c>
      <c r="I443">
        <v>24</v>
      </c>
      <c r="J443">
        <v>666</v>
      </c>
      <c r="K443">
        <v>20.2</v>
      </c>
      <c r="L443">
        <v>391.45</v>
      </c>
      <c r="M443">
        <v>22.11</v>
      </c>
      <c r="N443">
        <v>10.5</v>
      </c>
    </row>
    <row r="444" spans="1:14">
      <c r="A444">
        <v>9.7241800000000005</v>
      </c>
      <c r="B444">
        <v>0</v>
      </c>
      <c r="C444">
        <v>18.100000000000001</v>
      </c>
      <c r="D444">
        <v>0</v>
      </c>
      <c r="E444">
        <v>0.74</v>
      </c>
      <c r="F444">
        <v>6.4059999999999997</v>
      </c>
      <c r="G444">
        <v>97.2</v>
      </c>
      <c r="H444">
        <v>2.0651000000000002</v>
      </c>
      <c r="I444">
        <v>24</v>
      </c>
      <c r="J444">
        <v>666</v>
      </c>
      <c r="K444">
        <v>20.2</v>
      </c>
      <c r="L444">
        <v>385.96</v>
      </c>
      <c r="M444">
        <v>19.52</v>
      </c>
      <c r="N444">
        <v>17.100000000000001</v>
      </c>
    </row>
    <row r="445" spans="1:14">
      <c r="A445">
        <v>5.6663699999999997</v>
      </c>
      <c r="B445">
        <v>0</v>
      </c>
      <c r="C445">
        <v>18.100000000000001</v>
      </c>
      <c r="D445">
        <v>0</v>
      </c>
      <c r="E445">
        <v>0.74</v>
      </c>
      <c r="F445">
        <v>6.2190000000000003</v>
      </c>
      <c r="G445">
        <v>100</v>
      </c>
      <c r="H445">
        <v>2.0047999999999999</v>
      </c>
      <c r="I445">
        <v>24</v>
      </c>
      <c r="J445">
        <v>666</v>
      </c>
      <c r="K445">
        <v>20.2</v>
      </c>
      <c r="L445">
        <v>395.69</v>
      </c>
      <c r="M445">
        <v>16.59</v>
      </c>
      <c r="N445">
        <v>18.399999999999999</v>
      </c>
    </row>
    <row r="446" spans="1:14">
      <c r="A446">
        <v>9.9665400000000002</v>
      </c>
      <c r="B446">
        <v>0</v>
      </c>
      <c r="C446">
        <v>18.100000000000001</v>
      </c>
      <c r="D446">
        <v>0</v>
      </c>
      <c r="E446">
        <v>0.74</v>
      </c>
      <c r="F446">
        <v>6.4850000000000003</v>
      </c>
      <c r="G446">
        <v>100</v>
      </c>
      <c r="H446">
        <v>1.9783999999999999</v>
      </c>
      <c r="I446">
        <v>24</v>
      </c>
      <c r="J446">
        <v>666</v>
      </c>
      <c r="K446">
        <v>20.2</v>
      </c>
      <c r="L446">
        <v>386.73</v>
      </c>
      <c r="M446">
        <v>18.850000000000001</v>
      </c>
      <c r="N446">
        <v>15.4</v>
      </c>
    </row>
    <row r="447" spans="1:14">
      <c r="A447">
        <v>12.802300000000001</v>
      </c>
      <c r="B447">
        <v>0</v>
      </c>
      <c r="C447">
        <v>18.100000000000001</v>
      </c>
      <c r="D447">
        <v>0</v>
      </c>
      <c r="E447">
        <v>0.74</v>
      </c>
      <c r="F447">
        <v>5.8540000000000001</v>
      </c>
      <c r="G447">
        <v>96.6</v>
      </c>
      <c r="H447">
        <v>1.8956</v>
      </c>
      <c r="I447">
        <v>24</v>
      </c>
      <c r="J447">
        <v>666</v>
      </c>
      <c r="K447">
        <v>20.2</v>
      </c>
      <c r="L447">
        <v>240.52</v>
      </c>
      <c r="M447">
        <v>23.79</v>
      </c>
      <c r="N447">
        <v>10.8</v>
      </c>
    </row>
    <row r="448" spans="1:14">
      <c r="A448">
        <v>10.671799999999999</v>
      </c>
      <c r="B448">
        <v>0</v>
      </c>
      <c r="C448">
        <v>18.100000000000001</v>
      </c>
      <c r="D448">
        <v>0</v>
      </c>
      <c r="E448">
        <v>0.74</v>
      </c>
      <c r="F448">
        <v>6.4589999999999996</v>
      </c>
      <c r="G448">
        <v>94.8</v>
      </c>
      <c r="H448">
        <v>1.9879</v>
      </c>
      <c r="I448">
        <v>24</v>
      </c>
      <c r="J448">
        <v>666</v>
      </c>
      <c r="K448">
        <v>20.2</v>
      </c>
      <c r="L448">
        <v>43.06</v>
      </c>
      <c r="M448">
        <v>23.98</v>
      </c>
      <c r="N448">
        <v>11.8</v>
      </c>
    </row>
    <row r="449" spans="1:14">
      <c r="A449">
        <v>6.2880700000000003</v>
      </c>
      <c r="B449">
        <v>0</v>
      </c>
      <c r="C449">
        <v>18.100000000000001</v>
      </c>
      <c r="D449">
        <v>0</v>
      </c>
      <c r="E449">
        <v>0.74</v>
      </c>
      <c r="F449">
        <v>6.3410000000000002</v>
      </c>
      <c r="G449">
        <v>96.4</v>
      </c>
      <c r="H449">
        <v>2.0720000000000001</v>
      </c>
      <c r="I449">
        <v>24</v>
      </c>
      <c r="J449">
        <v>666</v>
      </c>
      <c r="K449">
        <v>20.2</v>
      </c>
      <c r="L449">
        <v>318.01</v>
      </c>
      <c r="M449">
        <v>17.79</v>
      </c>
      <c r="N449">
        <v>14.9</v>
      </c>
    </row>
    <row r="450" spans="1:14">
      <c r="A450">
        <v>9.9248499999999993</v>
      </c>
      <c r="B450">
        <v>0</v>
      </c>
      <c r="C450">
        <v>18.100000000000001</v>
      </c>
      <c r="D450">
        <v>0</v>
      </c>
      <c r="E450">
        <v>0.74</v>
      </c>
      <c r="F450">
        <v>6.2510000000000003</v>
      </c>
      <c r="G450">
        <v>96.6</v>
      </c>
      <c r="H450">
        <v>2.198</v>
      </c>
      <c r="I450">
        <v>24</v>
      </c>
      <c r="J450">
        <v>666</v>
      </c>
      <c r="K450">
        <v>20.2</v>
      </c>
      <c r="L450">
        <v>388.52</v>
      </c>
      <c r="M450">
        <v>16.440000000000001</v>
      </c>
      <c r="N450">
        <v>12.6</v>
      </c>
    </row>
    <row r="451" spans="1:14">
      <c r="A451">
        <v>9.3290900000000008</v>
      </c>
      <c r="B451">
        <v>0</v>
      </c>
      <c r="C451">
        <v>18.100000000000001</v>
      </c>
      <c r="D451">
        <v>0</v>
      </c>
      <c r="E451">
        <v>0.71299999999999997</v>
      </c>
      <c r="F451">
        <v>6.1849999999999996</v>
      </c>
      <c r="G451">
        <v>98.7</v>
      </c>
      <c r="H451">
        <v>2.2616000000000001</v>
      </c>
      <c r="I451">
        <v>24</v>
      </c>
      <c r="J451">
        <v>666</v>
      </c>
      <c r="K451">
        <v>20.2</v>
      </c>
      <c r="L451">
        <v>396.9</v>
      </c>
      <c r="M451">
        <v>18.13</v>
      </c>
      <c r="N451">
        <v>14.1</v>
      </c>
    </row>
    <row r="452" spans="1:14">
      <c r="A452">
        <v>7.5260100000000003</v>
      </c>
      <c r="B452">
        <v>0</v>
      </c>
      <c r="C452">
        <v>18.100000000000001</v>
      </c>
      <c r="D452">
        <v>0</v>
      </c>
      <c r="E452">
        <v>0.71299999999999997</v>
      </c>
      <c r="F452">
        <v>6.4169999999999998</v>
      </c>
      <c r="G452">
        <v>98.3</v>
      </c>
      <c r="H452">
        <v>2.1850000000000001</v>
      </c>
      <c r="I452">
        <v>24</v>
      </c>
      <c r="J452">
        <v>666</v>
      </c>
      <c r="K452">
        <v>20.2</v>
      </c>
      <c r="L452">
        <v>304.20999999999998</v>
      </c>
      <c r="M452">
        <v>19.309999999999999</v>
      </c>
      <c r="N452">
        <v>13</v>
      </c>
    </row>
    <row r="453" spans="1:14">
      <c r="A453">
        <v>6.7177199999999999</v>
      </c>
      <c r="B453">
        <v>0</v>
      </c>
      <c r="C453">
        <v>18.100000000000001</v>
      </c>
      <c r="D453">
        <v>0</v>
      </c>
      <c r="E453">
        <v>0.71299999999999997</v>
      </c>
      <c r="F453">
        <v>6.7489999999999997</v>
      </c>
      <c r="G453">
        <v>92.6</v>
      </c>
      <c r="H453">
        <v>2.3235999999999999</v>
      </c>
      <c r="I453">
        <v>24</v>
      </c>
      <c r="J453">
        <v>666</v>
      </c>
      <c r="K453">
        <v>20.2</v>
      </c>
      <c r="L453">
        <v>0.32</v>
      </c>
      <c r="M453">
        <v>17.440000000000001</v>
      </c>
      <c r="N453">
        <v>13.4</v>
      </c>
    </row>
    <row r="454" spans="1:14">
      <c r="A454">
        <v>5.4411399999999999</v>
      </c>
      <c r="B454">
        <v>0</v>
      </c>
      <c r="C454">
        <v>18.100000000000001</v>
      </c>
      <c r="D454">
        <v>0</v>
      </c>
      <c r="E454">
        <v>0.71299999999999997</v>
      </c>
      <c r="F454">
        <v>6.6550000000000002</v>
      </c>
      <c r="G454">
        <v>98.2</v>
      </c>
      <c r="H454">
        <v>2.3552</v>
      </c>
      <c r="I454">
        <v>24</v>
      </c>
      <c r="J454">
        <v>666</v>
      </c>
      <c r="K454">
        <v>20.2</v>
      </c>
      <c r="L454">
        <v>355.29</v>
      </c>
      <c r="M454">
        <v>17.73</v>
      </c>
      <c r="N454">
        <v>15.2</v>
      </c>
    </row>
    <row r="455" spans="1:14">
      <c r="A455">
        <v>5.0901699999999996</v>
      </c>
      <c r="B455">
        <v>0</v>
      </c>
      <c r="C455">
        <v>18.100000000000001</v>
      </c>
      <c r="D455">
        <v>0</v>
      </c>
      <c r="E455">
        <v>0.71299999999999997</v>
      </c>
      <c r="F455">
        <v>6.2969999999999997</v>
      </c>
      <c r="G455">
        <v>91.8</v>
      </c>
      <c r="H455">
        <v>2.3681999999999999</v>
      </c>
      <c r="I455">
        <v>24</v>
      </c>
      <c r="J455">
        <v>666</v>
      </c>
      <c r="K455">
        <v>20.2</v>
      </c>
      <c r="L455">
        <v>385.09</v>
      </c>
      <c r="M455">
        <v>17.27</v>
      </c>
      <c r="N455">
        <v>16.100000000000001</v>
      </c>
    </row>
    <row r="456" spans="1:14">
      <c r="A456">
        <v>8.2480899999999995</v>
      </c>
      <c r="B456">
        <v>0</v>
      </c>
      <c r="C456">
        <v>18.100000000000001</v>
      </c>
      <c r="D456">
        <v>0</v>
      </c>
      <c r="E456">
        <v>0.71299999999999997</v>
      </c>
      <c r="F456">
        <v>7.3929999999999998</v>
      </c>
      <c r="G456">
        <v>99.3</v>
      </c>
      <c r="H456">
        <v>2.4527000000000001</v>
      </c>
      <c r="I456">
        <v>24</v>
      </c>
      <c r="J456">
        <v>666</v>
      </c>
      <c r="K456">
        <v>20.2</v>
      </c>
      <c r="L456">
        <v>375.87</v>
      </c>
      <c r="M456">
        <v>16.739999999999998</v>
      </c>
      <c r="N456">
        <v>17.8</v>
      </c>
    </row>
    <row r="457" spans="1:14">
      <c r="A457">
        <v>9.5136299999999991</v>
      </c>
      <c r="B457">
        <v>0</v>
      </c>
      <c r="C457">
        <v>18.100000000000001</v>
      </c>
      <c r="D457">
        <v>0</v>
      </c>
      <c r="E457">
        <v>0.71299999999999997</v>
      </c>
      <c r="F457">
        <v>6.7279999999999998</v>
      </c>
      <c r="G457">
        <v>94.1</v>
      </c>
      <c r="H457">
        <v>2.4961000000000002</v>
      </c>
      <c r="I457">
        <v>24</v>
      </c>
      <c r="J457">
        <v>666</v>
      </c>
      <c r="K457">
        <v>20.2</v>
      </c>
      <c r="L457">
        <v>6.68</v>
      </c>
      <c r="M457">
        <v>18.71</v>
      </c>
      <c r="N457">
        <v>14.9</v>
      </c>
    </row>
    <row r="458" spans="1:14">
      <c r="A458">
        <v>4.75237</v>
      </c>
      <c r="B458">
        <v>0</v>
      </c>
      <c r="C458">
        <v>18.100000000000001</v>
      </c>
      <c r="D458">
        <v>0</v>
      </c>
      <c r="E458">
        <v>0.71299999999999997</v>
      </c>
      <c r="F458">
        <v>6.5250000000000004</v>
      </c>
      <c r="G458">
        <v>86.5</v>
      </c>
      <c r="H458">
        <v>2.4358</v>
      </c>
      <c r="I458">
        <v>24</v>
      </c>
      <c r="J458">
        <v>666</v>
      </c>
      <c r="K458">
        <v>20.2</v>
      </c>
      <c r="L458">
        <v>50.92</v>
      </c>
      <c r="M458">
        <v>18.13</v>
      </c>
      <c r="N458">
        <v>14.1</v>
      </c>
    </row>
    <row r="459" spans="1:14">
      <c r="A459">
        <v>4.6688299999999998</v>
      </c>
      <c r="B459">
        <v>0</v>
      </c>
      <c r="C459">
        <v>18.100000000000001</v>
      </c>
      <c r="D459">
        <v>0</v>
      </c>
      <c r="E459">
        <v>0.71299999999999997</v>
      </c>
      <c r="F459">
        <v>5.976</v>
      </c>
      <c r="G459">
        <v>87.9</v>
      </c>
      <c r="H459">
        <v>2.5806</v>
      </c>
      <c r="I459">
        <v>24</v>
      </c>
      <c r="J459">
        <v>666</v>
      </c>
      <c r="K459">
        <v>20.2</v>
      </c>
      <c r="L459">
        <v>10.48</v>
      </c>
      <c r="M459">
        <v>19.010000000000002</v>
      </c>
      <c r="N459">
        <v>12.7</v>
      </c>
    </row>
    <row r="460" spans="1:14">
      <c r="A460">
        <v>8.2005800000000004</v>
      </c>
      <c r="B460">
        <v>0</v>
      </c>
      <c r="C460">
        <v>18.100000000000001</v>
      </c>
      <c r="D460">
        <v>0</v>
      </c>
      <c r="E460">
        <v>0.71299999999999997</v>
      </c>
      <c r="F460">
        <v>5.9359999999999999</v>
      </c>
      <c r="G460">
        <v>80.3</v>
      </c>
      <c r="H460">
        <v>2.7791999999999999</v>
      </c>
      <c r="I460">
        <v>24</v>
      </c>
      <c r="J460">
        <v>666</v>
      </c>
      <c r="K460">
        <v>20.2</v>
      </c>
      <c r="L460">
        <v>3.5</v>
      </c>
      <c r="M460">
        <v>16.940000000000001</v>
      </c>
      <c r="N460">
        <v>13.5</v>
      </c>
    </row>
    <row r="461" spans="1:14">
      <c r="A461">
        <v>7.75223</v>
      </c>
      <c r="B461">
        <v>0</v>
      </c>
      <c r="C461">
        <v>18.100000000000001</v>
      </c>
      <c r="D461">
        <v>0</v>
      </c>
      <c r="E461">
        <v>0.71299999999999997</v>
      </c>
      <c r="F461">
        <v>6.3010000000000002</v>
      </c>
      <c r="G461">
        <v>83.7</v>
      </c>
      <c r="H461">
        <v>2.7831000000000001</v>
      </c>
      <c r="I461">
        <v>24</v>
      </c>
      <c r="J461">
        <v>666</v>
      </c>
      <c r="K461">
        <v>20.2</v>
      </c>
      <c r="L461">
        <v>272.20999999999998</v>
      </c>
      <c r="M461">
        <v>16.23</v>
      </c>
      <c r="N461">
        <v>14.9</v>
      </c>
    </row>
    <row r="462" spans="1:14">
      <c r="A462">
        <v>6.8011699999999999</v>
      </c>
      <c r="B462">
        <v>0</v>
      </c>
      <c r="C462">
        <v>18.100000000000001</v>
      </c>
      <c r="D462">
        <v>0</v>
      </c>
      <c r="E462">
        <v>0.71299999999999997</v>
      </c>
      <c r="F462">
        <v>6.0810000000000004</v>
      </c>
      <c r="G462">
        <v>84.4</v>
      </c>
      <c r="H462">
        <v>2.7174999999999998</v>
      </c>
      <c r="I462">
        <v>24</v>
      </c>
      <c r="J462">
        <v>666</v>
      </c>
      <c r="K462">
        <v>20.2</v>
      </c>
      <c r="L462">
        <v>396.9</v>
      </c>
      <c r="M462">
        <v>14.7</v>
      </c>
      <c r="N462">
        <v>20</v>
      </c>
    </row>
    <row r="463" spans="1:14">
      <c r="A463">
        <v>4.8121299999999998</v>
      </c>
      <c r="B463">
        <v>0</v>
      </c>
      <c r="C463">
        <v>18.100000000000001</v>
      </c>
      <c r="D463">
        <v>0</v>
      </c>
      <c r="E463">
        <v>0.71299999999999997</v>
      </c>
      <c r="F463">
        <v>6.7009999999999996</v>
      </c>
      <c r="G463">
        <v>90</v>
      </c>
      <c r="H463">
        <v>2.5975000000000001</v>
      </c>
      <c r="I463">
        <v>24</v>
      </c>
      <c r="J463">
        <v>666</v>
      </c>
      <c r="K463">
        <v>20.2</v>
      </c>
      <c r="L463">
        <v>255.23</v>
      </c>
      <c r="M463">
        <v>16.420000000000002</v>
      </c>
      <c r="N463">
        <v>16.399999999999999</v>
      </c>
    </row>
    <row r="464" spans="1:14">
      <c r="A464">
        <v>3.6931099999999999</v>
      </c>
      <c r="B464">
        <v>0</v>
      </c>
      <c r="C464">
        <v>18.100000000000001</v>
      </c>
      <c r="D464">
        <v>0</v>
      </c>
      <c r="E464">
        <v>0.71299999999999997</v>
      </c>
      <c r="F464">
        <v>6.3760000000000003</v>
      </c>
      <c r="G464">
        <v>88.4</v>
      </c>
      <c r="H464">
        <v>2.5670999999999999</v>
      </c>
      <c r="I464">
        <v>24</v>
      </c>
      <c r="J464">
        <v>666</v>
      </c>
      <c r="K464">
        <v>20.2</v>
      </c>
      <c r="L464">
        <v>391.43</v>
      </c>
      <c r="M464">
        <v>14.65</v>
      </c>
      <c r="N464">
        <v>17.7</v>
      </c>
    </row>
    <row r="465" spans="1:14">
      <c r="A465">
        <v>6.6549199999999997</v>
      </c>
      <c r="B465">
        <v>0</v>
      </c>
      <c r="C465">
        <v>18.100000000000001</v>
      </c>
      <c r="D465">
        <v>0</v>
      </c>
      <c r="E465">
        <v>0.71299999999999997</v>
      </c>
      <c r="F465">
        <v>6.3170000000000002</v>
      </c>
      <c r="G465">
        <v>83</v>
      </c>
      <c r="H465">
        <v>2.7343999999999999</v>
      </c>
      <c r="I465">
        <v>24</v>
      </c>
      <c r="J465">
        <v>666</v>
      </c>
      <c r="K465">
        <v>20.2</v>
      </c>
      <c r="L465">
        <v>396.9</v>
      </c>
      <c r="M465">
        <v>13.99</v>
      </c>
      <c r="N465">
        <v>19.5</v>
      </c>
    </row>
    <row r="466" spans="1:14">
      <c r="A466">
        <v>5.8211500000000003</v>
      </c>
      <c r="B466">
        <v>0</v>
      </c>
      <c r="C466">
        <v>18.100000000000001</v>
      </c>
      <c r="D466">
        <v>0</v>
      </c>
      <c r="E466">
        <v>0.71299999999999997</v>
      </c>
      <c r="F466">
        <v>6.5129999999999999</v>
      </c>
      <c r="G466">
        <v>89.9</v>
      </c>
      <c r="H466">
        <v>2.8016000000000001</v>
      </c>
      <c r="I466">
        <v>24</v>
      </c>
      <c r="J466">
        <v>666</v>
      </c>
      <c r="K466">
        <v>20.2</v>
      </c>
      <c r="L466">
        <v>393.82</v>
      </c>
      <c r="M466">
        <v>10.29</v>
      </c>
      <c r="N466">
        <v>20.2</v>
      </c>
    </row>
    <row r="467" spans="1:14">
      <c r="A467">
        <v>7.8393199999999998</v>
      </c>
      <c r="B467">
        <v>0</v>
      </c>
      <c r="C467">
        <v>18.100000000000001</v>
      </c>
      <c r="D467">
        <v>0</v>
      </c>
      <c r="E467">
        <v>0.65500000000000003</v>
      </c>
      <c r="F467">
        <v>6.2089999999999996</v>
      </c>
      <c r="G467">
        <v>65.400000000000006</v>
      </c>
      <c r="H467">
        <v>2.9634</v>
      </c>
      <c r="I467">
        <v>24</v>
      </c>
      <c r="J467">
        <v>666</v>
      </c>
      <c r="K467">
        <v>20.2</v>
      </c>
      <c r="L467">
        <v>396.9</v>
      </c>
      <c r="M467">
        <v>13.22</v>
      </c>
      <c r="N467">
        <v>21.4</v>
      </c>
    </row>
    <row r="468" spans="1:14">
      <c r="A468">
        <v>3.1636000000000002</v>
      </c>
      <c r="B468">
        <v>0</v>
      </c>
      <c r="C468">
        <v>18.100000000000001</v>
      </c>
      <c r="D468">
        <v>0</v>
      </c>
      <c r="E468">
        <v>0.65500000000000003</v>
      </c>
      <c r="F468">
        <v>5.7590000000000003</v>
      </c>
      <c r="G468">
        <v>48.2</v>
      </c>
      <c r="H468">
        <v>3.0665</v>
      </c>
      <c r="I468">
        <v>24</v>
      </c>
      <c r="J468">
        <v>666</v>
      </c>
      <c r="K468">
        <v>20.2</v>
      </c>
      <c r="L468">
        <v>334.4</v>
      </c>
      <c r="M468">
        <v>14.13</v>
      </c>
      <c r="N468">
        <v>19.899999999999999</v>
      </c>
    </row>
    <row r="469" spans="1:14">
      <c r="A469">
        <v>3.7749799999999998</v>
      </c>
      <c r="B469">
        <v>0</v>
      </c>
      <c r="C469">
        <v>18.100000000000001</v>
      </c>
      <c r="D469">
        <v>0</v>
      </c>
      <c r="E469">
        <v>0.65500000000000003</v>
      </c>
      <c r="F469">
        <v>5.952</v>
      </c>
      <c r="G469">
        <v>84.7</v>
      </c>
      <c r="H469">
        <v>2.8715000000000002</v>
      </c>
      <c r="I469">
        <v>24</v>
      </c>
      <c r="J469">
        <v>666</v>
      </c>
      <c r="K469">
        <v>20.2</v>
      </c>
      <c r="L469">
        <v>22.01</v>
      </c>
      <c r="M469">
        <v>17.149999999999999</v>
      </c>
      <c r="N469">
        <v>19</v>
      </c>
    </row>
    <row r="470" spans="1:14">
      <c r="A470">
        <v>4.4222799999999998</v>
      </c>
      <c r="B470">
        <v>0</v>
      </c>
      <c r="C470">
        <v>18.100000000000001</v>
      </c>
      <c r="D470">
        <v>0</v>
      </c>
      <c r="E470">
        <v>0.58399999999999996</v>
      </c>
      <c r="F470">
        <v>6.0030000000000001</v>
      </c>
      <c r="G470">
        <v>94.5</v>
      </c>
      <c r="H470">
        <v>2.5402999999999998</v>
      </c>
      <c r="I470">
        <v>24</v>
      </c>
      <c r="J470">
        <v>666</v>
      </c>
      <c r="K470">
        <v>20.2</v>
      </c>
      <c r="L470">
        <v>331.29</v>
      </c>
      <c r="M470">
        <v>21.32</v>
      </c>
      <c r="N470">
        <v>19.100000000000001</v>
      </c>
    </row>
    <row r="471" spans="1:14">
      <c r="A471">
        <v>15.575699999999999</v>
      </c>
      <c r="B471">
        <v>0</v>
      </c>
      <c r="C471">
        <v>18.100000000000001</v>
      </c>
      <c r="D471">
        <v>0</v>
      </c>
      <c r="E471">
        <v>0.57999999999999996</v>
      </c>
      <c r="F471">
        <v>5.9260000000000002</v>
      </c>
      <c r="G471">
        <v>71</v>
      </c>
      <c r="H471">
        <v>2.9083999999999999</v>
      </c>
      <c r="I471">
        <v>24</v>
      </c>
      <c r="J471">
        <v>666</v>
      </c>
      <c r="K471">
        <v>20.2</v>
      </c>
      <c r="L471">
        <v>368.74</v>
      </c>
      <c r="M471">
        <v>18.13</v>
      </c>
      <c r="N471">
        <v>19.100000000000001</v>
      </c>
    </row>
    <row r="472" spans="1:14">
      <c r="A472">
        <v>13.075100000000001</v>
      </c>
      <c r="B472">
        <v>0</v>
      </c>
      <c r="C472">
        <v>18.100000000000001</v>
      </c>
      <c r="D472">
        <v>0</v>
      </c>
      <c r="E472">
        <v>0.57999999999999996</v>
      </c>
      <c r="F472">
        <v>5.7130000000000001</v>
      </c>
      <c r="G472">
        <v>56.7</v>
      </c>
      <c r="H472">
        <v>2.8237000000000001</v>
      </c>
      <c r="I472">
        <v>24</v>
      </c>
      <c r="J472">
        <v>666</v>
      </c>
      <c r="K472">
        <v>20.2</v>
      </c>
      <c r="L472">
        <v>396.9</v>
      </c>
      <c r="M472">
        <v>14.76</v>
      </c>
      <c r="N472">
        <v>20.100000000000001</v>
      </c>
    </row>
    <row r="473" spans="1:14">
      <c r="A473">
        <v>4.3487900000000002</v>
      </c>
      <c r="B473">
        <v>0</v>
      </c>
      <c r="C473">
        <v>18.100000000000001</v>
      </c>
      <c r="D473">
        <v>0</v>
      </c>
      <c r="E473">
        <v>0.57999999999999996</v>
      </c>
      <c r="F473">
        <v>6.1669999999999998</v>
      </c>
      <c r="G473">
        <v>84</v>
      </c>
      <c r="H473">
        <v>3.0333999999999999</v>
      </c>
      <c r="I473">
        <v>24</v>
      </c>
      <c r="J473">
        <v>666</v>
      </c>
      <c r="K473">
        <v>20.2</v>
      </c>
      <c r="L473">
        <v>396.9</v>
      </c>
      <c r="M473">
        <v>16.29</v>
      </c>
      <c r="N473">
        <v>19.899999999999999</v>
      </c>
    </row>
    <row r="474" spans="1:14">
      <c r="A474">
        <v>4.0384099999999998</v>
      </c>
      <c r="B474">
        <v>0</v>
      </c>
      <c r="C474">
        <v>18.100000000000001</v>
      </c>
      <c r="D474">
        <v>0</v>
      </c>
      <c r="E474">
        <v>0.53200000000000003</v>
      </c>
      <c r="F474">
        <v>6.2290000000000001</v>
      </c>
      <c r="G474">
        <v>90.7</v>
      </c>
      <c r="H474">
        <v>3.0992999999999999</v>
      </c>
      <c r="I474">
        <v>24</v>
      </c>
      <c r="J474">
        <v>666</v>
      </c>
      <c r="K474">
        <v>20.2</v>
      </c>
      <c r="L474">
        <v>395.33</v>
      </c>
      <c r="M474">
        <v>12.87</v>
      </c>
      <c r="N474">
        <v>19.600000000000001</v>
      </c>
    </row>
    <row r="475" spans="1:14">
      <c r="A475">
        <v>3.5686800000000001</v>
      </c>
      <c r="B475">
        <v>0</v>
      </c>
      <c r="C475">
        <v>18.100000000000001</v>
      </c>
      <c r="D475">
        <v>0</v>
      </c>
      <c r="E475">
        <v>0.57999999999999996</v>
      </c>
      <c r="F475">
        <v>6.4370000000000003</v>
      </c>
      <c r="G475">
        <v>75</v>
      </c>
      <c r="H475">
        <v>2.8965000000000001</v>
      </c>
      <c r="I475">
        <v>24</v>
      </c>
      <c r="J475">
        <v>666</v>
      </c>
      <c r="K475">
        <v>20.2</v>
      </c>
      <c r="L475">
        <v>393.37</v>
      </c>
      <c r="M475">
        <v>14.36</v>
      </c>
      <c r="N475">
        <v>23.2</v>
      </c>
    </row>
    <row r="476" spans="1:14">
      <c r="A476">
        <v>4.64689</v>
      </c>
      <c r="B476">
        <v>0</v>
      </c>
      <c r="C476">
        <v>18.100000000000001</v>
      </c>
      <c r="D476">
        <v>0</v>
      </c>
      <c r="E476">
        <v>0.61399999999999999</v>
      </c>
      <c r="F476">
        <v>6.98</v>
      </c>
      <c r="G476">
        <v>67.599999999999994</v>
      </c>
      <c r="H476">
        <v>2.5329000000000002</v>
      </c>
      <c r="I476">
        <v>24</v>
      </c>
      <c r="J476">
        <v>666</v>
      </c>
      <c r="K476">
        <v>20.2</v>
      </c>
      <c r="L476">
        <v>374.68</v>
      </c>
      <c r="M476">
        <v>11.66</v>
      </c>
      <c r="N476">
        <v>29.8</v>
      </c>
    </row>
    <row r="477" spans="1:14">
      <c r="A477">
        <v>8.05579</v>
      </c>
      <c r="B477">
        <v>0</v>
      </c>
      <c r="C477">
        <v>18.100000000000001</v>
      </c>
      <c r="D477">
        <v>0</v>
      </c>
      <c r="E477">
        <v>0.58399999999999996</v>
      </c>
      <c r="F477">
        <v>5.4269999999999996</v>
      </c>
      <c r="G477">
        <v>95.4</v>
      </c>
      <c r="H477">
        <v>2.4298000000000002</v>
      </c>
      <c r="I477">
        <v>24</v>
      </c>
      <c r="J477">
        <v>666</v>
      </c>
      <c r="K477">
        <v>20.2</v>
      </c>
      <c r="L477">
        <v>352.58</v>
      </c>
      <c r="M477">
        <v>18.14</v>
      </c>
      <c r="N477">
        <v>13.8</v>
      </c>
    </row>
    <row r="478" spans="1:14">
      <c r="A478">
        <v>6.3931199999999997</v>
      </c>
      <c r="B478">
        <v>0</v>
      </c>
      <c r="C478">
        <v>18.100000000000001</v>
      </c>
      <c r="D478">
        <v>0</v>
      </c>
      <c r="E478">
        <v>0.58399999999999996</v>
      </c>
      <c r="F478">
        <v>6.1619999999999999</v>
      </c>
      <c r="G478">
        <v>97.4</v>
      </c>
      <c r="H478">
        <v>2.206</v>
      </c>
      <c r="I478">
        <v>24</v>
      </c>
      <c r="J478">
        <v>666</v>
      </c>
      <c r="K478">
        <v>20.2</v>
      </c>
      <c r="L478">
        <v>302.76</v>
      </c>
      <c r="M478">
        <v>24.1</v>
      </c>
      <c r="N478">
        <v>13.3</v>
      </c>
    </row>
    <row r="479" spans="1:14">
      <c r="A479">
        <v>4.87141</v>
      </c>
      <c r="B479">
        <v>0</v>
      </c>
      <c r="C479">
        <v>18.100000000000001</v>
      </c>
      <c r="D479">
        <v>0</v>
      </c>
      <c r="E479">
        <v>0.61399999999999999</v>
      </c>
      <c r="F479">
        <v>6.484</v>
      </c>
      <c r="G479">
        <v>93.6</v>
      </c>
      <c r="H479">
        <v>2.3052999999999999</v>
      </c>
      <c r="I479">
        <v>24</v>
      </c>
      <c r="J479">
        <v>666</v>
      </c>
      <c r="K479">
        <v>20.2</v>
      </c>
      <c r="L479">
        <v>396.21</v>
      </c>
      <c r="M479">
        <v>18.68</v>
      </c>
      <c r="N479">
        <v>16.7</v>
      </c>
    </row>
    <row r="480" spans="1:14">
      <c r="A480">
        <v>15.023400000000001</v>
      </c>
      <c r="B480">
        <v>0</v>
      </c>
      <c r="C480">
        <v>18.100000000000001</v>
      </c>
      <c r="D480">
        <v>0</v>
      </c>
      <c r="E480">
        <v>0.61399999999999999</v>
      </c>
      <c r="F480">
        <v>5.3040000000000003</v>
      </c>
      <c r="G480">
        <v>97.3</v>
      </c>
      <c r="H480">
        <v>2.1006999999999998</v>
      </c>
      <c r="I480">
        <v>24</v>
      </c>
      <c r="J480">
        <v>666</v>
      </c>
      <c r="K480">
        <v>20.2</v>
      </c>
      <c r="L480">
        <v>349.48</v>
      </c>
      <c r="M480">
        <v>24.91</v>
      </c>
      <c r="N480">
        <v>12</v>
      </c>
    </row>
    <row r="481" spans="1:14">
      <c r="A481">
        <v>10.233000000000001</v>
      </c>
      <c r="B481">
        <v>0</v>
      </c>
      <c r="C481">
        <v>18.100000000000001</v>
      </c>
      <c r="D481">
        <v>0</v>
      </c>
      <c r="E481">
        <v>0.61399999999999999</v>
      </c>
      <c r="F481">
        <v>6.1849999999999996</v>
      </c>
      <c r="G481">
        <v>96.7</v>
      </c>
      <c r="H481">
        <v>2.1705000000000001</v>
      </c>
      <c r="I481">
        <v>24</v>
      </c>
      <c r="J481">
        <v>666</v>
      </c>
      <c r="K481">
        <v>20.2</v>
      </c>
      <c r="L481">
        <v>379.7</v>
      </c>
      <c r="M481">
        <v>18.03</v>
      </c>
      <c r="N481">
        <v>14.6</v>
      </c>
    </row>
    <row r="482" spans="1:14">
      <c r="A482">
        <v>14.3337</v>
      </c>
      <c r="B482">
        <v>0</v>
      </c>
      <c r="C482">
        <v>18.100000000000001</v>
      </c>
      <c r="D482">
        <v>0</v>
      </c>
      <c r="E482">
        <v>0.61399999999999999</v>
      </c>
      <c r="F482">
        <v>6.2290000000000001</v>
      </c>
      <c r="G482">
        <v>88</v>
      </c>
      <c r="H482">
        <v>1.9512</v>
      </c>
      <c r="I482">
        <v>24</v>
      </c>
      <c r="J482">
        <v>666</v>
      </c>
      <c r="K482">
        <v>20.2</v>
      </c>
      <c r="L482">
        <v>383.32</v>
      </c>
      <c r="M482">
        <v>13.11</v>
      </c>
      <c r="N482">
        <v>21.4</v>
      </c>
    </row>
    <row r="483" spans="1:14">
      <c r="A483">
        <v>5.8240100000000004</v>
      </c>
      <c r="B483">
        <v>0</v>
      </c>
      <c r="C483">
        <v>18.100000000000001</v>
      </c>
      <c r="D483">
        <v>0</v>
      </c>
      <c r="E483">
        <v>0.53200000000000003</v>
      </c>
      <c r="F483">
        <v>6.242</v>
      </c>
      <c r="G483">
        <v>64.7</v>
      </c>
      <c r="H483">
        <v>3.4241999999999999</v>
      </c>
      <c r="I483">
        <v>24</v>
      </c>
      <c r="J483">
        <v>666</v>
      </c>
      <c r="K483">
        <v>20.2</v>
      </c>
      <c r="L483">
        <v>396.9</v>
      </c>
      <c r="M483">
        <v>10.74</v>
      </c>
      <c r="N483">
        <v>23</v>
      </c>
    </row>
    <row r="484" spans="1:14">
      <c r="A484">
        <v>5.7081799999999996</v>
      </c>
      <c r="B484">
        <v>0</v>
      </c>
      <c r="C484">
        <v>18.100000000000001</v>
      </c>
      <c r="D484">
        <v>0</v>
      </c>
      <c r="E484">
        <v>0.53200000000000003</v>
      </c>
      <c r="F484">
        <v>6.75</v>
      </c>
      <c r="G484">
        <v>74.900000000000006</v>
      </c>
      <c r="H484">
        <v>3.3317000000000001</v>
      </c>
      <c r="I484">
        <v>24</v>
      </c>
      <c r="J484">
        <v>666</v>
      </c>
      <c r="K484">
        <v>20.2</v>
      </c>
      <c r="L484">
        <v>393.07</v>
      </c>
      <c r="M484">
        <v>7.74</v>
      </c>
      <c r="N484">
        <v>23.7</v>
      </c>
    </row>
    <row r="485" spans="1:14">
      <c r="A485">
        <v>5.73116</v>
      </c>
      <c r="B485">
        <v>0</v>
      </c>
      <c r="C485">
        <v>18.100000000000001</v>
      </c>
      <c r="D485">
        <v>0</v>
      </c>
      <c r="E485">
        <v>0.53200000000000003</v>
      </c>
      <c r="F485">
        <v>7.0609999999999999</v>
      </c>
      <c r="G485">
        <v>77</v>
      </c>
      <c r="H485">
        <v>3.4106000000000001</v>
      </c>
      <c r="I485">
        <v>24</v>
      </c>
      <c r="J485">
        <v>666</v>
      </c>
      <c r="K485">
        <v>20.2</v>
      </c>
      <c r="L485">
        <v>395.28</v>
      </c>
      <c r="M485">
        <v>7.01</v>
      </c>
      <c r="N485">
        <v>25</v>
      </c>
    </row>
    <row r="486" spans="1:14">
      <c r="A486">
        <v>2.8183799999999999</v>
      </c>
      <c r="B486">
        <v>0</v>
      </c>
      <c r="C486">
        <v>18.100000000000001</v>
      </c>
      <c r="D486">
        <v>0</v>
      </c>
      <c r="E486">
        <v>0.53200000000000003</v>
      </c>
      <c r="F486">
        <v>5.7619999999999996</v>
      </c>
      <c r="G486">
        <v>40.299999999999997</v>
      </c>
      <c r="H486">
        <v>4.0983000000000001</v>
      </c>
      <c r="I486">
        <v>24</v>
      </c>
      <c r="J486">
        <v>666</v>
      </c>
      <c r="K486">
        <v>20.2</v>
      </c>
      <c r="L486">
        <v>392.92</v>
      </c>
      <c r="M486">
        <v>10.42</v>
      </c>
      <c r="N486">
        <v>21.8</v>
      </c>
    </row>
    <row r="487" spans="1:14">
      <c r="A487">
        <v>2.3785699999999999</v>
      </c>
      <c r="B487">
        <v>0</v>
      </c>
      <c r="C487">
        <v>18.100000000000001</v>
      </c>
      <c r="D487">
        <v>0</v>
      </c>
      <c r="E487">
        <v>0.58299999999999996</v>
      </c>
      <c r="F487">
        <v>5.8710000000000004</v>
      </c>
      <c r="G487">
        <v>41.9</v>
      </c>
      <c r="H487">
        <v>3.7240000000000002</v>
      </c>
      <c r="I487">
        <v>24</v>
      </c>
      <c r="J487">
        <v>666</v>
      </c>
      <c r="K487">
        <v>20.2</v>
      </c>
      <c r="L487">
        <v>370.73</v>
      </c>
      <c r="M487">
        <v>13.34</v>
      </c>
      <c r="N487">
        <v>20.6</v>
      </c>
    </row>
    <row r="488" spans="1:14">
      <c r="A488">
        <v>3.67367</v>
      </c>
      <c r="B488">
        <v>0</v>
      </c>
      <c r="C488">
        <v>18.100000000000001</v>
      </c>
      <c r="D488">
        <v>0</v>
      </c>
      <c r="E488">
        <v>0.58299999999999996</v>
      </c>
      <c r="F488">
        <v>6.3120000000000003</v>
      </c>
      <c r="G488">
        <v>51.9</v>
      </c>
      <c r="H488">
        <v>3.9916999999999998</v>
      </c>
      <c r="I488">
        <v>24</v>
      </c>
      <c r="J488">
        <v>666</v>
      </c>
      <c r="K488">
        <v>20.2</v>
      </c>
      <c r="L488">
        <v>388.62</v>
      </c>
      <c r="M488">
        <v>10.58</v>
      </c>
      <c r="N488">
        <v>21.2</v>
      </c>
    </row>
    <row r="489" spans="1:14">
      <c r="A489">
        <v>5.6917499999999999</v>
      </c>
      <c r="B489">
        <v>0</v>
      </c>
      <c r="C489">
        <v>18.100000000000001</v>
      </c>
      <c r="D489">
        <v>0</v>
      </c>
      <c r="E489">
        <v>0.58299999999999996</v>
      </c>
      <c r="F489">
        <v>6.1139999999999999</v>
      </c>
      <c r="G489">
        <v>79.8</v>
      </c>
      <c r="H489">
        <v>3.5459000000000001</v>
      </c>
      <c r="I489">
        <v>24</v>
      </c>
      <c r="J489">
        <v>666</v>
      </c>
      <c r="K489">
        <v>20.2</v>
      </c>
      <c r="L489">
        <v>392.68</v>
      </c>
      <c r="M489">
        <v>14.98</v>
      </c>
      <c r="N489">
        <v>19.100000000000001</v>
      </c>
    </row>
    <row r="490" spans="1:14">
      <c r="A490">
        <v>4.8356700000000004</v>
      </c>
      <c r="B490">
        <v>0</v>
      </c>
      <c r="C490">
        <v>18.100000000000001</v>
      </c>
      <c r="D490">
        <v>0</v>
      </c>
      <c r="E490">
        <v>0.58299999999999996</v>
      </c>
      <c r="F490">
        <v>5.9050000000000002</v>
      </c>
      <c r="G490">
        <v>53.2</v>
      </c>
      <c r="H490">
        <v>3.1522999999999999</v>
      </c>
      <c r="I490">
        <v>24</v>
      </c>
      <c r="J490">
        <v>666</v>
      </c>
      <c r="K490">
        <v>20.2</v>
      </c>
      <c r="L490">
        <v>388.22</v>
      </c>
      <c r="M490">
        <v>11.45</v>
      </c>
      <c r="N490">
        <v>20.6</v>
      </c>
    </row>
    <row r="491" spans="1:14">
      <c r="A491">
        <v>0.15085999999999999</v>
      </c>
      <c r="B491">
        <v>0</v>
      </c>
      <c r="C491">
        <v>27.74</v>
      </c>
      <c r="D491">
        <v>0</v>
      </c>
      <c r="E491">
        <v>0.60899999999999999</v>
      </c>
      <c r="F491">
        <v>5.4539999999999997</v>
      </c>
      <c r="G491">
        <v>92.7</v>
      </c>
      <c r="H491">
        <v>1.8209</v>
      </c>
      <c r="I491">
        <v>4</v>
      </c>
      <c r="J491">
        <v>711</v>
      </c>
      <c r="K491">
        <v>20.100000000000001</v>
      </c>
      <c r="L491">
        <v>395.09</v>
      </c>
      <c r="M491">
        <v>18.059999999999999</v>
      </c>
      <c r="N491">
        <v>15.2</v>
      </c>
    </row>
    <row r="492" spans="1:14">
      <c r="A492">
        <v>0.18337000000000001</v>
      </c>
      <c r="B492">
        <v>0</v>
      </c>
      <c r="C492">
        <v>27.74</v>
      </c>
      <c r="D492">
        <v>0</v>
      </c>
      <c r="E492">
        <v>0.60899999999999999</v>
      </c>
      <c r="F492">
        <v>5.4139999999999997</v>
      </c>
      <c r="G492">
        <v>98.3</v>
      </c>
      <c r="H492">
        <v>1.7554000000000001</v>
      </c>
      <c r="I492">
        <v>4</v>
      </c>
      <c r="J492">
        <v>711</v>
      </c>
      <c r="K492">
        <v>20.100000000000001</v>
      </c>
      <c r="L492">
        <v>344.05</v>
      </c>
      <c r="M492">
        <v>23.97</v>
      </c>
      <c r="N492">
        <v>7</v>
      </c>
    </row>
    <row r="493" spans="1:14">
      <c r="A493">
        <v>0.20746000000000001</v>
      </c>
      <c r="B493">
        <v>0</v>
      </c>
      <c r="C493">
        <v>27.74</v>
      </c>
      <c r="D493">
        <v>0</v>
      </c>
      <c r="E493">
        <v>0.60899999999999999</v>
      </c>
      <c r="F493">
        <v>5.093</v>
      </c>
      <c r="G493">
        <v>98</v>
      </c>
      <c r="H493">
        <v>1.8226</v>
      </c>
      <c r="I493">
        <v>4</v>
      </c>
      <c r="J493">
        <v>711</v>
      </c>
      <c r="K493">
        <v>20.100000000000001</v>
      </c>
      <c r="L493">
        <v>318.43</v>
      </c>
      <c r="M493">
        <v>29.68</v>
      </c>
      <c r="N493">
        <v>8.1</v>
      </c>
    </row>
    <row r="494" spans="1:14">
      <c r="A494">
        <v>0.10574</v>
      </c>
      <c r="B494">
        <v>0</v>
      </c>
      <c r="C494">
        <v>27.74</v>
      </c>
      <c r="D494">
        <v>0</v>
      </c>
      <c r="E494">
        <v>0.60899999999999999</v>
      </c>
      <c r="F494">
        <v>5.9829999999999997</v>
      </c>
      <c r="G494">
        <v>98.8</v>
      </c>
      <c r="H494">
        <v>1.8681000000000001</v>
      </c>
      <c r="I494">
        <v>4</v>
      </c>
      <c r="J494">
        <v>711</v>
      </c>
      <c r="K494">
        <v>20.100000000000001</v>
      </c>
      <c r="L494">
        <v>390.11</v>
      </c>
      <c r="M494">
        <v>18.07</v>
      </c>
      <c r="N494">
        <v>13.6</v>
      </c>
    </row>
    <row r="495" spans="1:14">
      <c r="A495">
        <v>0.11132</v>
      </c>
      <c r="B495">
        <v>0</v>
      </c>
      <c r="C495">
        <v>27.74</v>
      </c>
      <c r="D495">
        <v>0</v>
      </c>
      <c r="E495">
        <v>0.60899999999999999</v>
      </c>
      <c r="F495">
        <v>5.9829999999999997</v>
      </c>
      <c r="G495">
        <v>83.5</v>
      </c>
      <c r="H495">
        <v>2.1099000000000001</v>
      </c>
      <c r="I495">
        <v>4</v>
      </c>
      <c r="J495">
        <v>711</v>
      </c>
      <c r="K495">
        <v>20.100000000000001</v>
      </c>
      <c r="L495">
        <v>396.9</v>
      </c>
      <c r="M495">
        <v>13.35</v>
      </c>
      <c r="N495">
        <v>20.100000000000001</v>
      </c>
    </row>
    <row r="496" spans="1:14">
      <c r="A496">
        <v>0.17330999999999999</v>
      </c>
      <c r="B496">
        <v>0</v>
      </c>
      <c r="C496">
        <v>9.69</v>
      </c>
      <c r="D496">
        <v>0</v>
      </c>
      <c r="E496">
        <v>0.58499999999999996</v>
      </c>
      <c r="F496">
        <v>5.7069999999999999</v>
      </c>
      <c r="G496">
        <v>54</v>
      </c>
      <c r="H496">
        <v>2.3816999999999999</v>
      </c>
      <c r="I496">
        <v>6</v>
      </c>
      <c r="J496">
        <v>391</v>
      </c>
      <c r="K496">
        <v>19.2</v>
      </c>
      <c r="L496">
        <v>396.9</v>
      </c>
      <c r="M496">
        <v>12.01</v>
      </c>
      <c r="N496">
        <v>21.8</v>
      </c>
    </row>
    <row r="497" spans="1:14">
      <c r="A497">
        <v>0.27956999999999999</v>
      </c>
      <c r="B497">
        <v>0</v>
      </c>
      <c r="C497">
        <v>9.69</v>
      </c>
      <c r="D497">
        <v>0</v>
      </c>
      <c r="E497">
        <v>0.58499999999999996</v>
      </c>
      <c r="F497">
        <v>5.9260000000000002</v>
      </c>
      <c r="G497">
        <v>42.6</v>
      </c>
      <c r="H497">
        <v>2.3816999999999999</v>
      </c>
      <c r="I497">
        <v>6</v>
      </c>
      <c r="J497">
        <v>391</v>
      </c>
      <c r="K497">
        <v>19.2</v>
      </c>
      <c r="L497">
        <v>396.9</v>
      </c>
      <c r="M497">
        <v>13.59</v>
      </c>
      <c r="N497">
        <v>24.5</v>
      </c>
    </row>
    <row r="498" spans="1:14">
      <c r="A498">
        <v>0.17899000000000001</v>
      </c>
      <c r="B498">
        <v>0</v>
      </c>
      <c r="C498">
        <v>9.69</v>
      </c>
      <c r="D498">
        <v>0</v>
      </c>
      <c r="E498">
        <v>0.58499999999999996</v>
      </c>
      <c r="F498">
        <v>5.67</v>
      </c>
      <c r="G498">
        <v>28.8</v>
      </c>
      <c r="H498">
        <v>2.7986</v>
      </c>
      <c r="I498">
        <v>6</v>
      </c>
      <c r="J498">
        <v>391</v>
      </c>
      <c r="K498">
        <v>19.2</v>
      </c>
      <c r="L498">
        <v>393.29</v>
      </c>
      <c r="M498">
        <v>17.600000000000001</v>
      </c>
      <c r="N498">
        <v>23.1</v>
      </c>
    </row>
    <row r="499" spans="1:14">
      <c r="A499">
        <v>0.28960000000000002</v>
      </c>
      <c r="B499">
        <v>0</v>
      </c>
      <c r="C499">
        <v>9.69</v>
      </c>
      <c r="D499">
        <v>0</v>
      </c>
      <c r="E499">
        <v>0.58499999999999996</v>
      </c>
      <c r="F499">
        <v>5.39</v>
      </c>
      <c r="G499">
        <v>72.900000000000006</v>
      </c>
      <c r="H499">
        <v>2.7986</v>
      </c>
      <c r="I499">
        <v>6</v>
      </c>
      <c r="J499">
        <v>391</v>
      </c>
      <c r="K499">
        <v>19.2</v>
      </c>
      <c r="L499">
        <v>396.9</v>
      </c>
      <c r="M499">
        <v>21.14</v>
      </c>
      <c r="N499">
        <v>19.7</v>
      </c>
    </row>
    <row r="500" spans="1:14">
      <c r="A500">
        <v>0.26838000000000001</v>
      </c>
      <c r="B500">
        <v>0</v>
      </c>
      <c r="C500">
        <v>9.69</v>
      </c>
      <c r="D500">
        <v>0</v>
      </c>
      <c r="E500">
        <v>0.58499999999999996</v>
      </c>
      <c r="F500">
        <v>5.7939999999999996</v>
      </c>
      <c r="G500">
        <v>70.599999999999994</v>
      </c>
      <c r="H500">
        <v>2.8927</v>
      </c>
      <c r="I500">
        <v>6</v>
      </c>
      <c r="J500">
        <v>391</v>
      </c>
      <c r="K500">
        <v>19.2</v>
      </c>
      <c r="L500">
        <v>396.9</v>
      </c>
      <c r="M500">
        <v>14.1</v>
      </c>
      <c r="N500">
        <v>18.3</v>
      </c>
    </row>
    <row r="501" spans="1:14">
      <c r="A501">
        <v>0.23912</v>
      </c>
      <c r="B501">
        <v>0</v>
      </c>
      <c r="C501">
        <v>9.69</v>
      </c>
      <c r="D501">
        <v>0</v>
      </c>
      <c r="E501">
        <v>0.58499999999999996</v>
      </c>
      <c r="F501">
        <v>6.0190000000000001</v>
      </c>
      <c r="G501">
        <v>65.3</v>
      </c>
      <c r="H501">
        <v>2.4091</v>
      </c>
      <c r="I501">
        <v>6</v>
      </c>
      <c r="J501">
        <v>391</v>
      </c>
      <c r="K501">
        <v>19.2</v>
      </c>
      <c r="L501">
        <v>396.9</v>
      </c>
      <c r="M501">
        <v>12.92</v>
      </c>
      <c r="N501">
        <v>21.2</v>
      </c>
    </row>
    <row r="502" spans="1:14">
      <c r="A502">
        <v>0.17782999999999999</v>
      </c>
      <c r="B502">
        <v>0</v>
      </c>
      <c r="C502">
        <v>9.69</v>
      </c>
      <c r="D502">
        <v>0</v>
      </c>
      <c r="E502">
        <v>0.58499999999999996</v>
      </c>
      <c r="F502">
        <v>5.569</v>
      </c>
      <c r="G502">
        <v>73.5</v>
      </c>
      <c r="H502">
        <v>2.3999000000000001</v>
      </c>
      <c r="I502">
        <v>6</v>
      </c>
      <c r="J502">
        <v>391</v>
      </c>
      <c r="K502">
        <v>19.2</v>
      </c>
      <c r="L502">
        <v>395.77</v>
      </c>
      <c r="M502">
        <v>15.1</v>
      </c>
      <c r="N502">
        <v>17.5</v>
      </c>
    </row>
    <row r="503" spans="1:14">
      <c r="A503">
        <v>0.22438</v>
      </c>
      <c r="B503">
        <v>0</v>
      </c>
      <c r="C503">
        <v>9.69</v>
      </c>
      <c r="D503">
        <v>0</v>
      </c>
      <c r="E503">
        <v>0.58499999999999996</v>
      </c>
      <c r="F503">
        <v>6.0270000000000001</v>
      </c>
      <c r="G503">
        <v>79.7</v>
      </c>
      <c r="H503">
        <v>2.4982000000000002</v>
      </c>
      <c r="I503">
        <v>6</v>
      </c>
      <c r="J503">
        <v>391</v>
      </c>
      <c r="K503">
        <v>19.2</v>
      </c>
      <c r="L503">
        <v>396.9</v>
      </c>
      <c r="M503">
        <v>14.33</v>
      </c>
      <c r="N503">
        <v>16.8</v>
      </c>
    </row>
    <row r="504" spans="1:14">
      <c r="A504">
        <v>6.2630000000000005E-2</v>
      </c>
      <c r="B504">
        <v>0</v>
      </c>
      <c r="C504">
        <v>11.93</v>
      </c>
      <c r="D504">
        <v>0</v>
      </c>
      <c r="E504">
        <v>0.57299999999999995</v>
      </c>
      <c r="F504">
        <v>6.593</v>
      </c>
      <c r="G504">
        <v>69.099999999999994</v>
      </c>
      <c r="H504">
        <v>2.4786000000000001</v>
      </c>
      <c r="I504">
        <v>1</v>
      </c>
      <c r="J504">
        <v>273</v>
      </c>
      <c r="K504">
        <v>21</v>
      </c>
      <c r="L504">
        <v>391.99</v>
      </c>
      <c r="M504">
        <v>9.67</v>
      </c>
      <c r="N504">
        <v>22.4</v>
      </c>
    </row>
    <row r="505" spans="1:14">
      <c r="A505">
        <v>4.5269999999999998E-2</v>
      </c>
      <c r="B505">
        <v>0</v>
      </c>
      <c r="C505">
        <v>11.93</v>
      </c>
      <c r="D505">
        <v>0</v>
      </c>
      <c r="E505">
        <v>0.57299999999999995</v>
      </c>
      <c r="F505">
        <v>6.12</v>
      </c>
      <c r="G505">
        <v>76.7</v>
      </c>
      <c r="H505">
        <v>2.2875000000000001</v>
      </c>
      <c r="I505">
        <v>1</v>
      </c>
      <c r="J505">
        <v>273</v>
      </c>
      <c r="K505">
        <v>21</v>
      </c>
      <c r="L505">
        <v>396.9</v>
      </c>
      <c r="M505">
        <v>9.08</v>
      </c>
      <c r="N505">
        <v>20.6</v>
      </c>
    </row>
    <row r="506" spans="1:14">
      <c r="A506">
        <v>6.0760000000000002E-2</v>
      </c>
      <c r="B506">
        <v>0</v>
      </c>
      <c r="C506">
        <v>11.93</v>
      </c>
      <c r="D506">
        <v>0</v>
      </c>
      <c r="E506">
        <v>0.57299999999999995</v>
      </c>
      <c r="F506">
        <v>6.976</v>
      </c>
      <c r="G506">
        <v>91</v>
      </c>
      <c r="H506">
        <v>2.1675</v>
      </c>
      <c r="I506">
        <v>1</v>
      </c>
      <c r="J506">
        <v>273</v>
      </c>
      <c r="K506">
        <v>21</v>
      </c>
      <c r="L506">
        <v>396.9</v>
      </c>
      <c r="M506">
        <v>5.64</v>
      </c>
      <c r="N506">
        <v>23.9</v>
      </c>
    </row>
    <row r="507" spans="1:14">
      <c r="A507">
        <v>0.10959000000000001</v>
      </c>
      <c r="B507">
        <v>0</v>
      </c>
      <c r="C507">
        <v>11.93</v>
      </c>
      <c r="D507">
        <v>0</v>
      </c>
      <c r="E507">
        <v>0.57299999999999995</v>
      </c>
      <c r="F507">
        <v>6.7939999999999996</v>
      </c>
      <c r="G507">
        <v>89.3</v>
      </c>
      <c r="H507">
        <v>2.3889</v>
      </c>
      <c r="I507">
        <v>1</v>
      </c>
      <c r="J507">
        <v>273</v>
      </c>
      <c r="K507">
        <v>21</v>
      </c>
      <c r="L507">
        <v>393.45</v>
      </c>
      <c r="M507">
        <v>6.48</v>
      </c>
      <c r="N507">
        <v>22</v>
      </c>
    </row>
    <row r="508" spans="1:14">
      <c r="A508">
        <v>4.7410000000000001E-2</v>
      </c>
      <c r="B508">
        <v>0</v>
      </c>
      <c r="C508">
        <v>11.93</v>
      </c>
      <c r="D508">
        <v>0</v>
      </c>
      <c r="E508">
        <v>0.57299999999999995</v>
      </c>
      <c r="F508">
        <v>6.03</v>
      </c>
      <c r="G508">
        <v>80.8</v>
      </c>
      <c r="H508">
        <v>2.5049999999999999</v>
      </c>
      <c r="I508">
        <v>1</v>
      </c>
      <c r="J508">
        <v>273</v>
      </c>
      <c r="K508">
        <v>21</v>
      </c>
      <c r="L508">
        <v>396.9</v>
      </c>
      <c r="M508">
        <v>7.88</v>
      </c>
      <c r="N508">
        <v>11.9</v>
      </c>
    </row>
  </sheetData>
  <mergeCells count="1">
    <mergeCell ref="A1:M1"/>
  </mergeCells>
  <phoneticPr fontId="1" type="noConversion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A510"/>
  <sheetViews>
    <sheetView tabSelected="1" topLeftCell="J19" zoomScale="70" zoomScaleNormal="70" workbookViewId="0">
      <selection activeCell="P48" sqref="P48"/>
    </sheetView>
  </sheetViews>
  <sheetFormatPr defaultRowHeight="17.399999999999999"/>
  <cols>
    <col min="1" max="1" width="13" bestFit="1" customWidth="1"/>
    <col min="2" max="2" width="13.796875" bestFit="1" customWidth="1"/>
    <col min="3" max="4" width="15.19921875" bestFit="1" customWidth="1"/>
    <col min="5" max="5" width="13" bestFit="1" customWidth="1"/>
    <col min="6" max="6" width="13.796875" bestFit="1" customWidth="1"/>
    <col min="7" max="8" width="15.19921875" bestFit="1" customWidth="1"/>
    <col min="9" max="10" width="13.796875" bestFit="1" customWidth="1"/>
    <col min="11" max="11" width="13" bestFit="1" customWidth="1"/>
    <col min="12" max="12" width="13.796875" bestFit="1" customWidth="1"/>
    <col min="13" max="13" width="9.09765625" bestFit="1" customWidth="1"/>
    <col min="14" max="14" width="13.796875" style="109" bestFit="1" customWidth="1"/>
    <col min="15" max="15" width="13.19921875" style="5" bestFit="1" customWidth="1"/>
    <col min="16" max="18" width="14.09765625" bestFit="1" customWidth="1"/>
    <col min="19" max="19" width="13.796875" bestFit="1" customWidth="1"/>
    <col min="20" max="27" width="14.09765625" bestFit="1" customWidth="1"/>
    <col min="28" max="32" width="8.69921875" bestFit="1" customWidth="1"/>
    <col min="33" max="33" width="7.69921875" bestFit="1" customWidth="1"/>
    <col min="34" max="34" width="8.69921875" bestFit="1" customWidth="1"/>
    <col min="35" max="35" width="7.69921875" bestFit="1" customWidth="1"/>
    <col min="36" max="57" width="8.69921875" bestFit="1" customWidth="1"/>
    <col min="58" max="58" width="7.69921875" bestFit="1" customWidth="1"/>
    <col min="59" max="67" width="8.69921875" bestFit="1" customWidth="1"/>
    <col min="68" max="68" width="7.69921875" bestFit="1" customWidth="1"/>
    <col min="69" max="69" width="8.69921875" bestFit="1" customWidth="1"/>
    <col min="70" max="70" width="7.69921875" bestFit="1" customWidth="1"/>
    <col min="71" max="78" width="8.69921875" bestFit="1" customWidth="1"/>
    <col min="79" max="79" width="7.69921875" bestFit="1" customWidth="1"/>
    <col min="80" max="103" width="8.69921875" bestFit="1" customWidth="1"/>
    <col min="104" max="104" width="7.69921875" bestFit="1" customWidth="1"/>
    <col min="105" max="114" width="8.69921875" bestFit="1" customWidth="1"/>
    <col min="115" max="115" width="7.69921875" bestFit="1" customWidth="1"/>
    <col min="116" max="119" width="8.69921875" bestFit="1" customWidth="1"/>
    <col min="120" max="120" width="7.69921875" bestFit="1" customWidth="1"/>
    <col min="121" max="121" width="8.69921875" bestFit="1" customWidth="1"/>
    <col min="122" max="122" width="7.69921875" bestFit="1" customWidth="1"/>
    <col min="123" max="153" width="8.69921875" bestFit="1" customWidth="1"/>
    <col min="154" max="154" width="7.69921875" bestFit="1" customWidth="1"/>
    <col min="155" max="155" width="8.69921875" bestFit="1" customWidth="1"/>
    <col min="156" max="156" width="7.69921875" bestFit="1" customWidth="1"/>
    <col min="157" max="158" width="8.69921875" bestFit="1" customWidth="1"/>
    <col min="159" max="159" width="7.69921875" bestFit="1" customWidth="1"/>
    <col min="160" max="165" width="8.69921875" bestFit="1" customWidth="1"/>
    <col min="166" max="166" width="7.69921875" bestFit="1" customWidth="1"/>
    <col min="167" max="180" width="8.69921875" bestFit="1" customWidth="1"/>
    <col min="181" max="181" width="7.69921875" bestFit="1" customWidth="1"/>
    <col min="182" max="183" width="8.69921875" bestFit="1" customWidth="1"/>
    <col min="184" max="184" width="7.69921875" bestFit="1" customWidth="1"/>
    <col min="185" max="186" width="8.69921875" bestFit="1" customWidth="1"/>
    <col min="187" max="187" width="7.69921875" bestFit="1" customWidth="1"/>
    <col min="188" max="194" width="8.69921875" bestFit="1" customWidth="1"/>
    <col min="195" max="195" width="7.69921875" bestFit="1" customWidth="1"/>
    <col min="196" max="204" width="8.69921875" bestFit="1" customWidth="1"/>
    <col min="205" max="205" width="7.69921875" bestFit="1" customWidth="1"/>
    <col min="206" max="214" width="8.69921875" bestFit="1" customWidth="1"/>
    <col min="215" max="215" width="7.69921875" bestFit="1" customWidth="1"/>
    <col min="216" max="218" width="8.69921875" bestFit="1" customWidth="1"/>
    <col min="219" max="219" width="7.69921875" bestFit="1" customWidth="1"/>
    <col min="220" max="231" width="8.69921875" bestFit="1" customWidth="1"/>
    <col min="232" max="232" width="7.69921875" bestFit="1" customWidth="1"/>
    <col min="233" max="238" width="8.69921875" bestFit="1" customWidth="1"/>
    <col min="239" max="239" width="7.69921875" bestFit="1" customWidth="1"/>
    <col min="240" max="245" width="8.69921875" bestFit="1" customWidth="1"/>
    <col min="246" max="246" width="7.69921875" bestFit="1" customWidth="1"/>
    <col min="247" max="257" width="8.69921875" bestFit="1" customWidth="1"/>
    <col min="258" max="258" width="7.69921875" bestFit="1" customWidth="1"/>
    <col min="259" max="265" width="8.69921875" bestFit="1" customWidth="1"/>
    <col min="266" max="266" width="7.69921875" bestFit="1" customWidth="1"/>
    <col min="267" max="281" width="8.69921875" bestFit="1" customWidth="1"/>
    <col min="282" max="282" width="7.69921875" bestFit="1" customWidth="1"/>
    <col min="283" max="283" width="8.69921875" bestFit="1" customWidth="1"/>
    <col min="284" max="284" width="7.69921875" bestFit="1" customWidth="1"/>
    <col min="285" max="287" width="8.69921875" bestFit="1" customWidth="1"/>
    <col min="288" max="288" width="7.69921875" bestFit="1" customWidth="1"/>
    <col min="289" max="303" width="8.69921875" bestFit="1" customWidth="1"/>
    <col min="304" max="304" width="7.69921875" bestFit="1" customWidth="1"/>
    <col min="305" max="318" width="8.69921875" bestFit="1" customWidth="1"/>
    <col min="319" max="319" width="7.69921875" bestFit="1" customWidth="1"/>
    <col min="320" max="324" width="8.69921875" bestFit="1" customWidth="1"/>
    <col min="325" max="325" width="7.69921875" bestFit="1" customWidth="1"/>
    <col min="326" max="329" width="8.69921875" bestFit="1" customWidth="1"/>
    <col min="330" max="330" width="7.69921875" bestFit="1" customWidth="1"/>
    <col min="331" max="335" width="8.69921875" bestFit="1" customWidth="1"/>
    <col min="336" max="336" width="7.69921875" bestFit="1" customWidth="1"/>
    <col min="337" max="362" width="8.69921875" bestFit="1" customWidth="1"/>
    <col min="363" max="363" width="7.69921875" bestFit="1" customWidth="1"/>
    <col min="364" max="372" width="8.69921875" bestFit="1" customWidth="1"/>
    <col min="373" max="373" width="7.69921875" bestFit="1" customWidth="1"/>
    <col min="374" max="386" width="8.69921875" bestFit="1" customWidth="1"/>
    <col min="387" max="387" width="7.69921875" bestFit="1" customWidth="1"/>
    <col min="388" max="391" width="8.69921875" bestFit="1" customWidth="1"/>
    <col min="392" max="392" width="7.69921875" bestFit="1" customWidth="1"/>
    <col min="393" max="427" width="8.69921875" bestFit="1" customWidth="1"/>
    <col min="428" max="428" width="7.69921875" bestFit="1" customWidth="1"/>
    <col min="429" max="480" width="8.69921875" bestFit="1" customWidth="1"/>
    <col min="481" max="481" width="7.69921875" bestFit="1" customWidth="1"/>
    <col min="482" max="493" width="8.69921875" bestFit="1" customWidth="1"/>
    <col min="494" max="494" width="7.69921875" bestFit="1" customWidth="1"/>
    <col min="495" max="511" width="8.69921875" bestFit="1" customWidth="1"/>
    <col min="512" max="512" width="7.69921875" bestFit="1" customWidth="1"/>
    <col min="513" max="521" width="8.69921875" bestFit="1" customWidth="1"/>
  </cols>
  <sheetData>
    <row r="1" spans="1:521">
      <c r="A1" s="96" t="s">
        <v>569</v>
      </c>
      <c r="B1" s="96" t="s">
        <v>254</v>
      </c>
      <c r="C1" s="96" t="s">
        <v>255</v>
      </c>
      <c r="D1" s="96" t="s">
        <v>256</v>
      </c>
      <c r="E1" s="96" t="s">
        <v>533</v>
      </c>
      <c r="F1" s="96" t="s">
        <v>534</v>
      </c>
      <c r="G1" s="96" t="s">
        <v>535</v>
      </c>
      <c r="H1" s="96" t="s">
        <v>570</v>
      </c>
      <c r="I1" s="96" t="s">
        <v>571</v>
      </c>
      <c r="J1" s="96" t="s">
        <v>572</v>
      </c>
      <c r="K1" s="96" t="s">
        <v>573</v>
      </c>
      <c r="L1" s="96" t="s">
        <v>574</v>
      </c>
      <c r="N1" s="106" t="s">
        <v>650</v>
      </c>
      <c r="O1" s="92"/>
    </row>
    <row r="2" spans="1:521">
      <c r="A2" s="101">
        <f t="array" ref="A2:L2">TRANSPOSE(R47:R58)</f>
        <v>37.308336783538152</v>
      </c>
      <c r="B2" s="101">
        <v>-0.10340205104754774</v>
      </c>
      <c r="C2" s="101">
        <v>1.8211640583899236E-2</v>
      </c>
      <c r="D2" s="101">
        <v>-17.829176184825542</v>
      </c>
      <c r="E2" s="101">
        <v>4.0743788752525631</v>
      </c>
      <c r="F2" s="101">
        <v>-2.6467754455836712E-3</v>
      </c>
      <c r="G2" s="101">
        <v>-1.2101823069901618</v>
      </c>
      <c r="H2" s="101">
        <v>0.30460318752618892</v>
      </c>
      <c r="I2" s="101">
        <v>-1.0901322625818367E-2</v>
      </c>
      <c r="J2" s="101">
        <v>-1.131145984724399</v>
      </c>
      <c r="K2" s="101">
        <v>9.8534952119668368E-3</v>
      </c>
      <c r="L2" s="101">
        <v>-0.52507218380875997</v>
      </c>
      <c r="N2" s="107">
        <f>CORREL(M5:M510,N5:N510)</f>
        <v>0.85400346797368776</v>
      </c>
    </row>
    <row r="3" spans="1:521">
      <c r="A3" s="112" t="s">
        <v>562</v>
      </c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96" t="s">
        <v>563</v>
      </c>
      <c r="N3" s="108" t="s">
        <v>575</v>
      </c>
    </row>
    <row r="4" spans="1:521">
      <c r="A4" s="59" t="s">
        <v>564</v>
      </c>
      <c r="B4" t="s">
        <v>584</v>
      </c>
      <c r="C4" t="s">
        <v>595</v>
      </c>
      <c r="D4" t="s">
        <v>598</v>
      </c>
      <c r="E4" t="s">
        <v>586</v>
      </c>
      <c r="F4" t="s">
        <v>600</v>
      </c>
      <c r="G4" t="s">
        <v>602</v>
      </c>
      <c r="H4" t="s">
        <v>588</v>
      </c>
      <c r="I4" t="s">
        <v>604</v>
      </c>
      <c r="J4" t="s">
        <v>590</v>
      </c>
      <c r="K4" t="s">
        <v>606</v>
      </c>
      <c r="L4" t="s">
        <v>608</v>
      </c>
      <c r="M4" t="s">
        <v>592</v>
      </c>
      <c r="N4" s="108" t="s">
        <v>575</v>
      </c>
      <c r="P4" s="128" t="s">
        <v>565</v>
      </c>
      <c r="Q4" s="128"/>
      <c r="R4" s="128"/>
      <c r="S4" s="128"/>
      <c r="T4" s="128"/>
      <c r="U4" s="128"/>
      <c r="V4" s="128"/>
      <c r="W4" s="128"/>
      <c r="X4" s="128"/>
      <c r="Y4" s="128"/>
      <c r="Z4" s="128"/>
      <c r="AA4" s="128"/>
      <c r="AB4" s="128"/>
      <c r="AC4" s="128"/>
      <c r="AD4" s="128"/>
      <c r="AE4" s="128"/>
      <c r="AF4" s="128"/>
      <c r="AG4" s="128"/>
      <c r="AH4" s="128"/>
      <c r="AI4" s="128"/>
      <c r="AJ4" s="128"/>
      <c r="AK4" s="128"/>
      <c r="AL4" s="128"/>
      <c r="AM4" s="128"/>
      <c r="AN4" s="128"/>
      <c r="AO4" s="128"/>
      <c r="AP4" s="128"/>
      <c r="AQ4" s="128"/>
      <c r="AR4" s="128"/>
      <c r="AS4" s="128"/>
      <c r="AT4" s="128"/>
      <c r="AU4" s="128"/>
      <c r="AV4" s="128"/>
      <c r="AW4" s="128"/>
      <c r="AX4" s="128"/>
      <c r="AY4" s="128"/>
      <c r="AZ4" s="128"/>
      <c r="BA4" s="128"/>
      <c r="BB4" s="128"/>
      <c r="BC4" s="128"/>
      <c r="BD4" s="128"/>
      <c r="BE4" s="128"/>
      <c r="BF4" s="128"/>
      <c r="BG4" s="128"/>
      <c r="BH4" s="128"/>
      <c r="BI4" s="128"/>
      <c r="BJ4" s="128"/>
      <c r="BK4" s="128"/>
      <c r="BL4" s="128"/>
      <c r="BM4" s="128"/>
      <c r="BN4" s="128"/>
      <c r="BO4" s="128"/>
      <c r="BP4" s="128"/>
      <c r="BQ4" s="128"/>
      <c r="BR4" s="128"/>
      <c r="BS4" s="128"/>
      <c r="BT4" s="128"/>
      <c r="BU4" s="128"/>
      <c r="BV4" s="128"/>
      <c r="BW4" s="128"/>
      <c r="BX4" s="128"/>
      <c r="BY4" s="128"/>
      <c r="BZ4" s="128"/>
      <c r="CA4" s="128"/>
      <c r="CB4" s="128"/>
      <c r="CC4" s="128"/>
      <c r="CD4" s="128"/>
      <c r="CE4" s="128"/>
      <c r="CF4" s="128"/>
      <c r="CG4" s="128"/>
      <c r="CH4" s="128"/>
      <c r="CI4" s="128"/>
      <c r="CJ4" s="128"/>
      <c r="CK4" s="128"/>
      <c r="CL4" s="128"/>
      <c r="CM4" s="128"/>
      <c r="CN4" s="128"/>
      <c r="CO4" s="128"/>
      <c r="CP4" s="128"/>
      <c r="CQ4" s="128"/>
      <c r="CR4" s="128"/>
      <c r="CS4" s="128"/>
      <c r="CT4" s="128"/>
      <c r="CU4" s="128"/>
      <c r="CV4" s="128"/>
      <c r="CW4" s="128"/>
      <c r="CX4" s="128"/>
      <c r="CY4" s="128"/>
      <c r="CZ4" s="128"/>
      <c r="DA4" s="128"/>
      <c r="DB4" s="128"/>
      <c r="DC4" s="128"/>
      <c r="DD4" s="128"/>
      <c r="DE4" s="128"/>
      <c r="DF4" s="128"/>
      <c r="DG4" s="128"/>
      <c r="DH4" s="128"/>
      <c r="DI4" s="128"/>
      <c r="DJ4" s="128"/>
      <c r="DK4" s="128"/>
      <c r="DL4" s="128"/>
      <c r="DM4" s="128"/>
      <c r="DN4" s="128"/>
      <c r="DO4" s="128"/>
      <c r="DP4" s="128"/>
      <c r="DQ4" s="128"/>
      <c r="DR4" s="128"/>
      <c r="DS4" s="128"/>
      <c r="DT4" s="128"/>
      <c r="DU4" s="128"/>
      <c r="DV4" s="128"/>
      <c r="DW4" s="128"/>
      <c r="DX4" s="128"/>
      <c r="DY4" s="128"/>
      <c r="DZ4" s="128"/>
      <c r="EA4" s="128"/>
      <c r="EB4" s="128"/>
      <c r="EC4" s="128"/>
      <c r="ED4" s="128"/>
      <c r="EE4" s="128"/>
      <c r="EF4" s="128"/>
      <c r="EG4" s="128"/>
      <c r="EH4" s="128"/>
      <c r="EI4" s="128"/>
      <c r="EJ4" s="128"/>
      <c r="EK4" s="128"/>
      <c r="EL4" s="128"/>
      <c r="EM4" s="128"/>
      <c r="EN4" s="128"/>
      <c r="EO4" s="128"/>
      <c r="EP4" s="128"/>
      <c r="EQ4" s="128"/>
      <c r="ER4" s="128"/>
      <c r="ES4" s="128"/>
      <c r="ET4" s="128"/>
      <c r="EU4" s="128"/>
      <c r="EV4" s="128"/>
      <c r="EW4" s="128"/>
      <c r="EX4" s="128"/>
      <c r="EY4" s="128"/>
      <c r="EZ4" s="128"/>
      <c r="FA4" s="128"/>
      <c r="FB4" s="128"/>
      <c r="FC4" s="128"/>
      <c r="FD4" s="128"/>
      <c r="FE4" s="128"/>
      <c r="FF4" s="128"/>
      <c r="FG4" s="128"/>
      <c r="FH4" s="128"/>
      <c r="FI4" s="128"/>
      <c r="FJ4" s="128"/>
      <c r="FK4" s="128"/>
      <c r="FL4" s="128"/>
      <c r="FM4" s="128"/>
      <c r="FN4" s="128"/>
      <c r="FO4" s="128"/>
      <c r="FP4" s="128"/>
      <c r="FQ4" s="128"/>
      <c r="FR4" s="128"/>
      <c r="FS4" s="128"/>
      <c r="FT4" s="128"/>
      <c r="FU4" s="128"/>
      <c r="FV4" s="128"/>
      <c r="FW4" s="128"/>
      <c r="FX4" s="128"/>
      <c r="FY4" s="128"/>
      <c r="FZ4" s="128"/>
      <c r="GA4" s="128"/>
      <c r="GB4" s="128"/>
      <c r="GC4" s="128"/>
      <c r="GD4" s="128"/>
      <c r="GE4" s="128"/>
      <c r="GF4" s="128"/>
      <c r="GG4" s="128"/>
      <c r="GH4" s="128"/>
      <c r="GI4" s="128"/>
      <c r="GJ4" s="128"/>
      <c r="GK4" s="128"/>
      <c r="GL4" s="128"/>
      <c r="GM4" s="128"/>
      <c r="GN4" s="128"/>
      <c r="GO4" s="128"/>
      <c r="GP4" s="128"/>
      <c r="GQ4" s="128"/>
      <c r="GR4" s="128"/>
      <c r="GS4" s="128"/>
      <c r="GT4" s="128"/>
      <c r="GU4" s="128"/>
      <c r="GV4" s="128"/>
      <c r="GW4" s="128"/>
      <c r="GX4" s="128"/>
      <c r="GY4" s="128"/>
      <c r="GZ4" s="128"/>
      <c r="HA4" s="128"/>
      <c r="HB4" s="128"/>
      <c r="HC4" s="128"/>
      <c r="HD4" s="128"/>
      <c r="HE4" s="128"/>
      <c r="HF4" s="128"/>
      <c r="HG4" s="128"/>
      <c r="HH4" s="128"/>
      <c r="HI4" s="128"/>
      <c r="HJ4" s="128"/>
      <c r="HK4" s="128"/>
      <c r="HL4" s="128"/>
      <c r="HM4" s="128"/>
      <c r="HN4" s="128"/>
      <c r="HO4" s="128"/>
      <c r="HP4" s="128"/>
      <c r="HQ4" s="128"/>
      <c r="HR4" s="128"/>
      <c r="HS4" s="128"/>
      <c r="HT4" s="128"/>
      <c r="HU4" s="128"/>
      <c r="HV4" s="128"/>
      <c r="HW4" s="128"/>
      <c r="HX4" s="128"/>
      <c r="HY4" s="128"/>
      <c r="HZ4" s="128"/>
      <c r="IA4" s="128"/>
      <c r="IB4" s="128"/>
      <c r="IC4" s="128"/>
      <c r="ID4" s="128"/>
      <c r="IE4" s="128"/>
      <c r="IF4" s="128"/>
      <c r="IG4" s="128"/>
      <c r="IH4" s="128"/>
      <c r="II4" s="128"/>
      <c r="IJ4" s="128"/>
      <c r="IK4" s="128"/>
      <c r="IL4" s="128"/>
      <c r="IM4" s="128"/>
      <c r="IN4" s="128"/>
      <c r="IO4" s="128"/>
      <c r="IP4" s="128"/>
      <c r="IQ4" s="128"/>
      <c r="IR4" s="128"/>
      <c r="IS4" s="128"/>
      <c r="IT4" s="128"/>
      <c r="IU4" s="128"/>
      <c r="IV4" s="128"/>
      <c r="IW4" s="128"/>
      <c r="IX4" s="128"/>
      <c r="IY4" s="128"/>
      <c r="IZ4" s="128"/>
      <c r="JA4" s="128"/>
      <c r="JB4" s="128"/>
      <c r="JC4" s="128"/>
      <c r="JD4" s="128"/>
      <c r="JE4" s="128"/>
      <c r="JF4" s="128"/>
      <c r="JG4" s="128"/>
      <c r="JH4" s="128"/>
      <c r="JI4" s="128"/>
      <c r="JJ4" s="128"/>
      <c r="JK4" s="128"/>
      <c r="JL4" s="128"/>
      <c r="JM4" s="128"/>
      <c r="JN4" s="128"/>
      <c r="JO4" s="128"/>
      <c r="JP4" s="128"/>
      <c r="JQ4" s="128"/>
      <c r="JR4" s="128"/>
      <c r="JS4" s="128"/>
      <c r="JT4" s="128"/>
      <c r="JU4" s="128"/>
      <c r="JV4" s="128"/>
      <c r="JW4" s="128"/>
      <c r="JX4" s="128"/>
      <c r="JY4" s="128"/>
      <c r="JZ4" s="128"/>
      <c r="KA4" s="128"/>
      <c r="KB4" s="128"/>
      <c r="KC4" s="128"/>
      <c r="KD4" s="128"/>
      <c r="KE4" s="128"/>
      <c r="KF4" s="128"/>
      <c r="KG4" s="128"/>
      <c r="KH4" s="128"/>
      <c r="KI4" s="128"/>
      <c r="KJ4" s="128"/>
      <c r="KK4" s="128"/>
      <c r="KL4" s="128"/>
      <c r="KM4" s="128"/>
      <c r="KN4" s="128"/>
      <c r="KO4" s="128"/>
      <c r="KP4" s="128"/>
      <c r="KQ4" s="128"/>
      <c r="KR4" s="128"/>
      <c r="KS4" s="128"/>
      <c r="KT4" s="128"/>
      <c r="KU4" s="128"/>
      <c r="KV4" s="128"/>
      <c r="KW4" s="128"/>
      <c r="KX4" s="128"/>
      <c r="KY4" s="128"/>
      <c r="KZ4" s="128"/>
      <c r="LA4" s="128"/>
      <c r="LB4" s="128"/>
      <c r="LC4" s="128"/>
      <c r="LD4" s="128"/>
      <c r="LE4" s="128"/>
      <c r="LF4" s="128"/>
      <c r="LG4" s="128"/>
      <c r="LH4" s="128"/>
      <c r="LI4" s="128"/>
      <c r="LJ4" s="128"/>
      <c r="LK4" s="128"/>
      <c r="LL4" s="128"/>
      <c r="LM4" s="128"/>
      <c r="LN4" s="128"/>
      <c r="LO4" s="128"/>
      <c r="LP4" s="128"/>
      <c r="LQ4" s="128"/>
      <c r="LR4" s="128"/>
      <c r="LS4" s="128"/>
      <c r="LT4" s="128"/>
      <c r="LU4" s="128"/>
      <c r="LV4" s="128"/>
      <c r="LW4" s="128"/>
      <c r="LX4" s="128"/>
      <c r="LY4" s="128"/>
      <c r="LZ4" s="128"/>
      <c r="MA4" s="128"/>
      <c r="MB4" s="128"/>
      <c r="MC4" s="128"/>
      <c r="MD4" s="128"/>
      <c r="ME4" s="128"/>
      <c r="MF4" s="128"/>
      <c r="MG4" s="128"/>
      <c r="MH4" s="128"/>
      <c r="MI4" s="128"/>
      <c r="MJ4" s="128"/>
      <c r="MK4" s="128"/>
      <c r="ML4" s="128"/>
      <c r="MM4" s="128"/>
      <c r="MN4" s="128"/>
      <c r="MO4" s="128"/>
      <c r="MP4" s="128"/>
      <c r="MQ4" s="128"/>
      <c r="MR4" s="128"/>
      <c r="MS4" s="128"/>
      <c r="MT4" s="128"/>
      <c r="MU4" s="128"/>
      <c r="MV4" s="128"/>
      <c r="MW4" s="128"/>
      <c r="MX4" s="128"/>
      <c r="MY4" s="128"/>
      <c r="MZ4" s="128"/>
      <c r="NA4" s="128"/>
      <c r="NB4" s="128"/>
      <c r="NC4" s="128"/>
      <c r="ND4" s="128"/>
      <c r="NE4" s="128"/>
      <c r="NF4" s="128"/>
      <c r="NG4" s="128"/>
      <c r="NH4" s="128"/>
      <c r="NI4" s="128"/>
      <c r="NJ4" s="128"/>
      <c r="NK4" s="128"/>
      <c r="NL4" s="128"/>
      <c r="NM4" s="128"/>
      <c r="NN4" s="128"/>
      <c r="NO4" s="128"/>
      <c r="NP4" s="128"/>
      <c r="NQ4" s="128"/>
      <c r="NR4" s="128"/>
      <c r="NS4" s="128"/>
      <c r="NT4" s="128"/>
      <c r="NU4" s="128"/>
      <c r="NV4" s="128"/>
      <c r="NW4" s="128"/>
      <c r="NX4" s="128"/>
      <c r="NY4" s="128"/>
      <c r="NZ4" s="128"/>
      <c r="OA4" s="128"/>
      <c r="OB4" s="128"/>
      <c r="OC4" s="128"/>
      <c r="OD4" s="128"/>
      <c r="OE4" s="128"/>
      <c r="OF4" s="128"/>
      <c r="OG4" s="128"/>
      <c r="OH4" s="128"/>
      <c r="OI4" s="128"/>
      <c r="OJ4" s="128"/>
      <c r="OK4" s="128"/>
      <c r="OL4" s="128"/>
      <c r="OM4" s="128"/>
      <c r="ON4" s="128"/>
      <c r="OO4" s="128"/>
      <c r="OP4" s="128"/>
      <c r="OQ4" s="128"/>
      <c r="OR4" s="128"/>
      <c r="OS4" s="128"/>
      <c r="OT4" s="128"/>
      <c r="OU4" s="128"/>
      <c r="OV4" s="128"/>
      <c r="OW4" s="128"/>
      <c r="OX4" s="128"/>
      <c r="OY4" s="128"/>
      <c r="OZ4" s="128"/>
      <c r="PA4" s="128"/>
      <c r="PB4" s="128"/>
      <c r="PC4" s="128"/>
      <c r="PD4" s="128"/>
      <c r="PE4" s="128"/>
      <c r="PF4" s="128"/>
      <c r="PG4" s="128"/>
      <c r="PH4" s="128"/>
      <c r="PI4" s="128"/>
      <c r="PJ4" s="128"/>
      <c r="PK4" s="128"/>
      <c r="PL4" s="128"/>
      <c r="PM4" s="128"/>
      <c r="PN4" s="128"/>
      <c r="PO4" s="128"/>
      <c r="PP4" s="128"/>
      <c r="PQ4" s="128"/>
      <c r="PR4" s="128"/>
      <c r="PS4" s="128"/>
      <c r="PT4" s="128"/>
      <c r="PU4" s="128"/>
      <c r="PV4" s="128"/>
      <c r="PW4" s="128"/>
      <c r="PX4" s="128"/>
      <c r="PY4" s="128"/>
      <c r="PZ4" s="128"/>
      <c r="QA4" s="128"/>
      <c r="QB4" s="128"/>
      <c r="QC4" s="128"/>
      <c r="QD4" s="128"/>
      <c r="QE4" s="128"/>
      <c r="QF4" s="128"/>
      <c r="QG4" s="128"/>
      <c r="QH4" s="128"/>
      <c r="QI4" s="128"/>
      <c r="QJ4" s="128"/>
      <c r="QK4" s="128"/>
      <c r="QL4" s="128"/>
      <c r="QM4" s="128"/>
      <c r="QN4" s="128"/>
      <c r="QO4" s="128"/>
      <c r="QP4" s="128"/>
      <c r="QQ4" s="128"/>
      <c r="QR4" s="128"/>
      <c r="QS4" s="128"/>
      <c r="QT4" s="128"/>
      <c r="QU4" s="128"/>
      <c r="QV4" s="128"/>
      <c r="QW4" s="128"/>
      <c r="QX4" s="128"/>
      <c r="QY4" s="128"/>
      <c r="QZ4" s="128"/>
      <c r="RA4" s="128"/>
      <c r="RB4" s="128"/>
      <c r="RC4" s="128"/>
      <c r="RD4" s="128"/>
      <c r="RE4" s="128"/>
      <c r="RF4" s="128"/>
      <c r="RG4" s="128"/>
      <c r="RH4" s="128"/>
      <c r="RI4" s="128"/>
      <c r="RJ4" s="128"/>
      <c r="RK4" s="128"/>
      <c r="RL4" s="128"/>
      <c r="RM4" s="128"/>
      <c r="RN4" s="128"/>
      <c r="RO4" s="128"/>
      <c r="RP4" s="128"/>
      <c r="RQ4" s="128"/>
      <c r="RR4" s="128"/>
      <c r="RS4" s="128"/>
      <c r="RT4" s="128"/>
      <c r="RU4" s="128"/>
      <c r="RV4" s="128"/>
      <c r="RW4" s="128"/>
      <c r="RX4" s="128"/>
      <c r="RY4" s="128"/>
      <c r="RZ4" s="128"/>
      <c r="SA4" s="128"/>
      <c r="SB4" s="128"/>
      <c r="SC4" s="128"/>
      <c r="SD4" s="128"/>
      <c r="SE4" s="128"/>
      <c r="SF4" s="128"/>
      <c r="SG4" s="128"/>
      <c r="SH4" s="128"/>
      <c r="SI4" s="128"/>
      <c r="SJ4" s="128"/>
      <c r="SK4" s="128"/>
      <c r="SL4" s="128"/>
      <c r="SM4" s="128"/>
      <c r="SN4" s="128"/>
      <c r="SO4" s="128"/>
      <c r="SP4" s="128"/>
      <c r="SQ4" s="128"/>
      <c r="SR4" s="128"/>
      <c r="SS4" s="128"/>
      <c r="ST4" s="128"/>
      <c r="SU4" s="128"/>
      <c r="SV4" s="128"/>
      <c r="SW4" s="128"/>
      <c r="SX4" s="128"/>
      <c r="SY4" s="128"/>
      <c r="SZ4" s="128"/>
      <c r="TA4" s="128"/>
    </row>
    <row r="5" spans="1:521">
      <c r="A5">
        <v>1</v>
      </c>
      <c r="B5">
        <v>6.3200000000000001E-3</v>
      </c>
      <c r="C5">
        <v>2.31</v>
      </c>
      <c r="D5">
        <v>0.53800000000000003</v>
      </c>
      <c r="E5">
        <v>6.5750000000000002</v>
      </c>
      <c r="F5">
        <v>65.2</v>
      </c>
      <c r="G5">
        <v>4.09</v>
      </c>
      <c r="H5">
        <v>1</v>
      </c>
      <c r="I5">
        <v>296</v>
      </c>
      <c r="J5">
        <v>15.3</v>
      </c>
      <c r="K5">
        <v>396.9</v>
      </c>
      <c r="L5">
        <v>4.9800000000000004</v>
      </c>
      <c r="M5">
        <v>24</v>
      </c>
      <c r="N5" s="107">
        <f t="shared" ref="N5:N68" si="0">SUMPRODUCT($A$2:$L$2,A5:L5)</f>
        <v>30.491751993294642</v>
      </c>
      <c r="O5" s="92"/>
      <c r="P5" s="99">
        <v>1</v>
      </c>
      <c r="Q5" s="99">
        <v>1</v>
      </c>
      <c r="R5" s="99">
        <v>1</v>
      </c>
      <c r="S5" s="99">
        <v>1</v>
      </c>
      <c r="T5" s="99">
        <v>1</v>
      </c>
      <c r="U5" s="99">
        <v>1</v>
      </c>
      <c r="V5" s="99">
        <v>1</v>
      </c>
      <c r="W5" s="99">
        <v>1</v>
      </c>
      <c r="X5" s="99">
        <v>1</v>
      </c>
      <c r="Y5" s="99">
        <v>1</v>
      </c>
      <c r="Z5" s="99">
        <v>1</v>
      </c>
      <c r="AA5" s="99">
        <v>1</v>
      </c>
      <c r="AB5" s="99">
        <v>1</v>
      </c>
      <c r="AC5" s="99">
        <v>1</v>
      </c>
      <c r="AD5" s="99">
        <v>1</v>
      </c>
      <c r="AE5" s="99">
        <v>1</v>
      </c>
      <c r="AF5" s="99">
        <v>1</v>
      </c>
      <c r="AG5" s="99">
        <v>1</v>
      </c>
      <c r="AH5" s="99">
        <v>1</v>
      </c>
      <c r="AI5" s="99">
        <v>1</v>
      </c>
      <c r="AJ5" s="99">
        <v>1</v>
      </c>
      <c r="AK5" s="99">
        <v>1</v>
      </c>
      <c r="AL5" s="99">
        <v>1</v>
      </c>
      <c r="AM5" s="99">
        <v>1</v>
      </c>
      <c r="AN5" s="99">
        <v>1</v>
      </c>
      <c r="AO5" s="99">
        <v>1</v>
      </c>
      <c r="AP5" s="99">
        <v>1</v>
      </c>
      <c r="AQ5" s="99">
        <v>1</v>
      </c>
      <c r="AR5" s="99">
        <v>1</v>
      </c>
      <c r="AS5" s="99">
        <v>1</v>
      </c>
      <c r="AT5" s="99">
        <v>1</v>
      </c>
      <c r="AU5" s="99">
        <v>1</v>
      </c>
      <c r="AV5" s="99">
        <v>1</v>
      </c>
      <c r="AW5" s="99">
        <v>1</v>
      </c>
      <c r="AX5" s="99">
        <v>1</v>
      </c>
      <c r="AY5" s="99">
        <v>1</v>
      </c>
      <c r="AZ5" s="99">
        <v>1</v>
      </c>
      <c r="BA5" s="99">
        <v>1</v>
      </c>
      <c r="BB5" s="99">
        <v>1</v>
      </c>
      <c r="BC5" s="99">
        <v>1</v>
      </c>
      <c r="BD5" s="99">
        <v>1</v>
      </c>
      <c r="BE5" s="99">
        <v>1</v>
      </c>
      <c r="BF5" s="99">
        <v>1</v>
      </c>
      <c r="BG5" s="99">
        <v>1</v>
      </c>
      <c r="BH5" s="99">
        <v>1</v>
      </c>
      <c r="BI5" s="99">
        <v>1</v>
      </c>
      <c r="BJ5" s="99">
        <v>1</v>
      </c>
      <c r="BK5" s="99">
        <v>1</v>
      </c>
      <c r="BL5" s="99">
        <v>1</v>
      </c>
      <c r="BM5" s="99">
        <v>1</v>
      </c>
      <c r="BN5" s="99">
        <v>1</v>
      </c>
      <c r="BO5" s="99">
        <v>1</v>
      </c>
      <c r="BP5" s="99">
        <v>1</v>
      </c>
      <c r="BQ5" s="99">
        <v>1</v>
      </c>
      <c r="BR5" s="99">
        <v>1</v>
      </c>
      <c r="BS5" s="99">
        <v>1</v>
      </c>
      <c r="BT5" s="99">
        <v>1</v>
      </c>
      <c r="BU5" s="99">
        <v>1</v>
      </c>
      <c r="BV5" s="99">
        <v>1</v>
      </c>
      <c r="BW5" s="99">
        <v>1</v>
      </c>
      <c r="BX5" s="99">
        <v>1</v>
      </c>
      <c r="BY5" s="99">
        <v>1</v>
      </c>
      <c r="BZ5" s="99">
        <v>1</v>
      </c>
      <c r="CA5" s="99">
        <v>1</v>
      </c>
      <c r="CB5" s="99">
        <v>1</v>
      </c>
      <c r="CC5" s="99">
        <v>1</v>
      </c>
      <c r="CD5" s="99">
        <v>1</v>
      </c>
      <c r="CE5" s="99">
        <v>1</v>
      </c>
      <c r="CF5" s="99">
        <v>1</v>
      </c>
      <c r="CG5" s="99">
        <v>1</v>
      </c>
      <c r="CH5" s="99">
        <v>1</v>
      </c>
      <c r="CI5" s="99">
        <v>1</v>
      </c>
      <c r="CJ5" s="99">
        <v>1</v>
      </c>
      <c r="CK5" s="99">
        <v>1</v>
      </c>
      <c r="CL5" s="99">
        <v>1</v>
      </c>
      <c r="CM5" s="99">
        <v>1</v>
      </c>
      <c r="CN5" s="99">
        <v>1</v>
      </c>
      <c r="CO5" s="99">
        <v>1</v>
      </c>
      <c r="CP5" s="99">
        <v>1</v>
      </c>
      <c r="CQ5" s="99">
        <v>1</v>
      </c>
      <c r="CR5" s="99">
        <v>1</v>
      </c>
      <c r="CS5" s="99">
        <v>1</v>
      </c>
      <c r="CT5" s="99">
        <v>1</v>
      </c>
      <c r="CU5" s="99">
        <v>1</v>
      </c>
      <c r="CV5" s="99">
        <v>1</v>
      </c>
      <c r="CW5" s="99">
        <v>1</v>
      </c>
      <c r="CX5" s="99">
        <v>1</v>
      </c>
      <c r="CY5" s="99">
        <v>1</v>
      </c>
      <c r="CZ5" s="99">
        <v>1</v>
      </c>
      <c r="DA5" s="99">
        <v>1</v>
      </c>
      <c r="DB5" s="99">
        <v>1</v>
      </c>
      <c r="DC5" s="99">
        <v>1</v>
      </c>
      <c r="DD5" s="99">
        <v>1</v>
      </c>
      <c r="DE5" s="99">
        <v>1</v>
      </c>
      <c r="DF5" s="99">
        <v>1</v>
      </c>
      <c r="DG5" s="99">
        <v>1</v>
      </c>
      <c r="DH5" s="99">
        <v>1</v>
      </c>
      <c r="DI5" s="99">
        <v>1</v>
      </c>
      <c r="DJ5" s="99">
        <v>1</v>
      </c>
      <c r="DK5" s="99">
        <v>1</v>
      </c>
      <c r="DL5" s="99">
        <v>1</v>
      </c>
      <c r="DM5" s="99">
        <v>1</v>
      </c>
      <c r="DN5" s="99">
        <v>1</v>
      </c>
      <c r="DO5" s="99">
        <v>1</v>
      </c>
      <c r="DP5" s="99">
        <v>1</v>
      </c>
      <c r="DQ5" s="99">
        <v>1</v>
      </c>
      <c r="DR5" s="99">
        <v>1</v>
      </c>
      <c r="DS5" s="99">
        <v>1</v>
      </c>
      <c r="DT5" s="99">
        <v>1</v>
      </c>
      <c r="DU5" s="99">
        <v>1</v>
      </c>
      <c r="DV5" s="99">
        <v>1</v>
      </c>
      <c r="DW5" s="99">
        <v>1</v>
      </c>
      <c r="DX5" s="99">
        <v>1</v>
      </c>
      <c r="DY5" s="99">
        <v>1</v>
      </c>
      <c r="DZ5" s="99">
        <v>1</v>
      </c>
      <c r="EA5" s="99">
        <v>1</v>
      </c>
      <c r="EB5" s="99">
        <v>1</v>
      </c>
      <c r="EC5" s="99">
        <v>1</v>
      </c>
      <c r="ED5" s="99">
        <v>1</v>
      </c>
      <c r="EE5" s="99">
        <v>1</v>
      </c>
      <c r="EF5" s="99">
        <v>1</v>
      </c>
      <c r="EG5" s="99">
        <v>1</v>
      </c>
      <c r="EH5" s="99">
        <v>1</v>
      </c>
      <c r="EI5" s="99">
        <v>1</v>
      </c>
      <c r="EJ5" s="99">
        <v>1</v>
      </c>
      <c r="EK5" s="99">
        <v>1</v>
      </c>
      <c r="EL5" s="99">
        <v>1</v>
      </c>
      <c r="EM5" s="99">
        <v>1</v>
      </c>
      <c r="EN5" s="99">
        <v>1</v>
      </c>
      <c r="EO5" s="99">
        <v>1</v>
      </c>
      <c r="EP5" s="99">
        <v>1</v>
      </c>
      <c r="EQ5" s="99">
        <v>1</v>
      </c>
      <c r="ER5" s="99">
        <v>1</v>
      </c>
      <c r="ES5" s="99">
        <v>1</v>
      </c>
      <c r="ET5" s="99">
        <v>1</v>
      </c>
      <c r="EU5" s="99">
        <v>1</v>
      </c>
      <c r="EV5" s="99">
        <v>1</v>
      </c>
      <c r="EW5" s="99">
        <v>1</v>
      </c>
      <c r="EX5" s="99">
        <v>1</v>
      </c>
      <c r="EY5" s="99">
        <v>1</v>
      </c>
      <c r="EZ5" s="99">
        <v>1</v>
      </c>
      <c r="FA5" s="99">
        <v>1</v>
      </c>
      <c r="FB5" s="99">
        <v>1</v>
      </c>
      <c r="FC5" s="99">
        <v>1</v>
      </c>
      <c r="FD5" s="99">
        <v>1</v>
      </c>
      <c r="FE5" s="99">
        <v>1</v>
      </c>
      <c r="FF5" s="99">
        <v>1</v>
      </c>
      <c r="FG5" s="99">
        <v>1</v>
      </c>
      <c r="FH5" s="99">
        <v>1</v>
      </c>
      <c r="FI5" s="99">
        <v>1</v>
      </c>
      <c r="FJ5" s="99">
        <v>1</v>
      </c>
      <c r="FK5" s="99">
        <v>1</v>
      </c>
      <c r="FL5" s="99">
        <v>1</v>
      </c>
      <c r="FM5" s="99">
        <v>1</v>
      </c>
      <c r="FN5" s="99">
        <v>1</v>
      </c>
      <c r="FO5" s="99">
        <v>1</v>
      </c>
      <c r="FP5" s="99">
        <v>1</v>
      </c>
      <c r="FQ5" s="99">
        <v>1</v>
      </c>
      <c r="FR5" s="99">
        <v>1</v>
      </c>
      <c r="FS5" s="99">
        <v>1</v>
      </c>
      <c r="FT5" s="99">
        <v>1</v>
      </c>
      <c r="FU5" s="99">
        <v>1</v>
      </c>
      <c r="FV5" s="99">
        <v>1</v>
      </c>
      <c r="FW5" s="99">
        <v>1</v>
      </c>
      <c r="FX5" s="99">
        <v>1</v>
      </c>
      <c r="FY5" s="99">
        <v>1</v>
      </c>
      <c r="FZ5" s="99">
        <v>1</v>
      </c>
      <c r="GA5" s="99">
        <v>1</v>
      </c>
      <c r="GB5" s="99">
        <v>1</v>
      </c>
      <c r="GC5" s="99">
        <v>1</v>
      </c>
      <c r="GD5" s="99">
        <v>1</v>
      </c>
      <c r="GE5" s="99">
        <v>1</v>
      </c>
      <c r="GF5" s="99">
        <v>1</v>
      </c>
      <c r="GG5" s="99">
        <v>1</v>
      </c>
      <c r="GH5" s="99">
        <v>1</v>
      </c>
      <c r="GI5" s="99">
        <v>1</v>
      </c>
      <c r="GJ5" s="99">
        <v>1</v>
      </c>
      <c r="GK5" s="99">
        <v>1</v>
      </c>
      <c r="GL5" s="99">
        <v>1</v>
      </c>
      <c r="GM5" s="99">
        <v>1</v>
      </c>
      <c r="GN5" s="99">
        <v>1</v>
      </c>
      <c r="GO5" s="99">
        <v>1</v>
      </c>
      <c r="GP5" s="99">
        <v>1</v>
      </c>
      <c r="GQ5" s="99">
        <v>1</v>
      </c>
      <c r="GR5" s="99">
        <v>1</v>
      </c>
      <c r="GS5" s="99">
        <v>1</v>
      </c>
      <c r="GT5" s="99">
        <v>1</v>
      </c>
      <c r="GU5" s="99">
        <v>1</v>
      </c>
      <c r="GV5" s="99">
        <v>1</v>
      </c>
      <c r="GW5" s="99">
        <v>1</v>
      </c>
      <c r="GX5" s="99">
        <v>1</v>
      </c>
      <c r="GY5" s="99">
        <v>1</v>
      </c>
      <c r="GZ5" s="99">
        <v>1</v>
      </c>
      <c r="HA5" s="99">
        <v>1</v>
      </c>
      <c r="HB5" s="99">
        <v>1</v>
      </c>
      <c r="HC5" s="99">
        <v>1</v>
      </c>
      <c r="HD5" s="99">
        <v>1</v>
      </c>
      <c r="HE5" s="99">
        <v>1</v>
      </c>
      <c r="HF5" s="99">
        <v>1</v>
      </c>
      <c r="HG5" s="99">
        <v>1</v>
      </c>
      <c r="HH5" s="99">
        <v>1</v>
      </c>
      <c r="HI5" s="99">
        <v>1</v>
      </c>
      <c r="HJ5" s="99">
        <v>1</v>
      </c>
      <c r="HK5" s="99">
        <v>1</v>
      </c>
      <c r="HL5" s="99">
        <v>1</v>
      </c>
      <c r="HM5" s="99">
        <v>1</v>
      </c>
      <c r="HN5" s="99">
        <v>1</v>
      </c>
      <c r="HO5" s="99">
        <v>1</v>
      </c>
      <c r="HP5" s="99">
        <v>1</v>
      </c>
      <c r="HQ5" s="99">
        <v>1</v>
      </c>
      <c r="HR5" s="99">
        <v>1</v>
      </c>
      <c r="HS5" s="99">
        <v>1</v>
      </c>
      <c r="HT5" s="99">
        <v>1</v>
      </c>
      <c r="HU5" s="99">
        <v>1</v>
      </c>
      <c r="HV5" s="99">
        <v>1</v>
      </c>
      <c r="HW5" s="99">
        <v>1</v>
      </c>
      <c r="HX5" s="99">
        <v>1</v>
      </c>
      <c r="HY5" s="99">
        <v>1</v>
      </c>
      <c r="HZ5" s="99">
        <v>1</v>
      </c>
      <c r="IA5" s="99">
        <v>1</v>
      </c>
      <c r="IB5" s="99">
        <v>1</v>
      </c>
      <c r="IC5" s="99">
        <v>1</v>
      </c>
      <c r="ID5" s="99">
        <v>1</v>
      </c>
      <c r="IE5" s="99">
        <v>1</v>
      </c>
      <c r="IF5" s="99">
        <v>1</v>
      </c>
      <c r="IG5" s="99">
        <v>1</v>
      </c>
      <c r="IH5" s="99">
        <v>1</v>
      </c>
      <c r="II5" s="99">
        <v>1</v>
      </c>
      <c r="IJ5" s="99">
        <v>1</v>
      </c>
      <c r="IK5" s="99">
        <v>1</v>
      </c>
      <c r="IL5" s="99">
        <v>1</v>
      </c>
      <c r="IM5" s="99">
        <v>1</v>
      </c>
      <c r="IN5" s="99">
        <v>1</v>
      </c>
      <c r="IO5" s="99">
        <v>1</v>
      </c>
      <c r="IP5" s="99">
        <v>1</v>
      </c>
      <c r="IQ5" s="99">
        <v>1</v>
      </c>
      <c r="IR5" s="99">
        <v>1</v>
      </c>
      <c r="IS5" s="99">
        <v>1</v>
      </c>
      <c r="IT5" s="99">
        <v>1</v>
      </c>
      <c r="IU5" s="99">
        <v>1</v>
      </c>
      <c r="IV5" s="99">
        <v>1</v>
      </c>
      <c r="IW5" s="99">
        <v>1</v>
      </c>
      <c r="IX5" s="99">
        <v>1</v>
      </c>
      <c r="IY5" s="99">
        <v>1</v>
      </c>
      <c r="IZ5" s="99">
        <v>1</v>
      </c>
      <c r="JA5" s="99">
        <v>1</v>
      </c>
      <c r="JB5" s="99">
        <v>1</v>
      </c>
      <c r="JC5" s="99">
        <v>1</v>
      </c>
      <c r="JD5" s="99">
        <v>1</v>
      </c>
      <c r="JE5" s="99">
        <v>1</v>
      </c>
      <c r="JF5" s="99">
        <v>1</v>
      </c>
      <c r="JG5" s="99">
        <v>1</v>
      </c>
      <c r="JH5" s="99">
        <v>1</v>
      </c>
      <c r="JI5" s="99">
        <v>1</v>
      </c>
      <c r="JJ5" s="99">
        <v>1</v>
      </c>
      <c r="JK5" s="99">
        <v>1</v>
      </c>
      <c r="JL5" s="99">
        <v>1</v>
      </c>
      <c r="JM5" s="99">
        <v>1</v>
      </c>
      <c r="JN5" s="99">
        <v>1</v>
      </c>
      <c r="JO5" s="99">
        <v>1</v>
      </c>
      <c r="JP5" s="99">
        <v>1</v>
      </c>
      <c r="JQ5" s="99">
        <v>1</v>
      </c>
      <c r="JR5" s="99">
        <v>1</v>
      </c>
      <c r="JS5" s="99">
        <v>1</v>
      </c>
      <c r="JT5" s="99">
        <v>1</v>
      </c>
      <c r="JU5" s="99">
        <v>1</v>
      </c>
      <c r="JV5" s="99">
        <v>1</v>
      </c>
      <c r="JW5" s="99">
        <v>1</v>
      </c>
      <c r="JX5" s="99">
        <v>1</v>
      </c>
      <c r="JY5" s="99">
        <v>1</v>
      </c>
      <c r="JZ5" s="99">
        <v>1</v>
      </c>
      <c r="KA5" s="99">
        <v>1</v>
      </c>
      <c r="KB5" s="99">
        <v>1</v>
      </c>
      <c r="KC5" s="99">
        <v>1</v>
      </c>
      <c r="KD5" s="99">
        <v>1</v>
      </c>
      <c r="KE5" s="99">
        <v>1</v>
      </c>
      <c r="KF5" s="99">
        <v>1</v>
      </c>
      <c r="KG5" s="99">
        <v>1</v>
      </c>
      <c r="KH5" s="99">
        <v>1</v>
      </c>
      <c r="KI5" s="99">
        <v>1</v>
      </c>
      <c r="KJ5" s="99">
        <v>1</v>
      </c>
      <c r="KK5" s="99">
        <v>1</v>
      </c>
      <c r="KL5" s="99">
        <v>1</v>
      </c>
      <c r="KM5" s="99">
        <v>1</v>
      </c>
      <c r="KN5" s="99">
        <v>1</v>
      </c>
      <c r="KO5" s="99">
        <v>1</v>
      </c>
      <c r="KP5" s="99">
        <v>1</v>
      </c>
      <c r="KQ5" s="99">
        <v>1</v>
      </c>
      <c r="KR5" s="99">
        <v>1</v>
      </c>
      <c r="KS5" s="99">
        <v>1</v>
      </c>
      <c r="KT5" s="99">
        <v>1</v>
      </c>
      <c r="KU5" s="99">
        <v>1</v>
      </c>
      <c r="KV5" s="99">
        <v>1</v>
      </c>
      <c r="KW5" s="99">
        <v>1</v>
      </c>
      <c r="KX5" s="99">
        <v>1</v>
      </c>
      <c r="KY5" s="99">
        <v>1</v>
      </c>
      <c r="KZ5" s="99">
        <v>1</v>
      </c>
      <c r="LA5" s="99">
        <v>1</v>
      </c>
      <c r="LB5" s="99">
        <v>1</v>
      </c>
      <c r="LC5" s="99">
        <v>1</v>
      </c>
      <c r="LD5" s="99">
        <v>1</v>
      </c>
      <c r="LE5" s="99">
        <v>1</v>
      </c>
      <c r="LF5" s="99">
        <v>1</v>
      </c>
      <c r="LG5" s="99">
        <v>1</v>
      </c>
      <c r="LH5" s="99">
        <v>1</v>
      </c>
      <c r="LI5" s="99">
        <v>1</v>
      </c>
      <c r="LJ5" s="99">
        <v>1</v>
      </c>
      <c r="LK5" s="99">
        <v>1</v>
      </c>
      <c r="LL5" s="99">
        <v>1</v>
      </c>
      <c r="LM5" s="99">
        <v>1</v>
      </c>
      <c r="LN5" s="99">
        <v>1</v>
      </c>
      <c r="LO5" s="99">
        <v>1</v>
      </c>
      <c r="LP5" s="99">
        <v>1</v>
      </c>
      <c r="LQ5" s="99">
        <v>1</v>
      </c>
      <c r="LR5" s="99">
        <v>1</v>
      </c>
      <c r="LS5" s="99">
        <v>1</v>
      </c>
      <c r="LT5" s="99">
        <v>1</v>
      </c>
      <c r="LU5" s="99">
        <v>1</v>
      </c>
      <c r="LV5" s="99">
        <v>1</v>
      </c>
      <c r="LW5" s="99">
        <v>1</v>
      </c>
      <c r="LX5" s="99">
        <v>1</v>
      </c>
      <c r="LY5" s="99">
        <v>1</v>
      </c>
      <c r="LZ5" s="99">
        <v>1</v>
      </c>
      <c r="MA5" s="99">
        <v>1</v>
      </c>
      <c r="MB5" s="99">
        <v>1</v>
      </c>
      <c r="MC5" s="99">
        <v>1</v>
      </c>
      <c r="MD5" s="99">
        <v>1</v>
      </c>
      <c r="ME5" s="99">
        <v>1</v>
      </c>
      <c r="MF5" s="99">
        <v>1</v>
      </c>
      <c r="MG5" s="99">
        <v>1</v>
      </c>
      <c r="MH5" s="99">
        <v>1</v>
      </c>
      <c r="MI5" s="99">
        <v>1</v>
      </c>
      <c r="MJ5" s="99">
        <v>1</v>
      </c>
      <c r="MK5" s="99">
        <v>1</v>
      </c>
      <c r="ML5" s="99">
        <v>1</v>
      </c>
      <c r="MM5" s="99">
        <v>1</v>
      </c>
      <c r="MN5" s="99">
        <v>1</v>
      </c>
      <c r="MO5" s="99">
        <v>1</v>
      </c>
      <c r="MP5" s="99">
        <v>1</v>
      </c>
      <c r="MQ5" s="99">
        <v>1</v>
      </c>
      <c r="MR5" s="99">
        <v>1</v>
      </c>
      <c r="MS5" s="99">
        <v>1</v>
      </c>
      <c r="MT5" s="99">
        <v>1</v>
      </c>
      <c r="MU5" s="99">
        <v>1</v>
      </c>
      <c r="MV5" s="99">
        <v>1</v>
      </c>
      <c r="MW5" s="99">
        <v>1</v>
      </c>
      <c r="MX5" s="99">
        <v>1</v>
      </c>
      <c r="MY5" s="99">
        <v>1</v>
      </c>
      <c r="MZ5" s="99">
        <v>1</v>
      </c>
      <c r="NA5" s="99">
        <v>1</v>
      </c>
      <c r="NB5" s="99">
        <v>1</v>
      </c>
      <c r="NC5" s="99">
        <v>1</v>
      </c>
      <c r="ND5" s="99">
        <v>1</v>
      </c>
      <c r="NE5" s="99">
        <v>1</v>
      </c>
      <c r="NF5" s="99">
        <v>1</v>
      </c>
      <c r="NG5" s="99">
        <v>1</v>
      </c>
      <c r="NH5" s="99">
        <v>1</v>
      </c>
      <c r="NI5" s="99">
        <v>1</v>
      </c>
      <c r="NJ5" s="99">
        <v>1</v>
      </c>
      <c r="NK5" s="99">
        <v>1</v>
      </c>
      <c r="NL5" s="99">
        <v>1</v>
      </c>
      <c r="NM5" s="99">
        <v>1</v>
      </c>
      <c r="NN5" s="99">
        <v>1</v>
      </c>
      <c r="NO5" s="99">
        <v>1</v>
      </c>
      <c r="NP5" s="99">
        <v>1</v>
      </c>
      <c r="NQ5" s="99">
        <v>1</v>
      </c>
      <c r="NR5" s="99">
        <v>1</v>
      </c>
      <c r="NS5" s="99">
        <v>1</v>
      </c>
      <c r="NT5" s="99">
        <v>1</v>
      </c>
      <c r="NU5" s="99">
        <v>1</v>
      </c>
      <c r="NV5" s="99">
        <v>1</v>
      </c>
      <c r="NW5" s="99">
        <v>1</v>
      </c>
      <c r="NX5" s="99">
        <v>1</v>
      </c>
      <c r="NY5" s="99">
        <v>1</v>
      </c>
      <c r="NZ5" s="99">
        <v>1</v>
      </c>
      <c r="OA5" s="99">
        <v>1</v>
      </c>
      <c r="OB5" s="99">
        <v>1</v>
      </c>
      <c r="OC5" s="99">
        <v>1</v>
      </c>
      <c r="OD5" s="99">
        <v>1</v>
      </c>
      <c r="OE5" s="99">
        <v>1</v>
      </c>
      <c r="OF5" s="99">
        <v>1</v>
      </c>
      <c r="OG5" s="99">
        <v>1</v>
      </c>
      <c r="OH5" s="99">
        <v>1</v>
      </c>
      <c r="OI5" s="99">
        <v>1</v>
      </c>
      <c r="OJ5" s="99">
        <v>1</v>
      </c>
      <c r="OK5" s="99">
        <v>1</v>
      </c>
      <c r="OL5" s="99">
        <v>1</v>
      </c>
      <c r="OM5" s="99">
        <v>1</v>
      </c>
      <c r="ON5" s="99">
        <v>1</v>
      </c>
      <c r="OO5" s="99">
        <v>1</v>
      </c>
      <c r="OP5" s="99">
        <v>1</v>
      </c>
      <c r="OQ5" s="99">
        <v>1</v>
      </c>
      <c r="OR5" s="99">
        <v>1</v>
      </c>
      <c r="OS5" s="99">
        <v>1</v>
      </c>
      <c r="OT5" s="99">
        <v>1</v>
      </c>
      <c r="OU5" s="99">
        <v>1</v>
      </c>
      <c r="OV5" s="99">
        <v>1</v>
      </c>
      <c r="OW5" s="99">
        <v>1</v>
      </c>
      <c r="OX5" s="99">
        <v>1</v>
      </c>
      <c r="OY5" s="99">
        <v>1</v>
      </c>
      <c r="OZ5" s="99">
        <v>1</v>
      </c>
      <c r="PA5" s="99">
        <v>1</v>
      </c>
      <c r="PB5" s="99">
        <v>1</v>
      </c>
      <c r="PC5" s="99">
        <v>1</v>
      </c>
      <c r="PD5" s="99">
        <v>1</v>
      </c>
      <c r="PE5" s="99">
        <v>1</v>
      </c>
      <c r="PF5" s="99">
        <v>1</v>
      </c>
      <c r="PG5" s="99">
        <v>1</v>
      </c>
      <c r="PH5" s="99">
        <v>1</v>
      </c>
      <c r="PI5" s="99">
        <v>1</v>
      </c>
      <c r="PJ5" s="99">
        <v>1</v>
      </c>
      <c r="PK5" s="99">
        <v>1</v>
      </c>
      <c r="PL5" s="99">
        <v>1</v>
      </c>
      <c r="PM5" s="99">
        <v>1</v>
      </c>
      <c r="PN5" s="99">
        <v>1</v>
      </c>
      <c r="PO5" s="99">
        <v>1</v>
      </c>
      <c r="PP5" s="99">
        <v>1</v>
      </c>
      <c r="PQ5" s="99">
        <v>1</v>
      </c>
      <c r="PR5" s="99">
        <v>1</v>
      </c>
      <c r="PS5" s="99">
        <v>1</v>
      </c>
      <c r="PT5" s="99">
        <v>1</v>
      </c>
      <c r="PU5" s="99">
        <v>1</v>
      </c>
      <c r="PV5" s="99">
        <v>1</v>
      </c>
      <c r="PW5" s="99">
        <v>1</v>
      </c>
      <c r="PX5" s="99">
        <v>1</v>
      </c>
      <c r="PY5" s="99">
        <v>1</v>
      </c>
      <c r="PZ5" s="99">
        <v>1</v>
      </c>
      <c r="QA5" s="99">
        <v>1</v>
      </c>
      <c r="QB5" s="99">
        <v>1</v>
      </c>
      <c r="QC5" s="99">
        <v>1</v>
      </c>
      <c r="QD5" s="99">
        <v>1</v>
      </c>
      <c r="QE5" s="99">
        <v>1</v>
      </c>
      <c r="QF5" s="99">
        <v>1</v>
      </c>
      <c r="QG5" s="99">
        <v>1</v>
      </c>
      <c r="QH5" s="99">
        <v>1</v>
      </c>
      <c r="QI5" s="99">
        <v>1</v>
      </c>
      <c r="QJ5" s="99">
        <v>1</v>
      </c>
      <c r="QK5" s="99">
        <v>1</v>
      </c>
      <c r="QL5" s="99">
        <v>1</v>
      </c>
      <c r="QM5" s="99">
        <v>1</v>
      </c>
      <c r="QN5" s="99">
        <v>1</v>
      </c>
      <c r="QO5" s="99">
        <v>1</v>
      </c>
      <c r="QP5" s="99">
        <v>1</v>
      </c>
      <c r="QQ5" s="99">
        <v>1</v>
      </c>
      <c r="QR5" s="99">
        <v>1</v>
      </c>
      <c r="QS5" s="99">
        <v>1</v>
      </c>
      <c r="QT5" s="99">
        <v>1</v>
      </c>
      <c r="QU5" s="99">
        <v>1</v>
      </c>
      <c r="QV5" s="99">
        <v>1</v>
      </c>
      <c r="QW5" s="99">
        <v>1</v>
      </c>
      <c r="QX5" s="99">
        <v>1</v>
      </c>
      <c r="QY5" s="99">
        <v>1</v>
      </c>
      <c r="QZ5" s="99">
        <v>1</v>
      </c>
      <c r="RA5" s="99">
        <v>1</v>
      </c>
      <c r="RB5" s="99">
        <v>1</v>
      </c>
      <c r="RC5" s="99">
        <v>1</v>
      </c>
      <c r="RD5" s="99">
        <v>1</v>
      </c>
      <c r="RE5" s="99">
        <v>1</v>
      </c>
      <c r="RF5" s="99">
        <v>1</v>
      </c>
      <c r="RG5" s="99">
        <v>1</v>
      </c>
      <c r="RH5" s="99">
        <v>1</v>
      </c>
      <c r="RI5" s="99">
        <v>1</v>
      </c>
      <c r="RJ5" s="99">
        <v>1</v>
      </c>
      <c r="RK5" s="99">
        <v>1</v>
      </c>
      <c r="RL5" s="99">
        <v>1</v>
      </c>
      <c r="RM5" s="99">
        <v>1</v>
      </c>
      <c r="RN5" s="99">
        <v>1</v>
      </c>
      <c r="RO5" s="99">
        <v>1</v>
      </c>
      <c r="RP5" s="99">
        <v>1</v>
      </c>
      <c r="RQ5" s="99">
        <v>1</v>
      </c>
      <c r="RR5" s="99">
        <v>1</v>
      </c>
      <c r="RS5" s="99">
        <v>1</v>
      </c>
      <c r="RT5" s="99">
        <v>1</v>
      </c>
      <c r="RU5" s="99">
        <v>1</v>
      </c>
      <c r="RV5" s="99">
        <v>1</v>
      </c>
      <c r="RW5" s="99">
        <v>1</v>
      </c>
      <c r="RX5" s="99">
        <v>1</v>
      </c>
      <c r="RY5" s="99">
        <v>1</v>
      </c>
      <c r="RZ5" s="99">
        <v>1</v>
      </c>
      <c r="SA5" s="99">
        <v>1</v>
      </c>
      <c r="SB5" s="99">
        <v>1</v>
      </c>
      <c r="SC5" s="99">
        <v>1</v>
      </c>
      <c r="SD5" s="99">
        <v>1</v>
      </c>
      <c r="SE5" s="99">
        <v>1</v>
      </c>
      <c r="SF5" s="99">
        <v>1</v>
      </c>
      <c r="SG5" s="99">
        <v>1</v>
      </c>
      <c r="SH5" s="99">
        <v>1</v>
      </c>
      <c r="SI5" s="99">
        <v>1</v>
      </c>
      <c r="SJ5" s="99">
        <v>1</v>
      </c>
      <c r="SK5" s="99">
        <v>1</v>
      </c>
      <c r="SL5" s="99">
        <v>1</v>
      </c>
      <c r="SM5" s="99">
        <v>1</v>
      </c>
      <c r="SN5" s="99">
        <v>1</v>
      </c>
      <c r="SO5" s="99">
        <v>1</v>
      </c>
      <c r="SP5" s="99">
        <v>1</v>
      </c>
      <c r="SQ5" s="99">
        <v>1</v>
      </c>
      <c r="SR5" s="99">
        <v>1</v>
      </c>
      <c r="SS5" s="99">
        <v>1</v>
      </c>
      <c r="ST5" s="99">
        <v>1</v>
      </c>
      <c r="SU5" s="99">
        <v>1</v>
      </c>
      <c r="SV5" s="99">
        <v>1</v>
      </c>
      <c r="SW5" s="99">
        <v>1</v>
      </c>
      <c r="SX5" s="99">
        <v>1</v>
      </c>
      <c r="SY5" s="99">
        <v>1</v>
      </c>
      <c r="SZ5" s="99">
        <v>1</v>
      </c>
      <c r="TA5" s="99">
        <v>1</v>
      </c>
    </row>
    <row r="6" spans="1:521">
      <c r="A6">
        <v>1</v>
      </c>
      <c r="B6">
        <v>2.7310000000000001E-2</v>
      </c>
      <c r="C6">
        <v>7.07</v>
      </c>
      <c r="D6">
        <v>0.46899999999999997</v>
      </c>
      <c r="E6">
        <v>6.4210000000000003</v>
      </c>
      <c r="F6">
        <v>78.900000000000006</v>
      </c>
      <c r="G6">
        <v>4.9671000000000003</v>
      </c>
      <c r="H6">
        <v>2</v>
      </c>
      <c r="I6">
        <v>242</v>
      </c>
      <c r="J6">
        <v>17.8</v>
      </c>
      <c r="K6">
        <v>396.9</v>
      </c>
      <c r="L6">
        <v>9.14</v>
      </c>
      <c r="M6">
        <v>21.6</v>
      </c>
      <c r="N6" s="107">
        <f t="shared" si="0"/>
        <v>25.96242544118596</v>
      </c>
      <c r="O6" s="92"/>
      <c r="P6" s="99">
        <v>6.3200000000000001E-3</v>
      </c>
      <c r="Q6" s="99">
        <v>2.7310000000000001E-2</v>
      </c>
      <c r="R6" s="99">
        <v>2.7289999999999998E-2</v>
      </c>
      <c r="S6" s="99">
        <v>3.2370000000000003E-2</v>
      </c>
      <c r="T6" s="99">
        <v>6.905E-2</v>
      </c>
      <c r="U6" s="99">
        <v>2.9850000000000002E-2</v>
      </c>
      <c r="V6" s="99">
        <v>8.8289999999999993E-2</v>
      </c>
      <c r="W6" s="99">
        <v>0.14455000000000001</v>
      </c>
      <c r="X6" s="99">
        <v>0.21124000000000001</v>
      </c>
      <c r="Y6" s="99">
        <v>0.17004</v>
      </c>
      <c r="Z6" s="99">
        <v>0.22489000000000001</v>
      </c>
      <c r="AA6" s="99">
        <v>0.11747</v>
      </c>
      <c r="AB6" s="99">
        <v>9.3780000000000002E-2</v>
      </c>
      <c r="AC6" s="99">
        <v>0.62975999999999999</v>
      </c>
      <c r="AD6" s="99">
        <v>0.63795999999999997</v>
      </c>
      <c r="AE6" s="99">
        <v>0.62739</v>
      </c>
      <c r="AF6" s="99">
        <v>1.05393</v>
      </c>
      <c r="AG6" s="99">
        <v>0.78420000000000001</v>
      </c>
      <c r="AH6" s="99">
        <v>0.80271000000000003</v>
      </c>
      <c r="AI6" s="99">
        <v>0.7258</v>
      </c>
      <c r="AJ6" s="99">
        <v>1.25179</v>
      </c>
      <c r="AK6" s="99">
        <v>0.85204000000000002</v>
      </c>
      <c r="AL6" s="99">
        <v>1.23247</v>
      </c>
      <c r="AM6" s="99">
        <v>0.98843000000000003</v>
      </c>
      <c r="AN6" s="99">
        <v>0.75026000000000004</v>
      </c>
      <c r="AO6" s="99">
        <v>0.84053999999999995</v>
      </c>
      <c r="AP6" s="99">
        <v>0.67191000000000001</v>
      </c>
      <c r="AQ6" s="99">
        <v>0.95577000000000001</v>
      </c>
      <c r="AR6" s="99">
        <v>0.77298999999999995</v>
      </c>
      <c r="AS6" s="99">
        <v>1.0024500000000001</v>
      </c>
      <c r="AT6" s="99">
        <v>1.1308100000000001</v>
      </c>
      <c r="AU6" s="99">
        <v>1.3547199999999999</v>
      </c>
      <c r="AV6" s="99">
        <v>1.3879900000000001</v>
      </c>
      <c r="AW6" s="99">
        <v>1.1517200000000001</v>
      </c>
      <c r="AX6" s="99">
        <v>1.6128199999999999</v>
      </c>
      <c r="AY6" s="99">
        <v>6.4170000000000005E-2</v>
      </c>
      <c r="AZ6" s="99">
        <v>9.7439999999999999E-2</v>
      </c>
      <c r="BA6" s="99">
        <v>8.0140000000000003E-2</v>
      </c>
      <c r="BB6" s="99">
        <v>0.17505000000000001</v>
      </c>
      <c r="BC6" s="99">
        <v>2.7629999999999998E-2</v>
      </c>
      <c r="BD6" s="99">
        <v>3.3590000000000002E-2</v>
      </c>
      <c r="BE6" s="99">
        <v>0.12744</v>
      </c>
      <c r="BF6" s="99">
        <v>0.14149999999999999</v>
      </c>
      <c r="BG6" s="99">
        <v>0.15936</v>
      </c>
      <c r="BH6" s="99">
        <v>0.12268999999999999</v>
      </c>
      <c r="BI6" s="99">
        <v>0.17141999999999999</v>
      </c>
      <c r="BJ6" s="99">
        <v>0.18836</v>
      </c>
      <c r="BK6" s="99">
        <v>0.22927</v>
      </c>
      <c r="BL6" s="99">
        <v>0.25386999999999998</v>
      </c>
      <c r="BM6" s="99">
        <v>0.21976999999999999</v>
      </c>
      <c r="BN6" s="99">
        <v>8.8730000000000003E-2</v>
      </c>
      <c r="BO6" s="99">
        <v>4.3369999999999999E-2</v>
      </c>
      <c r="BP6" s="99">
        <v>5.3600000000000002E-2</v>
      </c>
      <c r="BQ6" s="99">
        <v>4.981E-2</v>
      </c>
      <c r="BR6" s="99">
        <v>1.3599999999999999E-2</v>
      </c>
      <c r="BS6" s="99">
        <v>1.311E-2</v>
      </c>
      <c r="BT6" s="99">
        <v>2.0549999999999999E-2</v>
      </c>
      <c r="BU6" s="99">
        <v>1.4319999999999999E-2</v>
      </c>
      <c r="BV6" s="99">
        <v>0.15445</v>
      </c>
      <c r="BW6" s="99">
        <v>0.10328</v>
      </c>
      <c r="BX6" s="99">
        <v>0.14932000000000001</v>
      </c>
      <c r="BY6" s="99">
        <v>0.17171</v>
      </c>
      <c r="BZ6" s="99">
        <v>0.11027000000000001</v>
      </c>
      <c r="CA6" s="99">
        <v>0.1265</v>
      </c>
      <c r="CB6" s="99">
        <v>1.951E-2</v>
      </c>
      <c r="CC6" s="99">
        <v>3.5839999999999997E-2</v>
      </c>
      <c r="CD6" s="99">
        <v>4.3790000000000003E-2</v>
      </c>
      <c r="CE6" s="99">
        <v>5.7889999999999997E-2</v>
      </c>
      <c r="CF6" s="99">
        <v>0.13553999999999999</v>
      </c>
      <c r="CG6" s="99">
        <v>0.12816</v>
      </c>
      <c r="CH6" s="99">
        <v>8.8260000000000005E-2</v>
      </c>
      <c r="CI6" s="99">
        <v>0.15876000000000001</v>
      </c>
      <c r="CJ6" s="99">
        <v>9.1639999999999999E-2</v>
      </c>
      <c r="CK6" s="99">
        <v>0.19539000000000001</v>
      </c>
      <c r="CL6" s="99">
        <v>7.8960000000000002E-2</v>
      </c>
      <c r="CM6" s="99">
        <v>9.5119999999999996E-2</v>
      </c>
      <c r="CN6" s="99">
        <v>0.10153</v>
      </c>
      <c r="CO6" s="99">
        <v>8.7069999999999995E-2</v>
      </c>
      <c r="CP6" s="99">
        <v>5.6460000000000003E-2</v>
      </c>
      <c r="CQ6" s="99">
        <v>8.387E-2</v>
      </c>
      <c r="CR6" s="99">
        <v>4.113E-2</v>
      </c>
      <c r="CS6" s="99">
        <v>4.462E-2</v>
      </c>
      <c r="CT6" s="99">
        <v>3.6589999999999998E-2</v>
      </c>
      <c r="CU6" s="99">
        <v>3.551E-2</v>
      </c>
      <c r="CV6" s="99">
        <v>5.0590000000000003E-2</v>
      </c>
      <c r="CW6" s="99">
        <v>5.7349999999999998E-2</v>
      </c>
      <c r="CX6" s="99">
        <v>5.1880000000000003E-2</v>
      </c>
      <c r="CY6" s="99">
        <v>7.1510000000000004E-2</v>
      </c>
      <c r="CZ6" s="99">
        <v>5.6599999999999998E-2</v>
      </c>
      <c r="DA6" s="99">
        <v>5.3019999999999998E-2</v>
      </c>
      <c r="DB6" s="99">
        <v>4.684E-2</v>
      </c>
      <c r="DC6" s="99">
        <v>3.9320000000000001E-2</v>
      </c>
      <c r="DD6" s="99">
        <v>4.2029999999999998E-2</v>
      </c>
      <c r="DE6" s="99">
        <v>2.8750000000000001E-2</v>
      </c>
      <c r="DF6" s="99">
        <v>4.2939999999999999E-2</v>
      </c>
      <c r="DG6" s="99">
        <v>0.12204</v>
      </c>
      <c r="DH6" s="99">
        <v>0.11504</v>
      </c>
      <c r="DI6" s="99">
        <v>0.12083000000000001</v>
      </c>
      <c r="DJ6" s="99">
        <v>8.1869999999999998E-2</v>
      </c>
      <c r="DK6" s="99">
        <v>6.8599999999999994E-2</v>
      </c>
      <c r="DL6" s="99">
        <v>0.14865999999999999</v>
      </c>
      <c r="DM6" s="99">
        <v>0.11432</v>
      </c>
      <c r="DN6" s="99">
        <v>0.22875999999999999</v>
      </c>
      <c r="DO6" s="99">
        <v>0.21160999999999999</v>
      </c>
      <c r="DP6" s="99">
        <v>0.1396</v>
      </c>
      <c r="DQ6" s="99">
        <v>0.13261999999999999</v>
      </c>
      <c r="DR6" s="99">
        <v>0.17119999999999999</v>
      </c>
      <c r="DS6" s="99">
        <v>0.13117000000000001</v>
      </c>
      <c r="DT6" s="99">
        <v>0.12801999999999999</v>
      </c>
      <c r="DU6" s="99">
        <v>0.26362999999999998</v>
      </c>
      <c r="DV6" s="99">
        <v>0.10793</v>
      </c>
      <c r="DW6" s="99">
        <v>0.10084</v>
      </c>
      <c r="DX6" s="99">
        <v>0.12329</v>
      </c>
      <c r="DY6" s="99">
        <v>0.22212000000000001</v>
      </c>
      <c r="DZ6" s="99">
        <v>0.14230999999999999</v>
      </c>
      <c r="EA6" s="99">
        <v>0.17133999999999999</v>
      </c>
      <c r="EB6" s="99">
        <v>0.13158</v>
      </c>
      <c r="EC6" s="99">
        <v>0.15098</v>
      </c>
      <c r="ED6" s="99">
        <v>0.13058</v>
      </c>
      <c r="EE6" s="99">
        <v>0.14476</v>
      </c>
      <c r="EF6" s="99">
        <v>6.8989999999999996E-2</v>
      </c>
      <c r="EG6" s="99">
        <v>7.1650000000000005E-2</v>
      </c>
      <c r="EH6" s="99">
        <v>9.2990000000000003E-2</v>
      </c>
      <c r="EI6" s="99">
        <v>0.15038000000000001</v>
      </c>
      <c r="EJ6" s="99">
        <v>9.8489999999999994E-2</v>
      </c>
      <c r="EK6" s="99">
        <v>0.16902</v>
      </c>
      <c r="EL6" s="99">
        <v>0.38735000000000003</v>
      </c>
      <c r="EM6" s="99">
        <v>0.25914999999999999</v>
      </c>
      <c r="EN6" s="99">
        <v>0.32543</v>
      </c>
      <c r="EO6" s="99">
        <v>0.88124999999999998</v>
      </c>
      <c r="EP6" s="99">
        <v>0.34005999999999997</v>
      </c>
      <c r="EQ6" s="99">
        <v>1.1929399999999999</v>
      </c>
      <c r="ER6" s="99">
        <v>0.59004999999999996</v>
      </c>
      <c r="ES6" s="99">
        <v>0.32982</v>
      </c>
      <c r="ET6" s="99">
        <v>0.97616999999999998</v>
      </c>
      <c r="EU6" s="99">
        <v>0.55778000000000005</v>
      </c>
      <c r="EV6" s="99">
        <v>0.32263999999999998</v>
      </c>
      <c r="EW6" s="99">
        <v>0.35232999999999998</v>
      </c>
      <c r="EX6" s="99">
        <v>0.24979999999999999</v>
      </c>
      <c r="EY6" s="99">
        <v>0.54452</v>
      </c>
      <c r="EZ6" s="99">
        <v>0.29089999999999999</v>
      </c>
      <c r="FA6" s="99">
        <v>1.6286400000000001</v>
      </c>
      <c r="FB6" s="99">
        <v>3.3210500000000001</v>
      </c>
      <c r="FC6" s="99">
        <v>4.0974000000000004</v>
      </c>
      <c r="FD6" s="99">
        <v>2.7797399999999999</v>
      </c>
      <c r="FE6" s="99">
        <v>2.37934</v>
      </c>
      <c r="FF6" s="99">
        <v>2.1550500000000001</v>
      </c>
      <c r="FG6" s="99">
        <v>2.3686199999999999</v>
      </c>
      <c r="FH6" s="99">
        <v>2.3309899999999999</v>
      </c>
      <c r="FI6" s="99">
        <v>2.7339699999999998</v>
      </c>
      <c r="FJ6" s="99">
        <v>1.6566000000000001</v>
      </c>
      <c r="FK6" s="99">
        <v>1.4963200000000001</v>
      </c>
      <c r="FL6" s="99">
        <v>1.1265799999999999</v>
      </c>
      <c r="FM6" s="99">
        <v>2.1491799999999999</v>
      </c>
      <c r="FN6" s="99">
        <v>1.4138500000000001</v>
      </c>
      <c r="FO6" s="99">
        <v>3.5350100000000002</v>
      </c>
      <c r="FP6" s="99">
        <v>2.4466800000000002</v>
      </c>
      <c r="FQ6" s="99">
        <v>1.2235799999999999</v>
      </c>
      <c r="FR6" s="99">
        <v>1.34284</v>
      </c>
      <c r="FS6" s="99">
        <v>1.42502</v>
      </c>
      <c r="FT6" s="99">
        <v>1.27346</v>
      </c>
      <c r="FU6" s="99">
        <v>1.46336</v>
      </c>
      <c r="FV6" s="99">
        <v>1.8337699999999999</v>
      </c>
      <c r="FW6" s="99">
        <v>1.51902</v>
      </c>
      <c r="FX6" s="99">
        <v>2.2423600000000001</v>
      </c>
      <c r="FY6" s="99">
        <v>2.9239999999999999</v>
      </c>
      <c r="FZ6" s="99">
        <v>2.0101900000000001</v>
      </c>
      <c r="GA6" s="99">
        <v>1.8002800000000001</v>
      </c>
      <c r="GB6" s="99">
        <v>2.3003999999999998</v>
      </c>
      <c r="GC6" s="99">
        <v>2.4495300000000002</v>
      </c>
      <c r="GD6" s="99">
        <v>1.2074199999999999</v>
      </c>
      <c r="GE6" s="99">
        <v>2.3138999999999998</v>
      </c>
      <c r="GF6" s="99">
        <v>0.13914000000000001</v>
      </c>
      <c r="GG6" s="99">
        <v>9.178E-2</v>
      </c>
      <c r="GH6" s="99">
        <v>8.4470000000000003E-2</v>
      </c>
      <c r="GI6" s="99">
        <v>6.6640000000000005E-2</v>
      </c>
      <c r="GJ6" s="99">
        <v>7.0220000000000005E-2</v>
      </c>
      <c r="GK6" s="99">
        <v>5.425E-2</v>
      </c>
      <c r="GL6" s="99">
        <v>6.6420000000000007E-2</v>
      </c>
      <c r="GM6" s="99">
        <v>5.7799999999999997E-2</v>
      </c>
      <c r="GN6" s="99">
        <v>6.5879999999999994E-2</v>
      </c>
      <c r="GO6" s="99">
        <v>6.8879999999999997E-2</v>
      </c>
      <c r="GP6" s="99">
        <v>9.103E-2</v>
      </c>
      <c r="GQ6" s="99">
        <v>0.10008</v>
      </c>
      <c r="GR6" s="99">
        <v>8.3080000000000001E-2</v>
      </c>
      <c r="GS6" s="99">
        <v>6.0470000000000003E-2</v>
      </c>
      <c r="GT6" s="99">
        <v>5.602E-2</v>
      </c>
      <c r="GU6" s="99">
        <v>7.8750000000000001E-2</v>
      </c>
      <c r="GV6" s="99">
        <v>0.12579000000000001</v>
      </c>
      <c r="GW6" s="99">
        <v>8.3699999999999997E-2</v>
      </c>
      <c r="GX6" s="99">
        <v>9.0679999999999997E-2</v>
      </c>
      <c r="GY6" s="99">
        <v>6.9110000000000005E-2</v>
      </c>
      <c r="GZ6" s="99">
        <v>8.6639999999999995E-2</v>
      </c>
      <c r="HA6" s="99">
        <v>2.1870000000000001E-2</v>
      </c>
      <c r="HB6" s="99">
        <v>1.439E-2</v>
      </c>
      <c r="HC6" s="99">
        <v>1.3809999999999999E-2</v>
      </c>
      <c r="HD6" s="99">
        <v>4.011E-2</v>
      </c>
      <c r="HE6" s="99">
        <v>4.666E-2</v>
      </c>
      <c r="HF6" s="99">
        <v>3.7679999999999998E-2</v>
      </c>
      <c r="HG6" s="99">
        <v>3.15E-2</v>
      </c>
      <c r="HH6" s="99">
        <v>1.7780000000000001E-2</v>
      </c>
      <c r="HI6" s="99">
        <v>3.4450000000000001E-2</v>
      </c>
      <c r="HJ6" s="99">
        <v>2.1770000000000001E-2</v>
      </c>
      <c r="HK6" s="99">
        <v>3.5099999999999999E-2</v>
      </c>
      <c r="HL6" s="99">
        <v>2.009E-2</v>
      </c>
      <c r="HM6" s="99">
        <v>0.13642000000000001</v>
      </c>
      <c r="HN6" s="99">
        <v>0.22969000000000001</v>
      </c>
      <c r="HO6" s="99">
        <v>0.25198999999999999</v>
      </c>
      <c r="HP6" s="99">
        <v>0.13586999999999999</v>
      </c>
      <c r="HQ6" s="99">
        <v>0.43570999999999999</v>
      </c>
      <c r="HR6" s="99">
        <v>0.17446</v>
      </c>
      <c r="HS6" s="99">
        <v>0.37578</v>
      </c>
      <c r="HT6" s="99">
        <v>0.21718999999999999</v>
      </c>
      <c r="HU6" s="99">
        <v>0.14052000000000001</v>
      </c>
      <c r="HV6" s="99">
        <v>0.28954999999999997</v>
      </c>
      <c r="HW6" s="99">
        <v>0.19802</v>
      </c>
      <c r="HX6" s="99">
        <v>4.5600000000000002E-2</v>
      </c>
      <c r="HY6" s="99">
        <v>7.0129999999999998E-2</v>
      </c>
      <c r="HZ6" s="99">
        <v>0.11069</v>
      </c>
      <c r="IA6" s="99">
        <v>0.11425</v>
      </c>
      <c r="IB6" s="99">
        <v>0.35809000000000002</v>
      </c>
      <c r="IC6" s="99">
        <v>0.40771000000000002</v>
      </c>
      <c r="ID6" s="99">
        <v>0.62356</v>
      </c>
      <c r="IE6" s="99">
        <v>0.61470000000000002</v>
      </c>
      <c r="IF6" s="99">
        <v>0.31533</v>
      </c>
      <c r="IG6" s="99">
        <v>0.52693000000000001</v>
      </c>
      <c r="IH6" s="99">
        <v>0.38213999999999998</v>
      </c>
      <c r="II6" s="99">
        <v>0.41238000000000002</v>
      </c>
      <c r="IJ6" s="99">
        <v>0.29819000000000001</v>
      </c>
      <c r="IK6" s="99">
        <v>0.44178000000000001</v>
      </c>
      <c r="IL6" s="99">
        <v>0.53700000000000003</v>
      </c>
      <c r="IM6" s="99">
        <v>0.46295999999999998</v>
      </c>
      <c r="IN6" s="99">
        <v>0.57528999999999997</v>
      </c>
      <c r="IO6" s="99">
        <v>0.33146999999999999</v>
      </c>
      <c r="IP6" s="99">
        <v>0.44790999999999997</v>
      </c>
      <c r="IQ6" s="99">
        <v>0.33045000000000002</v>
      </c>
      <c r="IR6" s="99">
        <v>0.52058000000000004</v>
      </c>
      <c r="IS6" s="99">
        <v>0.51183000000000001</v>
      </c>
      <c r="IT6" s="99">
        <v>8.2439999999999999E-2</v>
      </c>
      <c r="IU6" s="99">
        <v>9.2520000000000005E-2</v>
      </c>
      <c r="IV6" s="99">
        <v>0.11329</v>
      </c>
      <c r="IW6" s="99">
        <v>0.10612000000000001</v>
      </c>
      <c r="IX6" s="99">
        <v>0.10290000000000001</v>
      </c>
      <c r="IY6" s="99">
        <v>0.12756999999999999</v>
      </c>
      <c r="IZ6" s="99">
        <v>0.20608000000000001</v>
      </c>
      <c r="JA6" s="99">
        <v>0.19133</v>
      </c>
      <c r="JB6" s="99">
        <v>0.33983000000000002</v>
      </c>
      <c r="JC6" s="99">
        <v>0.19656999999999999</v>
      </c>
      <c r="JD6" s="99">
        <v>0.16439000000000001</v>
      </c>
      <c r="JE6" s="99">
        <v>0.19073000000000001</v>
      </c>
      <c r="JF6" s="99">
        <v>0.14030000000000001</v>
      </c>
      <c r="JG6" s="99">
        <v>0.21409</v>
      </c>
      <c r="JH6" s="99">
        <v>8.2210000000000005E-2</v>
      </c>
      <c r="JI6" s="99">
        <v>0.36893999999999999</v>
      </c>
      <c r="JJ6" s="99">
        <v>4.8189999999999997E-2</v>
      </c>
      <c r="JK6" s="99">
        <v>3.5479999999999998E-2</v>
      </c>
      <c r="JL6" s="99">
        <v>1.538E-2</v>
      </c>
      <c r="JM6" s="99">
        <v>0.61153999999999997</v>
      </c>
      <c r="JN6" s="99">
        <v>0.66351000000000004</v>
      </c>
      <c r="JO6" s="99">
        <v>0.65664999999999996</v>
      </c>
      <c r="JP6" s="99">
        <v>0.54010999999999998</v>
      </c>
      <c r="JQ6" s="99">
        <v>0.53412000000000004</v>
      </c>
      <c r="JR6" s="99">
        <v>0.52014000000000005</v>
      </c>
      <c r="JS6" s="99">
        <v>0.82525999999999999</v>
      </c>
      <c r="JT6" s="99">
        <v>0.55006999999999995</v>
      </c>
      <c r="JU6" s="99">
        <v>0.76161999999999996</v>
      </c>
      <c r="JV6" s="99">
        <v>0.78569999999999995</v>
      </c>
      <c r="JW6" s="99">
        <v>0.57833999999999997</v>
      </c>
      <c r="JX6" s="99">
        <v>0.54049999999999998</v>
      </c>
      <c r="JY6" s="99">
        <v>9.0649999999999994E-2</v>
      </c>
      <c r="JZ6" s="99">
        <v>0.29915999999999998</v>
      </c>
      <c r="KA6" s="99">
        <v>0.16211</v>
      </c>
      <c r="KB6" s="99">
        <v>0.11459999999999999</v>
      </c>
      <c r="KC6" s="99">
        <v>0.22187999999999999</v>
      </c>
      <c r="KD6" s="99">
        <v>5.6439999999999997E-2</v>
      </c>
      <c r="KE6" s="99">
        <v>9.604E-2</v>
      </c>
      <c r="KF6" s="99">
        <v>0.10469000000000001</v>
      </c>
      <c r="KG6" s="99">
        <v>6.1269999999999998E-2</v>
      </c>
      <c r="KH6" s="99">
        <v>7.9780000000000004E-2</v>
      </c>
      <c r="KI6" s="99">
        <v>0.21038000000000001</v>
      </c>
      <c r="KJ6" s="99">
        <v>3.5779999999999999E-2</v>
      </c>
      <c r="KK6" s="99">
        <v>3.705E-2</v>
      </c>
      <c r="KL6" s="99">
        <v>6.1289999999999997E-2</v>
      </c>
      <c r="KM6" s="99">
        <v>1.5010000000000001E-2</v>
      </c>
      <c r="KN6" s="99">
        <v>9.0600000000000003E-3</v>
      </c>
      <c r="KO6" s="99">
        <v>1.0959999999999999E-2</v>
      </c>
      <c r="KP6" s="99">
        <v>1.9650000000000001E-2</v>
      </c>
      <c r="KQ6" s="99">
        <v>3.8710000000000001E-2</v>
      </c>
      <c r="KR6" s="99">
        <v>4.5900000000000003E-2</v>
      </c>
      <c r="KS6" s="99">
        <v>4.2970000000000001E-2</v>
      </c>
      <c r="KT6" s="99">
        <v>3.5020000000000003E-2</v>
      </c>
      <c r="KU6" s="99">
        <v>7.886E-2</v>
      </c>
      <c r="KV6" s="99">
        <v>3.6150000000000002E-2</v>
      </c>
      <c r="KW6" s="99">
        <v>8.2650000000000001E-2</v>
      </c>
      <c r="KX6" s="99">
        <v>8.1989999999999993E-2</v>
      </c>
      <c r="KY6" s="99">
        <v>0.12931999999999999</v>
      </c>
      <c r="KZ6" s="99">
        <v>5.3719999999999997E-2</v>
      </c>
      <c r="LA6" s="99">
        <v>0.14102999999999999</v>
      </c>
      <c r="LB6" s="99">
        <v>6.4659999999999995E-2</v>
      </c>
      <c r="LC6" s="99">
        <v>5.561E-2</v>
      </c>
      <c r="LD6" s="99">
        <v>4.4170000000000001E-2</v>
      </c>
      <c r="LE6" s="99">
        <v>3.5369999999999999E-2</v>
      </c>
      <c r="LF6" s="99">
        <v>9.2660000000000006E-2</v>
      </c>
      <c r="LG6" s="99">
        <v>0.1</v>
      </c>
      <c r="LH6" s="99">
        <v>5.5149999999999998E-2</v>
      </c>
      <c r="LI6" s="99">
        <v>5.4789999999999998E-2</v>
      </c>
      <c r="LJ6" s="99">
        <v>7.5029999999999999E-2</v>
      </c>
      <c r="LK6" s="99">
        <v>4.9320000000000003E-2</v>
      </c>
      <c r="LL6" s="99">
        <v>0.49297999999999997</v>
      </c>
      <c r="LM6" s="99">
        <v>0.34939999999999999</v>
      </c>
      <c r="LN6" s="99">
        <v>2.6354799999999998</v>
      </c>
      <c r="LO6" s="99">
        <v>0.79040999999999995</v>
      </c>
      <c r="LP6" s="99">
        <v>0.26168999999999998</v>
      </c>
      <c r="LQ6" s="99">
        <v>0.26938000000000001</v>
      </c>
      <c r="LR6" s="99">
        <v>0.36919999999999997</v>
      </c>
      <c r="LS6" s="99">
        <v>0.25356000000000001</v>
      </c>
      <c r="LT6" s="99">
        <v>0.31827</v>
      </c>
      <c r="LU6" s="99">
        <v>0.24521999999999999</v>
      </c>
      <c r="LV6" s="99">
        <v>0.40201999999999999</v>
      </c>
      <c r="LW6" s="99">
        <v>0.47547</v>
      </c>
      <c r="LX6" s="99">
        <v>0.1676</v>
      </c>
      <c r="LY6" s="99">
        <v>0.18159</v>
      </c>
      <c r="LZ6" s="99">
        <v>0.35114000000000001</v>
      </c>
      <c r="MA6" s="99">
        <v>0.28392000000000001</v>
      </c>
      <c r="MB6" s="99">
        <v>0.34109</v>
      </c>
      <c r="MC6" s="99">
        <v>0.19186</v>
      </c>
      <c r="MD6" s="99">
        <v>0.30347000000000002</v>
      </c>
      <c r="ME6" s="99">
        <v>0.24102999999999999</v>
      </c>
      <c r="MF6" s="99">
        <v>6.6170000000000007E-2</v>
      </c>
      <c r="MG6" s="99">
        <v>6.7239999999999994E-2</v>
      </c>
      <c r="MH6" s="99">
        <v>4.5440000000000001E-2</v>
      </c>
      <c r="MI6" s="99">
        <v>5.0229999999999997E-2</v>
      </c>
      <c r="MJ6" s="99">
        <v>3.4660000000000003E-2</v>
      </c>
      <c r="MK6" s="99">
        <v>5.083E-2</v>
      </c>
      <c r="ML6" s="99">
        <v>3.7379999999999997E-2</v>
      </c>
      <c r="MM6" s="99">
        <v>3.9609999999999999E-2</v>
      </c>
      <c r="MN6" s="99">
        <v>3.4270000000000002E-2</v>
      </c>
      <c r="MO6" s="99">
        <v>3.041E-2</v>
      </c>
      <c r="MP6" s="99">
        <v>3.3059999999999999E-2</v>
      </c>
      <c r="MQ6" s="99">
        <v>5.4969999999999998E-2</v>
      </c>
      <c r="MR6" s="99">
        <v>6.1510000000000002E-2</v>
      </c>
      <c r="MS6" s="99">
        <v>1.3010000000000001E-2</v>
      </c>
      <c r="MT6" s="99">
        <v>2.4979999999999999E-2</v>
      </c>
      <c r="MU6" s="99">
        <v>2.5430000000000001E-2</v>
      </c>
      <c r="MV6" s="99">
        <v>3.049E-2</v>
      </c>
      <c r="MW6" s="99">
        <v>3.1130000000000001E-2</v>
      </c>
      <c r="MX6" s="99">
        <v>6.1620000000000001E-2</v>
      </c>
      <c r="MY6" s="99">
        <v>1.8700000000000001E-2</v>
      </c>
      <c r="MZ6" s="99">
        <v>1.5010000000000001E-2</v>
      </c>
      <c r="NA6" s="99">
        <v>2.8989999999999998E-2</v>
      </c>
      <c r="NB6" s="99">
        <v>6.2109999999999999E-2</v>
      </c>
      <c r="NC6" s="99">
        <v>7.9500000000000001E-2</v>
      </c>
      <c r="ND6" s="99">
        <v>7.2440000000000004E-2</v>
      </c>
      <c r="NE6" s="99">
        <v>1.7090000000000001E-2</v>
      </c>
      <c r="NF6" s="99">
        <v>4.301E-2</v>
      </c>
      <c r="NG6" s="99">
        <v>0.10659</v>
      </c>
      <c r="NH6" s="99">
        <v>8.9829600000000003</v>
      </c>
      <c r="NI6" s="99">
        <v>3.8496999999999999</v>
      </c>
      <c r="NJ6" s="99">
        <v>5.2017699999999998</v>
      </c>
      <c r="NK6" s="99">
        <v>4.2613099999999999</v>
      </c>
      <c r="NL6" s="99">
        <v>4.5419200000000002</v>
      </c>
      <c r="NM6" s="99">
        <v>3.83684</v>
      </c>
      <c r="NN6" s="99">
        <v>3.67822</v>
      </c>
      <c r="NO6" s="99">
        <v>4.2223899999999999</v>
      </c>
      <c r="NP6" s="99">
        <v>3.4742799999999998</v>
      </c>
      <c r="NQ6" s="99">
        <v>4.5558699999999996</v>
      </c>
      <c r="NR6" s="99">
        <v>3.6969500000000002</v>
      </c>
      <c r="NS6" s="99">
        <v>13.5222</v>
      </c>
      <c r="NT6" s="99">
        <v>4.8982200000000002</v>
      </c>
      <c r="NU6" s="99">
        <v>5.6699799999999998</v>
      </c>
      <c r="NV6" s="99">
        <v>6.5387599999999999</v>
      </c>
      <c r="NW6" s="99">
        <v>9.2323000000000004</v>
      </c>
      <c r="NX6" s="99">
        <v>8.2672500000000007</v>
      </c>
      <c r="NY6" s="99">
        <v>11.1081</v>
      </c>
      <c r="NZ6" s="99">
        <v>18.498200000000001</v>
      </c>
      <c r="OA6" s="99">
        <v>19.609100000000002</v>
      </c>
      <c r="OB6" s="99">
        <v>15.288</v>
      </c>
      <c r="OC6" s="99">
        <v>9.8234899999999996</v>
      </c>
      <c r="OD6" s="99">
        <v>23.648199999999999</v>
      </c>
      <c r="OE6" s="99">
        <v>17.866700000000002</v>
      </c>
      <c r="OF6" s="99">
        <v>88.976200000000006</v>
      </c>
      <c r="OG6" s="99">
        <v>15.8744</v>
      </c>
      <c r="OH6" s="99">
        <v>9.1870200000000004</v>
      </c>
      <c r="OI6" s="99">
        <v>7.9924799999999996</v>
      </c>
      <c r="OJ6" s="99">
        <v>20.084900000000001</v>
      </c>
      <c r="OK6" s="99">
        <v>16.811800000000002</v>
      </c>
      <c r="OL6" s="99">
        <v>24.393799999999999</v>
      </c>
      <c r="OM6" s="99">
        <v>22.597100000000001</v>
      </c>
      <c r="ON6" s="99">
        <v>14.3337</v>
      </c>
      <c r="OO6" s="99">
        <v>8.1517400000000002</v>
      </c>
      <c r="OP6" s="99">
        <v>6.9621500000000003</v>
      </c>
      <c r="OQ6" s="99">
        <v>5.29305</v>
      </c>
      <c r="OR6" s="99">
        <v>11.5779</v>
      </c>
      <c r="OS6" s="99">
        <v>8.6447599999999998</v>
      </c>
      <c r="OT6" s="99">
        <v>13.3598</v>
      </c>
      <c r="OU6" s="99">
        <v>8.7167499999999993</v>
      </c>
      <c r="OV6" s="99">
        <v>5.8720499999999998</v>
      </c>
      <c r="OW6" s="99">
        <v>7.6720199999999998</v>
      </c>
      <c r="OX6" s="99">
        <v>38.351799999999997</v>
      </c>
      <c r="OY6" s="99">
        <v>9.9165500000000009</v>
      </c>
      <c r="OZ6" s="99">
        <v>25.046099999999999</v>
      </c>
      <c r="PA6" s="99">
        <v>14.2362</v>
      </c>
      <c r="PB6" s="99">
        <v>9.5957100000000004</v>
      </c>
      <c r="PC6" s="99">
        <v>24.8017</v>
      </c>
      <c r="PD6" s="99">
        <v>41.529200000000003</v>
      </c>
      <c r="PE6" s="99">
        <v>67.9208</v>
      </c>
      <c r="PF6" s="99">
        <v>20.716200000000001</v>
      </c>
      <c r="PG6" s="99">
        <v>11.9511</v>
      </c>
      <c r="PH6" s="99">
        <v>7.4038899999999996</v>
      </c>
      <c r="PI6" s="99">
        <v>14.4383</v>
      </c>
      <c r="PJ6" s="99">
        <v>51.135800000000003</v>
      </c>
      <c r="PK6" s="99">
        <v>14.050700000000001</v>
      </c>
      <c r="PL6" s="99">
        <v>18.811</v>
      </c>
      <c r="PM6" s="99">
        <v>28.655799999999999</v>
      </c>
      <c r="PN6" s="99">
        <v>45.746099999999998</v>
      </c>
      <c r="PO6" s="99">
        <v>18.084599999999998</v>
      </c>
      <c r="PP6" s="99">
        <v>10.834199999999999</v>
      </c>
      <c r="PQ6" s="99">
        <v>25.9406</v>
      </c>
      <c r="PR6" s="99">
        <v>73.534099999999995</v>
      </c>
      <c r="PS6" s="99">
        <v>11.8123</v>
      </c>
      <c r="PT6" s="99">
        <v>11.087400000000001</v>
      </c>
      <c r="PU6" s="99">
        <v>7.0225900000000001</v>
      </c>
      <c r="PV6" s="99">
        <v>12.0482</v>
      </c>
      <c r="PW6" s="99">
        <v>7.0504199999999999</v>
      </c>
      <c r="PX6" s="99">
        <v>8.7921200000000006</v>
      </c>
      <c r="PY6" s="99">
        <v>15.860300000000001</v>
      </c>
      <c r="PZ6" s="99">
        <v>12.247199999999999</v>
      </c>
      <c r="QA6" s="99">
        <v>37.661900000000003</v>
      </c>
      <c r="QB6" s="99">
        <v>7.3671100000000003</v>
      </c>
      <c r="QC6" s="99">
        <v>9.3388899999999992</v>
      </c>
      <c r="QD6" s="99">
        <v>8.4921299999999995</v>
      </c>
      <c r="QE6" s="99">
        <v>10.0623</v>
      </c>
      <c r="QF6" s="99">
        <v>6.4440499999999998</v>
      </c>
      <c r="QG6" s="99">
        <v>5.5810700000000004</v>
      </c>
      <c r="QH6" s="99">
        <v>13.913399999999999</v>
      </c>
      <c r="QI6" s="99">
        <v>11.160399999999999</v>
      </c>
      <c r="QJ6" s="99">
        <v>14.4208</v>
      </c>
      <c r="QK6" s="99">
        <v>15.177199999999999</v>
      </c>
      <c r="QL6" s="99">
        <v>13.678100000000001</v>
      </c>
      <c r="QM6" s="99">
        <v>9.3906299999999998</v>
      </c>
      <c r="QN6" s="99">
        <v>22.051100000000002</v>
      </c>
      <c r="QO6" s="99">
        <v>9.7241800000000005</v>
      </c>
      <c r="QP6" s="99">
        <v>5.6663699999999997</v>
      </c>
      <c r="QQ6" s="99">
        <v>9.9665400000000002</v>
      </c>
      <c r="QR6" s="99">
        <v>12.802300000000001</v>
      </c>
      <c r="QS6" s="99">
        <v>10.671799999999999</v>
      </c>
      <c r="QT6" s="99">
        <v>6.2880700000000003</v>
      </c>
      <c r="QU6" s="99">
        <v>9.9248499999999993</v>
      </c>
      <c r="QV6" s="99">
        <v>9.3290900000000008</v>
      </c>
      <c r="QW6" s="99">
        <v>7.5260100000000003</v>
      </c>
      <c r="QX6" s="99">
        <v>6.7177199999999999</v>
      </c>
      <c r="QY6" s="99">
        <v>5.4411399999999999</v>
      </c>
      <c r="QZ6" s="99">
        <v>5.0901699999999996</v>
      </c>
      <c r="RA6" s="99">
        <v>8.2480899999999995</v>
      </c>
      <c r="RB6" s="99">
        <v>9.5136299999999991</v>
      </c>
      <c r="RC6" s="99">
        <v>4.75237</v>
      </c>
      <c r="RD6" s="99">
        <v>4.6688299999999998</v>
      </c>
      <c r="RE6" s="99">
        <v>8.2005800000000004</v>
      </c>
      <c r="RF6" s="99">
        <v>7.75223</v>
      </c>
      <c r="RG6" s="99">
        <v>6.8011699999999999</v>
      </c>
      <c r="RH6" s="99">
        <v>4.8121299999999998</v>
      </c>
      <c r="RI6" s="99">
        <v>3.6931099999999999</v>
      </c>
      <c r="RJ6" s="99">
        <v>6.6549199999999997</v>
      </c>
      <c r="RK6" s="99">
        <v>5.8211500000000003</v>
      </c>
      <c r="RL6" s="99">
        <v>7.8393199999999998</v>
      </c>
      <c r="RM6" s="99">
        <v>3.1636000000000002</v>
      </c>
      <c r="RN6" s="99">
        <v>3.7749799999999998</v>
      </c>
      <c r="RO6" s="99">
        <v>4.4222799999999998</v>
      </c>
      <c r="RP6" s="99">
        <v>15.575699999999999</v>
      </c>
      <c r="RQ6" s="99">
        <v>13.075100000000001</v>
      </c>
      <c r="RR6" s="99">
        <v>4.3487900000000002</v>
      </c>
      <c r="RS6" s="99">
        <v>4.0384099999999998</v>
      </c>
      <c r="RT6" s="99">
        <v>3.5686800000000001</v>
      </c>
      <c r="RU6" s="99">
        <v>4.64689</v>
      </c>
      <c r="RV6" s="99">
        <v>8.05579</v>
      </c>
      <c r="RW6" s="99">
        <v>6.3931199999999997</v>
      </c>
      <c r="RX6" s="99">
        <v>4.87141</v>
      </c>
      <c r="RY6" s="99">
        <v>15.023400000000001</v>
      </c>
      <c r="RZ6" s="99">
        <v>10.233000000000001</v>
      </c>
      <c r="SA6" s="99">
        <v>14.3337</v>
      </c>
      <c r="SB6" s="99">
        <v>5.8240100000000004</v>
      </c>
      <c r="SC6" s="99">
        <v>5.7081799999999996</v>
      </c>
      <c r="SD6" s="99">
        <v>5.73116</v>
      </c>
      <c r="SE6" s="99">
        <v>2.8183799999999999</v>
      </c>
      <c r="SF6" s="99">
        <v>2.3785699999999999</v>
      </c>
      <c r="SG6" s="99">
        <v>3.67367</v>
      </c>
      <c r="SH6" s="99">
        <v>5.6917499999999999</v>
      </c>
      <c r="SI6" s="99">
        <v>4.8356700000000004</v>
      </c>
      <c r="SJ6" s="99">
        <v>0.15085999999999999</v>
      </c>
      <c r="SK6" s="99">
        <v>0.18337000000000001</v>
      </c>
      <c r="SL6" s="99">
        <v>0.20746000000000001</v>
      </c>
      <c r="SM6" s="99">
        <v>0.10574</v>
      </c>
      <c r="SN6" s="99">
        <v>0.11132</v>
      </c>
      <c r="SO6" s="99">
        <v>0.17330999999999999</v>
      </c>
      <c r="SP6" s="99">
        <v>0.27956999999999999</v>
      </c>
      <c r="SQ6" s="99">
        <v>0.17899000000000001</v>
      </c>
      <c r="SR6" s="99">
        <v>0.28960000000000002</v>
      </c>
      <c r="SS6" s="99">
        <v>0.26838000000000001</v>
      </c>
      <c r="ST6" s="99">
        <v>0.23912</v>
      </c>
      <c r="SU6" s="99">
        <v>0.17782999999999999</v>
      </c>
      <c r="SV6" s="99">
        <v>0.22438</v>
      </c>
      <c r="SW6" s="99">
        <v>6.2630000000000005E-2</v>
      </c>
      <c r="SX6" s="99">
        <v>4.5269999999999998E-2</v>
      </c>
      <c r="SY6" s="99">
        <v>6.0760000000000002E-2</v>
      </c>
      <c r="SZ6" s="99">
        <v>0.10959000000000001</v>
      </c>
      <c r="TA6" s="99">
        <v>4.7410000000000001E-2</v>
      </c>
    </row>
    <row r="7" spans="1:521">
      <c r="A7">
        <v>1</v>
      </c>
      <c r="B7">
        <v>2.7289999999999998E-2</v>
      </c>
      <c r="C7">
        <v>7.07</v>
      </c>
      <c r="D7">
        <v>0.46899999999999997</v>
      </c>
      <c r="E7">
        <v>7.1849999999999996</v>
      </c>
      <c r="F7">
        <v>61.1</v>
      </c>
      <c r="G7">
        <v>4.9671000000000003</v>
      </c>
      <c r="H7">
        <v>2</v>
      </c>
      <c r="I7">
        <v>242</v>
      </c>
      <c r="J7">
        <v>17.8</v>
      </c>
      <c r="K7">
        <v>392.83</v>
      </c>
      <c r="L7">
        <v>4.03</v>
      </c>
      <c r="M7">
        <v>34.700000000000003</v>
      </c>
      <c r="N7" s="107">
        <f t="shared" si="0"/>
        <v>31.765380706601384</v>
      </c>
      <c r="O7" s="92"/>
      <c r="P7" s="99">
        <v>2.31</v>
      </c>
      <c r="Q7" s="99">
        <v>7.07</v>
      </c>
      <c r="R7" s="99">
        <v>7.07</v>
      </c>
      <c r="S7" s="99">
        <v>2.1800000000000002</v>
      </c>
      <c r="T7" s="99">
        <v>2.1800000000000002</v>
      </c>
      <c r="U7" s="99">
        <v>2.1800000000000002</v>
      </c>
      <c r="V7" s="99">
        <v>7.87</v>
      </c>
      <c r="W7" s="99">
        <v>7.87</v>
      </c>
      <c r="X7" s="99">
        <v>7.87</v>
      </c>
      <c r="Y7" s="99">
        <v>7.87</v>
      </c>
      <c r="Z7" s="99">
        <v>7.87</v>
      </c>
      <c r="AA7" s="99">
        <v>7.87</v>
      </c>
      <c r="AB7" s="99">
        <v>7.87</v>
      </c>
      <c r="AC7" s="99">
        <v>8.14</v>
      </c>
      <c r="AD7" s="99">
        <v>8.14</v>
      </c>
      <c r="AE7" s="99">
        <v>8.14</v>
      </c>
      <c r="AF7" s="99">
        <v>8.14</v>
      </c>
      <c r="AG7" s="99">
        <v>8.14</v>
      </c>
      <c r="AH7" s="99">
        <v>8.14</v>
      </c>
      <c r="AI7" s="99">
        <v>8.14</v>
      </c>
      <c r="AJ7" s="99">
        <v>8.14</v>
      </c>
      <c r="AK7" s="99">
        <v>8.14</v>
      </c>
      <c r="AL7" s="99">
        <v>8.14</v>
      </c>
      <c r="AM7" s="99">
        <v>8.14</v>
      </c>
      <c r="AN7" s="99">
        <v>8.14</v>
      </c>
      <c r="AO7" s="99">
        <v>8.14</v>
      </c>
      <c r="AP7" s="99">
        <v>8.14</v>
      </c>
      <c r="AQ7" s="99">
        <v>8.14</v>
      </c>
      <c r="AR7" s="99">
        <v>8.14</v>
      </c>
      <c r="AS7" s="99">
        <v>8.14</v>
      </c>
      <c r="AT7" s="99">
        <v>8.14</v>
      </c>
      <c r="AU7" s="99">
        <v>8.14</v>
      </c>
      <c r="AV7" s="99">
        <v>8.14</v>
      </c>
      <c r="AW7" s="99">
        <v>8.14</v>
      </c>
      <c r="AX7" s="99">
        <v>8.14</v>
      </c>
      <c r="AY7" s="99">
        <v>5.96</v>
      </c>
      <c r="AZ7" s="99">
        <v>5.96</v>
      </c>
      <c r="BA7" s="99">
        <v>5.96</v>
      </c>
      <c r="BB7" s="99">
        <v>5.96</v>
      </c>
      <c r="BC7" s="99">
        <v>2.95</v>
      </c>
      <c r="BD7" s="99">
        <v>2.95</v>
      </c>
      <c r="BE7" s="99">
        <v>6.91</v>
      </c>
      <c r="BF7" s="99">
        <v>6.91</v>
      </c>
      <c r="BG7" s="99">
        <v>6.91</v>
      </c>
      <c r="BH7" s="99">
        <v>6.91</v>
      </c>
      <c r="BI7" s="99">
        <v>6.91</v>
      </c>
      <c r="BJ7" s="99">
        <v>6.91</v>
      </c>
      <c r="BK7" s="99">
        <v>6.91</v>
      </c>
      <c r="BL7" s="99">
        <v>6.91</v>
      </c>
      <c r="BM7" s="99">
        <v>6.91</v>
      </c>
      <c r="BN7" s="99">
        <v>5.64</v>
      </c>
      <c r="BO7" s="99">
        <v>5.64</v>
      </c>
      <c r="BP7" s="99">
        <v>5.64</v>
      </c>
      <c r="BQ7" s="99">
        <v>5.64</v>
      </c>
      <c r="BR7" s="99">
        <v>4</v>
      </c>
      <c r="BS7" s="99">
        <v>1.22</v>
      </c>
      <c r="BT7" s="99">
        <v>0.74</v>
      </c>
      <c r="BU7" s="99">
        <v>1.32</v>
      </c>
      <c r="BV7" s="99">
        <v>5.13</v>
      </c>
      <c r="BW7" s="99">
        <v>5.13</v>
      </c>
      <c r="BX7" s="99">
        <v>5.13</v>
      </c>
      <c r="BY7" s="99">
        <v>5.13</v>
      </c>
      <c r="BZ7" s="99">
        <v>5.13</v>
      </c>
      <c r="CA7" s="99">
        <v>5.13</v>
      </c>
      <c r="CB7" s="99">
        <v>1.38</v>
      </c>
      <c r="CC7" s="99">
        <v>3.37</v>
      </c>
      <c r="CD7" s="99">
        <v>3.37</v>
      </c>
      <c r="CE7" s="99">
        <v>6.07</v>
      </c>
      <c r="CF7" s="99">
        <v>6.07</v>
      </c>
      <c r="CG7" s="99">
        <v>6.07</v>
      </c>
      <c r="CH7" s="99">
        <v>10.81</v>
      </c>
      <c r="CI7" s="99">
        <v>10.81</v>
      </c>
      <c r="CJ7" s="99">
        <v>10.81</v>
      </c>
      <c r="CK7" s="99">
        <v>10.81</v>
      </c>
      <c r="CL7" s="99">
        <v>12.83</v>
      </c>
      <c r="CM7" s="99">
        <v>12.83</v>
      </c>
      <c r="CN7" s="99">
        <v>12.83</v>
      </c>
      <c r="CO7" s="99">
        <v>12.83</v>
      </c>
      <c r="CP7" s="99">
        <v>12.83</v>
      </c>
      <c r="CQ7" s="99">
        <v>12.83</v>
      </c>
      <c r="CR7" s="99">
        <v>4.8600000000000003</v>
      </c>
      <c r="CS7" s="99">
        <v>4.8600000000000003</v>
      </c>
      <c r="CT7" s="99">
        <v>4.8600000000000003</v>
      </c>
      <c r="CU7" s="99">
        <v>4.8600000000000003</v>
      </c>
      <c r="CV7" s="99">
        <v>4.49</v>
      </c>
      <c r="CW7" s="99">
        <v>4.49</v>
      </c>
      <c r="CX7" s="99">
        <v>4.49</v>
      </c>
      <c r="CY7" s="99">
        <v>4.49</v>
      </c>
      <c r="CZ7" s="99">
        <v>3.41</v>
      </c>
      <c r="DA7" s="99">
        <v>3.41</v>
      </c>
      <c r="DB7" s="99">
        <v>3.41</v>
      </c>
      <c r="DC7" s="99">
        <v>3.41</v>
      </c>
      <c r="DD7" s="99">
        <v>15.04</v>
      </c>
      <c r="DE7" s="99">
        <v>15.04</v>
      </c>
      <c r="DF7" s="99">
        <v>15.04</v>
      </c>
      <c r="DG7" s="99">
        <v>2.89</v>
      </c>
      <c r="DH7" s="99">
        <v>2.89</v>
      </c>
      <c r="DI7" s="99">
        <v>2.89</v>
      </c>
      <c r="DJ7" s="99">
        <v>2.89</v>
      </c>
      <c r="DK7" s="99">
        <v>2.89</v>
      </c>
      <c r="DL7" s="99">
        <v>8.56</v>
      </c>
      <c r="DM7" s="99">
        <v>8.56</v>
      </c>
      <c r="DN7" s="99">
        <v>8.56</v>
      </c>
      <c r="DO7" s="99">
        <v>8.56</v>
      </c>
      <c r="DP7" s="99">
        <v>8.56</v>
      </c>
      <c r="DQ7" s="99">
        <v>8.56</v>
      </c>
      <c r="DR7" s="99">
        <v>8.56</v>
      </c>
      <c r="DS7" s="99">
        <v>8.56</v>
      </c>
      <c r="DT7" s="99">
        <v>8.56</v>
      </c>
      <c r="DU7" s="99">
        <v>8.56</v>
      </c>
      <c r="DV7" s="99">
        <v>8.56</v>
      </c>
      <c r="DW7" s="99">
        <v>10.01</v>
      </c>
      <c r="DX7" s="99">
        <v>10.01</v>
      </c>
      <c r="DY7" s="99">
        <v>10.01</v>
      </c>
      <c r="DZ7" s="99">
        <v>10.01</v>
      </c>
      <c r="EA7" s="99">
        <v>10.01</v>
      </c>
      <c r="EB7" s="99">
        <v>10.01</v>
      </c>
      <c r="EC7" s="99">
        <v>10.01</v>
      </c>
      <c r="ED7" s="99">
        <v>10.01</v>
      </c>
      <c r="EE7" s="99">
        <v>10.01</v>
      </c>
      <c r="EF7" s="99">
        <v>25.65</v>
      </c>
      <c r="EG7" s="99">
        <v>25.65</v>
      </c>
      <c r="EH7" s="99">
        <v>25.65</v>
      </c>
      <c r="EI7" s="99">
        <v>25.65</v>
      </c>
      <c r="EJ7" s="99">
        <v>25.65</v>
      </c>
      <c r="EK7" s="99">
        <v>25.65</v>
      </c>
      <c r="EL7" s="99">
        <v>25.65</v>
      </c>
      <c r="EM7" s="99">
        <v>21.89</v>
      </c>
      <c r="EN7" s="99">
        <v>21.89</v>
      </c>
      <c r="EO7" s="99">
        <v>21.89</v>
      </c>
      <c r="EP7" s="99">
        <v>21.89</v>
      </c>
      <c r="EQ7" s="99">
        <v>21.89</v>
      </c>
      <c r="ER7" s="99">
        <v>21.89</v>
      </c>
      <c r="ES7" s="99">
        <v>21.89</v>
      </c>
      <c r="ET7" s="99">
        <v>21.89</v>
      </c>
      <c r="EU7" s="99">
        <v>21.89</v>
      </c>
      <c r="EV7" s="99">
        <v>21.89</v>
      </c>
      <c r="EW7" s="99">
        <v>21.89</v>
      </c>
      <c r="EX7" s="99">
        <v>21.89</v>
      </c>
      <c r="EY7" s="99">
        <v>21.89</v>
      </c>
      <c r="EZ7" s="99">
        <v>21.89</v>
      </c>
      <c r="FA7" s="99">
        <v>21.89</v>
      </c>
      <c r="FB7" s="99">
        <v>19.579999999999998</v>
      </c>
      <c r="FC7" s="99">
        <v>19.579999999999998</v>
      </c>
      <c r="FD7" s="99">
        <v>19.579999999999998</v>
      </c>
      <c r="FE7" s="99">
        <v>19.579999999999998</v>
      </c>
      <c r="FF7" s="99">
        <v>19.579999999999998</v>
      </c>
      <c r="FG7" s="99">
        <v>19.579999999999998</v>
      </c>
      <c r="FH7" s="99">
        <v>19.579999999999998</v>
      </c>
      <c r="FI7" s="99">
        <v>19.579999999999998</v>
      </c>
      <c r="FJ7" s="99">
        <v>19.579999999999998</v>
      </c>
      <c r="FK7" s="99">
        <v>19.579999999999998</v>
      </c>
      <c r="FL7" s="99">
        <v>19.579999999999998</v>
      </c>
      <c r="FM7" s="99">
        <v>19.579999999999998</v>
      </c>
      <c r="FN7" s="99">
        <v>19.579999999999998</v>
      </c>
      <c r="FO7" s="99">
        <v>19.579999999999998</v>
      </c>
      <c r="FP7" s="99">
        <v>19.579999999999998</v>
      </c>
      <c r="FQ7" s="99">
        <v>19.579999999999998</v>
      </c>
      <c r="FR7" s="99">
        <v>19.579999999999998</v>
      </c>
      <c r="FS7" s="99">
        <v>19.579999999999998</v>
      </c>
      <c r="FT7" s="99">
        <v>19.579999999999998</v>
      </c>
      <c r="FU7" s="99">
        <v>19.579999999999998</v>
      </c>
      <c r="FV7" s="99">
        <v>19.579999999999998</v>
      </c>
      <c r="FW7" s="99">
        <v>19.579999999999998</v>
      </c>
      <c r="FX7" s="99">
        <v>19.579999999999998</v>
      </c>
      <c r="FY7" s="99">
        <v>19.579999999999998</v>
      </c>
      <c r="FZ7" s="99">
        <v>19.579999999999998</v>
      </c>
      <c r="GA7" s="99">
        <v>19.579999999999998</v>
      </c>
      <c r="GB7" s="99">
        <v>19.579999999999998</v>
      </c>
      <c r="GC7" s="99">
        <v>19.579999999999998</v>
      </c>
      <c r="GD7" s="99">
        <v>19.579999999999998</v>
      </c>
      <c r="GE7" s="99">
        <v>19.579999999999998</v>
      </c>
      <c r="GF7" s="99">
        <v>4.05</v>
      </c>
      <c r="GG7" s="99">
        <v>4.05</v>
      </c>
      <c r="GH7" s="99">
        <v>4.05</v>
      </c>
      <c r="GI7" s="99">
        <v>4.05</v>
      </c>
      <c r="GJ7" s="99">
        <v>4.05</v>
      </c>
      <c r="GK7" s="99">
        <v>4.05</v>
      </c>
      <c r="GL7" s="99">
        <v>4.05</v>
      </c>
      <c r="GM7" s="99">
        <v>2.46</v>
      </c>
      <c r="GN7" s="99">
        <v>2.46</v>
      </c>
      <c r="GO7" s="99">
        <v>2.46</v>
      </c>
      <c r="GP7" s="99">
        <v>2.46</v>
      </c>
      <c r="GQ7" s="99">
        <v>2.46</v>
      </c>
      <c r="GR7" s="99">
        <v>2.46</v>
      </c>
      <c r="GS7" s="99">
        <v>2.46</v>
      </c>
      <c r="GT7" s="99">
        <v>2.46</v>
      </c>
      <c r="GU7" s="99">
        <v>3.44</v>
      </c>
      <c r="GV7" s="99">
        <v>3.44</v>
      </c>
      <c r="GW7" s="99">
        <v>3.44</v>
      </c>
      <c r="GX7" s="99">
        <v>3.44</v>
      </c>
      <c r="GY7" s="99">
        <v>3.44</v>
      </c>
      <c r="GZ7" s="99">
        <v>3.44</v>
      </c>
      <c r="HA7" s="99">
        <v>2.93</v>
      </c>
      <c r="HB7" s="99">
        <v>2.93</v>
      </c>
      <c r="HC7" s="99">
        <v>0.46</v>
      </c>
      <c r="HD7" s="99">
        <v>1.52</v>
      </c>
      <c r="HE7" s="99">
        <v>1.52</v>
      </c>
      <c r="HF7" s="99">
        <v>1.52</v>
      </c>
      <c r="HG7" s="99">
        <v>1.47</v>
      </c>
      <c r="HH7" s="99">
        <v>1.47</v>
      </c>
      <c r="HI7" s="99">
        <v>2.0299999999999998</v>
      </c>
      <c r="HJ7" s="99">
        <v>2.0299999999999998</v>
      </c>
      <c r="HK7" s="99">
        <v>2.68</v>
      </c>
      <c r="HL7" s="99">
        <v>2.68</v>
      </c>
      <c r="HM7" s="99">
        <v>10.59</v>
      </c>
      <c r="HN7" s="99">
        <v>10.59</v>
      </c>
      <c r="HO7" s="99">
        <v>10.59</v>
      </c>
      <c r="HP7" s="99">
        <v>10.59</v>
      </c>
      <c r="HQ7" s="99">
        <v>10.59</v>
      </c>
      <c r="HR7" s="99">
        <v>10.59</v>
      </c>
      <c r="HS7" s="99">
        <v>10.59</v>
      </c>
      <c r="HT7" s="99">
        <v>10.59</v>
      </c>
      <c r="HU7" s="99">
        <v>10.59</v>
      </c>
      <c r="HV7" s="99">
        <v>10.59</v>
      </c>
      <c r="HW7" s="99">
        <v>10.59</v>
      </c>
      <c r="HX7" s="99">
        <v>13.89</v>
      </c>
      <c r="HY7" s="99">
        <v>13.89</v>
      </c>
      <c r="HZ7" s="99">
        <v>13.89</v>
      </c>
      <c r="IA7" s="99">
        <v>13.89</v>
      </c>
      <c r="IB7" s="99">
        <v>6.2</v>
      </c>
      <c r="IC7" s="99">
        <v>6.2</v>
      </c>
      <c r="ID7" s="99">
        <v>6.2</v>
      </c>
      <c r="IE7" s="99">
        <v>6.2</v>
      </c>
      <c r="IF7" s="99">
        <v>6.2</v>
      </c>
      <c r="IG7" s="99">
        <v>6.2</v>
      </c>
      <c r="IH7" s="99">
        <v>6.2</v>
      </c>
      <c r="II7" s="99">
        <v>6.2</v>
      </c>
      <c r="IJ7" s="99">
        <v>6.2</v>
      </c>
      <c r="IK7" s="99">
        <v>6.2</v>
      </c>
      <c r="IL7" s="99">
        <v>6.2</v>
      </c>
      <c r="IM7" s="99">
        <v>6.2</v>
      </c>
      <c r="IN7" s="99">
        <v>6.2</v>
      </c>
      <c r="IO7" s="99">
        <v>6.2</v>
      </c>
      <c r="IP7" s="99">
        <v>6.2</v>
      </c>
      <c r="IQ7" s="99">
        <v>6.2</v>
      </c>
      <c r="IR7" s="99">
        <v>6.2</v>
      </c>
      <c r="IS7" s="99">
        <v>6.2</v>
      </c>
      <c r="IT7" s="99">
        <v>4.93</v>
      </c>
      <c r="IU7" s="99">
        <v>4.93</v>
      </c>
      <c r="IV7" s="99">
        <v>4.93</v>
      </c>
      <c r="IW7" s="99">
        <v>4.93</v>
      </c>
      <c r="IX7" s="99">
        <v>4.93</v>
      </c>
      <c r="IY7" s="99">
        <v>4.93</v>
      </c>
      <c r="IZ7" s="99">
        <v>5.86</v>
      </c>
      <c r="JA7" s="99">
        <v>5.86</v>
      </c>
      <c r="JB7" s="99">
        <v>5.86</v>
      </c>
      <c r="JC7" s="99">
        <v>5.86</v>
      </c>
      <c r="JD7" s="99">
        <v>5.86</v>
      </c>
      <c r="JE7" s="99">
        <v>5.86</v>
      </c>
      <c r="JF7" s="99">
        <v>5.86</v>
      </c>
      <c r="JG7" s="99">
        <v>5.86</v>
      </c>
      <c r="JH7" s="99">
        <v>5.86</v>
      </c>
      <c r="JI7" s="99">
        <v>5.86</v>
      </c>
      <c r="JJ7" s="99">
        <v>3.64</v>
      </c>
      <c r="JK7" s="99">
        <v>3.64</v>
      </c>
      <c r="JL7" s="99">
        <v>3.75</v>
      </c>
      <c r="JM7" s="99">
        <v>3.97</v>
      </c>
      <c r="JN7" s="99">
        <v>3.97</v>
      </c>
      <c r="JO7" s="99">
        <v>3.97</v>
      </c>
      <c r="JP7" s="99">
        <v>3.97</v>
      </c>
      <c r="JQ7" s="99">
        <v>3.97</v>
      </c>
      <c r="JR7" s="99">
        <v>3.97</v>
      </c>
      <c r="JS7" s="99">
        <v>3.97</v>
      </c>
      <c r="JT7" s="99">
        <v>3.97</v>
      </c>
      <c r="JU7" s="99">
        <v>3.97</v>
      </c>
      <c r="JV7" s="99">
        <v>3.97</v>
      </c>
      <c r="JW7" s="99">
        <v>3.97</v>
      </c>
      <c r="JX7" s="99">
        <v>3.97</v>
      </c>
      <c r="JY7" s="99">
        <v>6.96</v>
      </c>
      <c r="JZ7" s="99">
        <v>6.96</v>
      </c>
      <c r="KA7" s="99">
        <v>6.96</v>
      </c>
      <c r="KB7" s="99">
        <v>6.96</v>
      </c>
      <c r="KC7" s="99">
        <v>6.96</v>
      </c>
      <c r="KD7" s="99">
        <v>6.41</v>
      </c>
      <c r="KE7" s="99">
        <v>6.41</v>
      </c>
      <c r="KF7" s="99">
        <v>6.41</v>
      </c>
      <c r="KG7" s="99">
        <v>6.41</v>
      </c>
      <c r="KH7" s="99">
        <v>6.41</v>
      </c>
      <c r="KI7" s="99">
        <v>3.33</v>
      </c>
      <c r="KJ7" s="99">
        <v>3.33</v>
      </c>
      <c r="KK7" s="99">
        <v>3.33</v>
      </c>
      <c r="KL7" s="99">
        <v>3.33</v>
      </c>
      <c r="KM7" s="99">
        <v>1.21</v>
      </c>
      <c r="KN7" s="99">
        <v>2.97</v>
      </c>
      <c r="KO7" s="99">
        <v>2.25</v>
      </c>
      <c r="KP7" s="99">
        <v>1.76</v>
      </c>
      <c r="KQ7" s="99">
        <v>5.32</v>
      </c>
      <c r="KR7" s="99">
        <v>5.32</v>
      </c>
      <c r="KS7" s="99">
        <v>5.32</v>
      </c>
      <c r="KT7" s="99">
        <v>4.95</v>
      </c>
      <c r="KU7" s="99">
        <v>4.95</v>
      </c>
      <c r="KV7" s="99">
        <v>4.95</v>
      </c>
      <c r="KW7" s="99">
        <v>13.92</v>
      </c>
      <c r="KX7" s="99">
        <v>13.92</v>
      </c>
      <c r="KY7" s="99">
        <v>13.92</v>
      </c>
      <c r="KZ7" s="99">
        <v>13.92</v>
      </c>
      <c r="LA7" s="99">
        <v>13.92</v>
      </c>
      <c r="LB7" s="99">
        <v>2.2400000000000002</v>
      </c>
      <c r="LC7" s="99">
        <v>2.2400000000000002</v>
      </c>
      <c r="LD7" s="99">
        <v>2.2400000000000002</v>
      </c>
      <c r="LE7" s="99">
        <v>6.09</v>
      </c>
      <c r="LF7" s="99">
        <v>6.09</v>
      </c>
      <c r="LG7" s="99">
        <v>6.09</v>
      </c>
      <c r="LH7" s="99">
        <v>2.1800000000000002</v>
      </c>
      <c r="LI7" s="99">
        <v>2.1800000000000002</v>
      </c>
      <c r="LJ7" s="99">
        <v>2.1800000000000002</v>
      </c>
      <c r="LK7" s="99">
        <v>2.1800000000000002</v>
      </c>
      <c r="LL7" s="99">
        <v>9.9</v>
      </c>
      <c r="LM7" s="99">
        <v>9.9</v>
      </c>
      <c r="LN7" s="99">
        <v>9.9</v>
      </c>
      <c r="LO7" s="99">
        <v>9.9</v>
      </c>
      <c r="LP7" s="99">
        <v>9.9</v>
      </c>
      <c r="LQ7" s="99">
        <v>9.9</v>
      </c>
      <c r="LR7" s="99">
        <v>9.9</v>
      </c>
      <c r="LS7" s="99">
        <v>9.9</v>
      </c>
      <c r="LT7" s="99">
        <v>9.9</v>
      </c>
      <c r="LU7" s="99">
        <v>9.9</v>
      </c>
      <c r="LV7" s="99">
        <v>9.9</v>
      </c>
      <c r="LW7" s="99">
        <v>9.9</v>
      </c>
      <c r="LX7" s="99">
        <v>7.38</v>
      </c>
      <c r="LY7" s="99">
        <v>7.38</v>
      </c>
      <c r="LZ7" s="99">
        <v>7.38</v>
      </c>
      <c r="MA7" s="99">
        <v>7.38</v>
      </c>
      <c r="MB7" s="99">
        <v>7.38</v>
      </c>
      <c r="MC7" s="99">
        <v>7.38</v>
      </c>
      <c r="MD7" s="99">
        <v>7.38</v>
      </c>
      <c r="ME7" s="99">
        <v>7.38</v>
      </c>
      <c r="MF7" s="99">
        <v>3.24</v>
      </c>
      <c r="MG7" s="99">
        <v>3.24</v>
      </c>
      <c r="MH7" s="99">
        <v>3.24</v>
      </c>
      <c r="MI7" s="99">
        <v>6.06</v>
      </c>
      <c r="MJ7" s="99">
        <v>6.06</v>
      </c>
      <c r="MK7" s="99">
        <v>5.19</v>
      </c>
      <c r="ML7" s="99">
        <v>5.19</v>
      </c>
      <c r="MM7" s="99">
        <v>5.19</v>
      </c>
      <c r="MN7" s="99">
        <v>5.19</v>
      </c>
      <c r="MO7" s="99">
        <v>5.19</v>
      </c>
      <c r="MP7" s="99">
        <v>5.19</v>
      </c>
      <c r="MQ7" s="99">
        <v>5.19</v>
      </c>
      <c r="MR7" s="99">
        <v>5.19</v>
      </c>
      <c r="MS7" s="99">
        <v>1.52</v>
      </c>
      <c r="MT7" s="99">
        <v>1.89</v>
      </c>
      <c r="MU7" s="99">
        <v>3.78</v>
      </c>
      <c r="MV7" s="99">
        <v>3.78</v>
      </c>
      <c r="MW7" s="99">
        <v>4.3899999999999997</v>
      </c>
      <c r="MX7" s="99">
        <v>4.3899999999999997</v>
      </c>
      <c r="MY7" s="99">
        <v>4.1500000000000004</v>
      </c>
      <c r="MZ7" s="99">
        <v>2.0099999999999998</v>
      </c>
      <c r="NA7" s="99">
        <v>1.25</v>
      </c>
      <c r="NB7" s="99">
        <v>1.25</v>
      </c>
      <c r="NC7" s="99">
        <v>1.69</v>
      </c>
      <c r="ND7" s="99">
        <v>1.69</v>
      </c>
      <c r="NE7" s="99">
        <v>2.02</v>
      </c>
      <c r="NF7" s="99">
        <v>1.91</v>
      </c>
      <c r="NG7" s="99">
        <v>1.91</v>
      </c>
      <c r="NH7" s="99">
        <v>18.100000000000001</v>
      </c>
      <c r="NI7" s="99">
        <v>18.100000000000001</v>
      </c>
      <c r="NJ7" s="99">
        <v>18.100000000000001</v>
      </c>
      <c r="NK7" s="99">
        <v>18.100000000000001</v>
      </c>
      <c r="NL7" s="99">
        <v>18.100000000000001</v>
      </c>
      <c r="NM7" s="99">
        <v>18.100000000000001</v>
      </c>
      <c r="NN7" s="99">
        <v>18.100000000000001</v>
      </c>
      <c r="NO7" s="99">
        <v>18.100000000000001</v>
      </c>
      <c r="NP7" s="99">
        <v>18.100000000000001</v>
      </c>
      <c r="NQ7" s="99">
        <v>18.100000000000001</v>
      </c>
      <c r="NR7" s="99">
        <v>18.100000000000001</v>
      </c>
      <c r="NS7" s="99">
        <v>18.100000000000001</v>
      </c>
      <c r="NT7" s="99">
        <v>18.100000000000001</v>
      </c>
      <c r="NU7" s="99">
        <v>18.100000000000001</v>
      </c>
      <c r="NV7" s="99">
        <v>18.100000000000001</v>
      </c>
      <c r="NW7" s="99">
        <v>18.100000000000001</v>
      </c>
      <c r="NX7" s="99">
        <v>18.100000000000001</v>
      </c>
      <c r="NY7" s="99">
        <v>18.100000000000001</v>
      </c>
      <c r="NZ7" s="99">
        <v>18.100000000000001</v>
      </c>
      <c r="OA7" s="99">
        <v>18.100000000000001</v>
      </c>
      <c r="OB7" s="99">
        <v>18.100000000000001</v>
      </c>
      <c r="OC7" s="99">
        <v>18.100000000000001</v>
      </c>
      <c r="OD7" s="99">
        <v>18.100000000000001</v>
      </c>
      <c r="OE7" s="99">
        <v>18.100000000000001</v>
      </c>
      <c r="OF7" s="99">
        <v>18.100000000000001</v>
      </c>
      <c r="OG7" s="99">
        <v>18.100000000000001</v>
      </c>
      <c r="OH7" s="99">
        <v>18.100000000000001</v>
      </c>
      <c r="OI7" s="99">
        <v>18.100000000000001</v>
      </c>
      <c r="OJ7" s="99">
        <v>18.100000000000001</v>
      </c>
      <c r="OK7" s="99">
        <v>18.100000000000001</v>
      </c>
      <c r="OL7" s="99">
        <v>18.100000000000001</v>
      </c>
      <c r="OM7" s="99">
        <v>18.100000000000001</v>
      </c>
      <c r="ON7" s="99">
        <v>18.100000000000001</v>
      </c>
      <c r="OO7" s="99">
        <v>18.100000000000001</v>
      </c>
      <c r="OP7" s="99">
        <v>18.100000000000001</v>
      </c>
      <c r="OQ7" s="99">
        <v>18.100000000000001</v>
      </c>
      <c r="OR7" s="99">
        <v>18.100000000000001</v>
      </c>
      <c r="OS7" s="99">
        <v>18.100000000000001</v>
      </c>
      <c r="OT7" s="99">
        <v>18.100000000000001</v>
      </c>
      <c r="OU7" s="99">
        <v>18.100000000000001</v>
      </c>
      <c r="OV7" s="99">
        <v>18.100000000000001</v>
      </c>
      <c r="OW7" s="99">
        <v>18.100000000000001</v>
      </c>
      <c r="OX7" s="99">
        <v>18.100000000000001</v>
      </c>
      <c r="OY7" s="99">
        <v>18.100000000000001</v>
      </c>
      <c r="OZ7" s="99">
        <v>18.100000000000001</v>
      </c>
      <c r="PA7" s="99">
        <v>18.100000000000001</v>
      </c>
      <c r="PB7" s="99">
        <v>18.100000000000001</v>
      </c>
      <c r="PC7" s="99">
        <v>18.100000000000001</v>
      </c>
      <c r="PD7" s="99">
        <v>18.100000000000001</v>
      </c>
      <c r="PE7" s="99">
        <v>18.100000000000001</v>
      </c>
      <c r="PF7" s="99">
        <v>18.100000000000001</v>
      </c>
      <c r="PG7" s="99">
        <v>18.100000000000001</v>
      </c>
      <c r="PH7" s="99">
        <v>18.100000000000001</v>
      </c>
      <c r="PI7" s="99">
        <v>18.100000000000001</v>
      </c>
      <c r="PJ7" s="99">
        <v>18.100000000000001</v>
      </c>
      <c r="PK7" s="99">
        <v>18.100000000000001</v>
      </c>
      <c r="PL7" s="99">
        <v>18.100000000000001</v>
      </c>
      <c r="PM7" s="99">
        <v>18.100000000000001</v>
      </c>
      <c r="PN7" s="99">
        <v>18.100000000000001</v>
      </c>
      <c r="PO7" s="99">
        <v>18.100000000000001</v>
      </c>
      <c r="PP7" s="99">
        <v>18.100000000000001</v>
      </c>
      <c r="PQ7" s="99">
        <v>18.100000000000001</v>
      </c>
      <c r="PR7" s="99">
        <v>18.100000000000001</v>
      </c>
      <c r="PS7" s="99">
        <v>18.100000000000001</v>
      </c>
      <c r="PT7" s="99">
        <v>18.100000000000001</v>
      </c>
      <c r="PU7" s="99">
        <v>18.100000000000001</v>
      </c>
      <c r="PV7" s="99">
        <v>18.100000000000001</v>
      </c>
      <c r="PW7" s="99">
        <v>18.100000000000001</v>
      </c>
      <c r="PX7" s="99">
        <v>18.100000000000001</v>
      </c>
      <c r="PY7" s="99">
        <v>18.100000000000001</v>
      </c>
      <c r="PZ7" s="99">
        <v>18.100000000000001</v>
      </c>
      <c r="QA7" s="99">
        <v>18.100000000000001</v>
      </c>
      <c r="QB7" s="99">
        <v>18.100000000000001</v>
      </c>
      <c r="QC7" s="99">
        <v>18.100000000000001</v>
      </c>
      <c r="QD7" s="99">
        <v>18.100000000000001</v>
      </c>
      <c r="QE7" s="99">
        <v>18.100000000000001</v>
      </c>
      <c r="QF7" s="99">
        <v>18.100000000000001</v>
      </c>
      <c r="QG7" s="99">
        <v>18.100000000000001</v>
      </c>
      <c r="QH7" s="99">
        <v>18.100000000000001</v>
      </c>
      <c r="QI7" s="99">
        <v>18.100000000000001</v>
      </c>
      <c r="QJ7" s="99">
        <v>18.100000000000001</v>
      </c>
      <c r="QK7" s="99">
        <v>18.100000000000001</v>
      </c>
      <c r="QL7" s="99">
        <v>18.100000000000001</v>
      </c>
      <c r="QM7" s="99">
        <v>18.100000000000001</v>
      </c>
      <c r="QN7" s="99">
        <v>18.100000000000001</v>
      </c>
      <c r="QO7" s="99">
        <v>18.100000000000001</v>
      </c>
      <c r="QP7" s="99">
        <v>18.100000000000001</v>
      </c>
      <c r="QQ7" s="99">
        <v>18.100000000000001</v>
      </c>
      <c r="QR7" s="99">
        <v>18.100000000000001</v>
      </c>
      <c r="QS7" s="99">
        <v>18.100000000000001</v>
      </c>
      <c r="QT7" s="99">
        <v>18.100000000000001</v>
      </c>
      <c r="QU7" s="99">
        <v>18.100000000000001</v>
      </c>
      <c r="QV7" s="99">
        <v>18.100000000000001</v>
      </c>
      <c r="QW7" s="99">
        <v>18.100000000000001</v>
      </c>
      <c r="QX7" s="99">
        <v>18.100000000000001</v>
      </c>
      <c r="QY7" s="99">
        <v>18.100000000000001</v>
      </c>
      <c r="QZ7" s="99">
        <v>18.100000000000001</v>
      </c>
      <c r="RA7" s="99">
        <v>18.100000000000001</v>
      </c>
      <c r="RB7" s="99">
        <v>18.100000000000001</v>
      </c>
      <c r="RC7" s="99">
        <v>18.100000000000001</v>
      </c>
      <c r="RD7" s="99">
        <v>18.100000000000001</v>
      </c>
      <c r="RE7" s="99">
        <v>18.100000000000001</v>
      </c>
      <c r="RF7" s="99">
        <v>18.100000000000001</v>
      </c>
      <c r="RG7" s="99">
        <v>18.100000000000001</v>
      </c>
      <c r="RH7" s="99">
        <v>18.100000000000001</v>
      </c>
      <c r="RI7" s="99">
        <v>18.100000000000001</v>
      </c>
      <c r="RJ7" s="99">
        <v>18.100000000000001</v>
      </c>
      <c r="RK7" s="99">
        <v>18.100000000000001</v>
      </c>
      <c r="RL7" s="99">
        <v>18.100000000000001</v>
      </c>
      <c r="RM7" s="99">
        <v>18.100000000000001</v>
      </c>
      <c r="RN7" s="99">
        <v>18.100000000000001</v>
      </c>
      <c r="RO7" s="99">
        <v>18.100000000000001</v>
      </c>
      <c r="RP7" s="99">
        <v>18.100000000000001</v>
      </c>
      <c r="RQ7" s="99">
        <v>18.100000000000001</v>
      </c>
      <c r="RR7" s="99">
        <v>18.100000000000001</v>
      </c>
      <c r="RS7" s="99">
        <v>18.100000000000001</v>
      </c>
      <c r="RT7" s="99">
        <v>18.100000000000001</v>
      </c>
      <c r="RU7" s="99">
        <v>18.100000000000001</v>
      </c>
      <c r="RV7" s="99">
        <v>18.100000000000001</v>
      </c>
      <c r="RW7" s="99">
        <v>18.100000000000001</v>
      </c>
      <c r="RX7" s="99">
        <v>18.100000000000001</v>
      </c>
      <c r="RY7" s="99">
        <v>18.100000000000001</v>
      </c>
      <c r="RZ7" s="99">
        <v>18.100000000000001</v>
      </c>
      <c r="SA7" s="99">
        <v>18.100000000000001</v>
      </c>
      <c r="SB7" s="99">
        <v>18.100000000000001</v>
      </c>
      <c r="SC7" s="99">
        <v>18.100000000000001</v>
      </c>
      <c r="SD7" s="99">
        <v>18.100000000000001</v>
      </c>
      <c r="SE7" s="99">
        <v>18.100000000000001</v>
      </c>
      <c r="SF7" s="99">
        <v>18.100000000000001</v>
      </c>
      <c r="SG7" s="99">
        <v>18.100000000000001</v>
      </c>
      <c r="SH7" s="99">
        <v>18.100000000000001</v>
      </c>
      <c r="SI7" s="99">
        <v>18.100000000000001</v>
      </c>
      <c r="SJ7" s="99">
        <v>27.74</v>
      </c>
      <c r="SK7" s="99">
        <v>27.74</v>
      </c>
      <c r="SL7" s="99">
        <v>27.74</v>
      </c>
      <c r="SM7" s="99">
        <v>27.74</v>
      </c>
      <c r="SN7" s="99">
        <v>27.74</v>
      </c>
      <c r="SO7" s="99">
        <v>9.69</v>
      </c>
      <c r="SP7" s="99">
        <v>9.69</v>
      </c>
      <c r="SQ7" s="99">
        <v>9.69</v>
      </c>
      <c r="SR7" s="99">
        <v>9.69</v>
      </c>
      <c r="SS7" s="99">
        <v>9.69</v>
      </c>
      <c r="ST7" s="99">
        <v>9.69</v>
      </c>
      <c r="SU7" s="99">
        <v>9.69</v>
      </c>
      <c r="SV7" s="99">
        <v>9.69</v>
      </c>
      <c r="SW7" s="99">
        <v>11.93</v>
      </c>
      <c r="SX7" s="99">
        <v>11.93</v>
      </c>
      <c r="SY7" s="99">
        <v>11.93</v>
      </c>
      <c r="SZ7" s="99">
        <v>11.93</v>
      </c>
      <c r="TA7" s="99">
        <v>11.93</v>
      </c>
    </row>
    <row r="8" spans="1:521">
      <c r="A8">
        <v>1</v>
      </c>
      <c r="B8">
        <v>3.2370000000000003E-2</v>
      </c>
      <c r="C8">
        <v>2.1800000000000002</v>
      </c>
      <c r="D8">
        <v>0.45800000000000002</v>
      </c>
      <c r="E8">
        <v>6.9980000000000002</v>
      </c>
      <c r="F8">
        <v>45.8</v>
      </c>
      <c r="G8">
        <v>6.0621999999999998</v>
      </c>
      <c r="H8">
        <v>3</v>
      </c>
      <c r="I8">
        <v>222</v>
      </c>
      <c r="J8">
        <v>18.7</v>
      </c>
      <c r="K8">
        <v>394.63</v>
      </c>
      <c r="L8">
        <v>2.94</v>
      </c>
      <c r="M8">
        <v>33.4</v>
      </c>
      <c r="N8" s="107">
        <f t="shared" si="0"/>
        <v>29.919900835543821</v>
      </c>
      <c r="O8"/>
      <c r="P8" s="99">
        <v>0.53800000000000003</v>
      </c>
      <c r="Q8" s="99">
        <v>0.46899999999999997</v>
      </c>
      <c r="R8" s="99">
        <v>0.46899999999999997</v>
      </c>
      <c r="S8" s="99">
        <v>0.45800000000000002</v>
      </c>
      <c r="T8" s="99">
        <v>0.45800000000000002</v>
      </c>
      <c r="U8" s="99">
        <v>0.45800000000000002</v>
      </c>
      <c r="V8" s="99">
        <v>0.52400000000000002</v>
      </c>
      <c r="W8" s="99">
        <v>0.52400000000000002</v>
      </c>
      <c r="X8" s="99">
        <v>0.52400000000000002</v>
      </c>
      <c r="Y8" s="99">
        <v>0.52400000000000002</v>
      </c>
      <c r="Z8" s="99">
        <v>0.52400000000000002</v>
      </c>
      <c r="AA8" s="99">
        <v>0.52400000000000002</v>
      </c>
      <c r="AB8" s="99">
        <v>0.52400000000000002</v>
      </c>
      <c r="AC8" s="99">
        <v>0.53800000000000003</v>
      </c>
      <c r="AD8" s="99">
        <v>0.53800000000000003</v>
      </c>
      <c r="AE8" s="99">
        <v>0.53800000000000003</v>
      </c>
      <c r="AF8" s="99">
        <v>0.53800000000000003</v>
      </c>
      <c r="AG8" s="99">
        <v>0.53800000000000003</v>
      </c>
      <c r="AH8" s="99">
        <v>0.53800000000000003</v>
      </c>
      <c r="AI8" s="99">
        <v>0.53800000000000003</v>
      </c>
      <c r="AJ8" s="99">
        <v>0.53800000000000003</v>
      </c>
      <c r="AK8" s="99">
        <v>0.53800000000000003</v>
      </c>
      <c r="AL8" s="99">
        <v>0.53800000000000003</v>
      </c>
      <c r="AM8" s="99">
        <v>0.53800000000000003</v>
      </c>
      <c r="AN8" s="99">
        <v>0.53800000000000003</v>
      </c>
      <c r="AO8" s="99">
        <v>0.53800000000000003</v>
      </c>
      <c r="AP8" s="99">
        <v>0.53800000000000003</v>
      </c>
      <c r="AQ8" s="99">
        <v>0.53800000000000003</v>
      </c>
      <c r="AR8" s="99">
        <v>0.53800000000000003</v>
      </c>
      <c r="AS8" s="99">
        <v>0.53800000000000003</v>
      </c>
      <c r="AT8" s="99">
        <v>0.53800000000000003</v>
      </c>
      <c r="AU8" s="99">
        <v>0.53800000000000003</v>
      </c>
      <c r="AV8" s="99">
        <v>0.53800000000000003</v>
      </c>
      <c r="AW8" s="99">
        <v>0.53800000000000003</v>
      </c>
      <c r="AX8" s="99">
        <v>0.53800000000000003</v>
      </c>
      <c r="AY8" s="99">
        <v>0.499</v>
      </c>
      <c r="AZ8" s="99">
        <v>0.499</v>
      </c>
      <c r="BA8" s="99">
        <v>0.499</v>
      </c>
      <c r="BB8" s="99">
        <v>0.499</v>
      </c>
      <c r="BC8" s="99">
        <v>0.42799999999999999</v>
      </c>
      <c r="BD8" s="99">
        <v>0.42799999999999999</v>
      </c>
      <c r="BE8" s="99">
        <v>0.44800000000000001</v>
      </c>
      <c r="BF8" s="99">
        <v>0.44800000000000001</v>
      </c>
      <c r="BG8" s="99">
        <v>0.44800000000000001</v>
      </c>
      <c r="BH8" s="99">
        <v>0.44800000000000001</v>
      </c>
      <c r="BI8" s="99">
        <v>0.44800000000000001</v>
      </c>
      <c r="BJ8" s="99">
        <v>0.44800000000000001</v>
      </c>
      <c r="BK8" s="99">
        <v>0.44800000000000001</v>
      </c>
      <c r="BL8" s="99">
        <v>0.44800000000000001</v>
      </c>
      <c r="BM8" s="99">
        <v>0.44800000000000001</v>
      </c>
      <c r="BN8" s="99">
        <v>0.439</v>
      </c>
      <c r="BO8" s="99">
        <v>0.439</v>
      </c>
      <c r="BP8" s="99">
        <v>0.439</v>
      </c>
      <c r="BQ8" s="99">
        <v>0.439</v>
      </c>
      <c r="BR8" s="99">
        <v>0.41</v>
      </c>
      <c r="BS8" s="99">
        <v>0.40300000000000002</v>
      </c>
      <c r="BT8" s="99">
        <v>0.41</v>
      </c>
      <c r="BU8" s="99">
        <v>0.41099999999999998</v>
      </c>
      <c r="BV8" s="99">
        <v>0.45300000000000001</v>
      </c>
      <c r="BW8" s="99">
        <v>0.45300000000000001</v>
      </c>
      <c r="BX8" s="99">
        <v>0.45300000000000001</v>
      </c>
      <c r="BY8" s="99">
        <v>0.45300000000000001</v>
      </c>
      <c r="BZ8" s="99">
        <v>0.45300000000000001</v>
      </c>
      <c r="CA8" s="99">
        <v>0.45300000000000001</v>
      </c>
      <c r="CB8" s="99">
        <v>0.41610000000000003</v>
      </c>
      <c r="CC8" s="99">
        <v>0.39800000000000002</v>
      </c>
      <c r="CD8" s="99">
        <v>0.39800000000000002</v>
      </c>
      <c r="CE8" s="99">
        <v>0.40899999999999997</v>
      </c>
      <c r="CF8" s="99">
        <v>0.40899999999999997</v>
      </c>
      <c r="CG8" s="99">
        <v>0.40899999999999997</v>
      </c>
      <c r="CH8" s="99">
        <v>0.41299999999999998</v>
      </c>
      <c r="CI8" s="99">
        <v>0.41299999999999998</v>
      </c>
      <c r="CJ8" s="99">
        <v>0.41299999999999998</v>
      </c>
      <c r="CK8" s="99">
        <v>0.41299999999999998</v>
      </c>
      <c r="CL8" s="99">
        <v>0.437</v>
      </c>
      <c r="CM8" s="99">
        <v>0.437</v>
      </c>
      <c r="CN8" s="99">
        <v>0.437</v>
      </c>
      <c r="CO8" s="99">
        <v>0.437</v>
      </c>
      <c r="CP8" s="99">
        <v>0.437</v>
      </c>
      <c r="CQ8" s="99">
        <v>0.437</v>
      </c>
      <c r="CR8" s="99">
        <v>0.42599999999999999</v>
      </c>
      <c r="CS8" s="99">
        <v>0.42599999999999999</v>
      </c>
      <c r="CT8" s="99">
        <v>0.42599999999999999</v>
      </c>
      <c r="CU8" s="99">
        <v>0.42599999999999999</v>
      </c>
      <c r="CV8" s="99">
        <v>0.44900000000000001</v>
      </c>
      <c r="CW8" s="99">
        <v>0.44900000000000001</v>
      </c>
      <c r="CX8" s="99">
        <v>0.44900000000000001</v>
      </c>
      <c r="CY8" s="99">
        <v>0.44900000000000001</v>
      </c>
      <c r="CZ8" s="99">
        <v>0.48899999999999999</v>
      </c>
      <c r="DA8" s="99">
        <v>0.48899999999999999</v>
      </c>
      <c r="DB8" s="99">
        <v>0.48899999999999999</v>
      </c>
      <c r="DC8" s="99">
        <v>0.48899999999999999</v>
      </c>
      <c r="DD8" s="99">
        <v>0.46400000000000002</v>
      </c>
      <c r="DE8" s="99">
        <v>0.46400000000000002</v>
      </c>
      <c r="DF8" s="99">
        <v>0.46400000000000002</v>
      </c>
      <c r="DG8" s="99">
        <v>0.44500000000000001</v>
      </c>
      <c r="DH8" s="99">
        <v>0.44500000000000001</v>
      </c>
      <c r="DI8" s="99">
        <v>0.44500000000000001</v>
      </c>
      <c r="DJ8" s="99">
        <v>0.44500000000000001</v>
      </c>
      <c r="DK8" s="99">
        <v>0.44500000000000001</v>
      </c>
      <c r="DL8" s="99">
        <v>0.52</v>
      </c>
      <c r="DM8" s="99">
        <v>0.52</v>
      </c>
      <c r="DN8" s="99">
        <v>0.52</v>
      </c>
      <c r="DO8" s="99">
        <v>0.52</v>
      </c>
      <c r="DP8" s="99">
        <v>0.52</v>
      </c>
      <c r="DQ8" s="99">
        <v>0.52</v>
      </c>
      <c r="DR8" s="99">
        <v>0.52</v>
      </c>
      <c r="DS8" s="99">
        <v>0.52</v>
      </c>
      <c r="DT8" s="99">
        <v>0.52</v>
      </c>
      <c r="DU8" s="99">
        <v>0.52</v>
      </c>
      <c r="DV8" s="99">
        <v>0.52</v>
      </c>
      <c r="DW8" s="99">
        <v>0.54700000000000004</v>
      </c>
      <c r="DX8" s="99">
        <v>0.54700000000000004</v>
      </c>
      <c r="DY8" s="99">
        <v>0.54700000000000004</v>
      </c>
      <c r="DZ8" s="99">
        <v>0.54700000000000004</v>
      </c>
      <c r="EA8" s="99">
        <v>0.54700000000000004</v>
      </c>
      <c r="EB8" s="99">
        <v>0.54700000000000004</v>
      </c>
      <c r="EC8" s="99">
        <v>0.54700000000000004</v>
      </c>
      <c r="ED8" s="99">
        <v>0.54700000000000004</v>
      </c>
      <c r="EE8" s="99">
        <v>0.54700000000000004</v>
      </c>
      <c r="EF8" s="99">
        <v>0.58099999999999996</v>
      </c>
      <c r="EG8" s="99">
        <v>0.58099999999999996</v>
      </c>
      <c r="EH8" s="99">
        <v>0.58099999999999996</v>
      </c>
      <c r="EI8" s="99">
        <v>0.58099999999999996</v>
      </c>
      <c r="EJ8" s="99">
        <v>0.58099999999999996</v>
      </c>
      <c r="EK8" s="99">
        <v>0.58099999999999996</v>
      </c>
      <c r="EL8" s="99">
        <v>0.58099999999999996</v>
      </c>
      <c r="EM8" s="99">
        <v>0.624</v>
      </c>
      <c r="EN8" s="99">
        <v>0.624</v>
      </c>
      <c r="EO8" s="99">
        <v>0.624</v>
      </c>
      <c r="EP8" s="99">
        <v>0.624</v>
      </c>
      <c r="EQ8" s="99">
        <v>0.624</v>
      </c>
      <c r="ER8" s="99">
        <v>0.624</v>
      </c>
      <c r="ES8" s="99">
        <v>0.624</v>
      </c>
      <c r="ET8" s="99">
        <v>0.624</v>
      </c>
      <c r="EU8" s="99">
        <v>0.624</v>
      </c>
      <c r="EV8" s="99">
        <v>0.624</v>
      </c>
      <c r="EW8" s="99">
        <v>0.624</v>
      </c>
      <c r="EX8" s="99">
        <v>0.624</v>
      </c>
      <c r="EY8" s="99">
        <v>0.624</v>
      </c>
      <c r="EZ8" s="99">
        <v>0.624</v>
      </c>
      <c r="FA8" s="99">
        <v>0.624</v>
      </c>
      <c r="FB8" s="99">
        <v>0.871</v>
      </c>
      <c r="FC8" s="99">
        <v>0.871</v>
      </c>
      <c r="FD8" s="99">
        <v>0.871</v>
      </c>
      <c r="FE8" s="99">
        <v>0.871</v>
      </c>
      <c r="FF8" s="99">
        <v>0.871</v>
      </c>
      <c r="FG8" s="99">
        <v>0.871</v>
      </c>
      <c r="FH8" s="99">
        <v>0.871</v>
      </c>
      <c r="FI8" s="99">
        <v>0.871</v>
      </c>
      <c r="FJ8" s="99">
        <v>0.871</v>
      </c>
      <c r="FK8" s="99">
        <v>0.871</v>
      </c>
      <c r="FL8" s="99">
        <v>0.871</v>
      </c>
      <c r="FM8" s="99">
        <v>0.871</v>
      </c>
      <c r="FN8" s="99">
        <v>0.871</v>
      </c>
      <c r="FO8" s="99">
        <v>0.871</v>
      </c>
      <c r="FP8" s="99">
        <v>0.871</v>
      </c>
      <c r="FQ8" s="99">
        <v>0.60499999999999998</v>
      </c>
      <c r="FR8" s="99">
        <v>0.60499999999999998</v>
      </c>
      <c r="FS8" s="99">
        <v>0.871</v>
      </c>
      <c r="FT8" s="99">
        <v>0.60499999999999998</v>
      </c>
      <c r="FU8" s="99">
        <v>0.60499999999999998</v>
      </c>
      <c r="FV8" s="99">
        <v>0.60499999999999998</v>
      </c>
      <c r="FW8" s="99">
        <v>0.60499999999999998</v>
      </c>
      <c r="FX8" s="99">
        <v>0.60499999999999998</v>
      </c>
      <c r="FY8" s="99">
        <v>0.60499999999999998</v>
      </c>
      <c r="FZ8" s="99">
        <v>0.60499999999999998</v>
      </c>
      <c r="GA8" s="99">
        <v>0.60499999999999998</v>
      </c>
      <c r="GB8" s="99">
        <v>0.60499999999999998</v>
      </c>
      <c r="GC8" s="99">
        <v>0.60499999999999998</v>
      </c>
      <c r="GD8" s="99">
        <v>0.60499999999999998</v>
      </c>
      <c r="GE8" s="99">
        <v>0.60499999999999998</v>
      </c>
      <c r="GF8" s="99">
        <v>0.51</v>
      </c>
      <c r="GG8" s="99">
        <v>0.51</v>
      </c>
      <c r="GH8" s="99">
        <v>0.51</v>
      </c>
      <c r="GI8" s="99">
        <v>0.51</v>
      </c>
      <c r="GJ8" s="99">
        <v>0.51</v>
      </c>
      <c r="GK8" s="99">
        <v>0.51</v>
      </c>
      <c r="GL8" s="99">
        <v>0.51</v>
      </c>
      <c r="GM8" s="99">
        <v>0.48799999999999999</v>
      </c>
      <c r="GN8" s="99">
        <v>0.48799999999999999</v>
      </c>
      <c r="GO8" s="99">
        <v>0.48799999999999999</v>
      </c>
      <c r="GP8" s="99">
        <v>0.48799999999999999</v>
      </c>
      <c r="GQ8" s="99">
        <v>0.48799999999999999</v>
      </c>
      <c r="GR8" s="99">
        <v>0.48799999999999999</v>
      </c>
      <c r="GS8" s="99">
        <v>0.48799999999999999</v>
      </c>
      <c r="GT8" s="99">
        <v>0.48799999999999999</v>
      </c>
      <c r="GU8" s="99">
        <v>0.437</v>
      </c>
      <c r="GV8" s="99">
        <v>0.437</v>
      </c>
      <c r="GW8" s="99">
        <v>0.437</v>
      </c>
      <c r="GX8" s="99">
        <v>0.437</v>
      </c>
      <c r="GY8" s="99">
        <v>0.437</v>
      </c>
      <c r="GZ8" s="99">
        <v>0.437</v>
      </c>
      <c r="HA8" s="99">
        <v>0.40100000000000002</v>
      </c>
      <c r="HB8" s="99">
        <v>0.40100000000000002</v>
      </c>
      <c r="HC8" s="99">
        <v>0.42199999999999999</v>
      </c>
      <c r="HD8" s="99">
        <v>0.40400000000000003</v>
      </c>
      <c r="HE8" s="99">
        <v>0.40400000000000003</v>
      </c>
      <c r="HF8" s="99">
        <v>0.40400000000000003</v>
      </c>
      <c r="HG8" s="99">
        <v>0.40300000000000002</v>
      </c>
      <c r="HH8" s="99">
        <v>0.40300000000000002</v>
      </c>
      <c r="HI8" s="99">
        <v>0.41499999999999998</v>
      </c>
      <c r="HJ8" s="99">
        <v>0.41499999999999998</v>
      </c>
      <c r="HK8" s="99">
        <v>0.41610000000000003</v>
      </c>
      <c r="HL8" s="99">
        <v>0.41610000000000003</v>
      </c>
      <c r="HM8" s="99">
        <v>0.48899999999999999</v>
      </c>
      <c r="HN8" s="99">
        <v>0.48899999999999999</v>
      </c>
      <c r="HO8" s="99">
        <v>0.48899999999999999</v>
      </c>
      <c r="HP8" s="99">
        <v>0.48899999999999999</v>
      </c>
      <c r="HQ8" s="99">
        <v>0.48899999999999999</v>
      </c>
      <c r="HR8" s="99">
        <v>0.48899999999999999</v>
      </c>
      <c r="HS8" s="99">
        <v>0.48899999999999999</v>
      </c>
      <c r="HT8" s="99">
        <v>0.48899999999999999</v>
      </c>
      <c r="HU8" s="99">
        <v>0.48899999999999999</v>
      </c>
      <c r="HV8" s="99">
        <v>0.48899999999999999</v>
      </c>
      <c r="HW8" s="99">
        <v>0.48899999999999999</v>
      </c>
      <c r="HX8" s="99">
        <v>0.55000000000000004</v>
      </c>
      <c r="HY8" s="99">
        <v>0.55000000000000004</v>
      </c>
      <c r="HZ8" s="99">
        <v>0.55000000000000004</v>
      </c>
      <c r="IA8" s="99">
        <v>0.55000000000000004</v>
      </c>
      <c r="IB8" s="99">
        <v>0.50700000000000001</v>
      </c>
      <c r="IC8" s="99">
        <v>0.50700000000000001</v>
      </c>
      <c r="ID8" s="99">
        <v>0.50700000000000001</v>
      </c>
      <c r="IE8" s="99">
        <v>0.50700000000000001</v>
      </c>
      <c r="IF8" s="99">
        <v>0.504</v>
      </c>
      <c r="IG8" s="99">
        <v>0.504</v>
      </c>
      <c r="IH8" s="99">
        <v>0.504</v>
      </c>
      <c r="II8" s="99">
        <v>0.504</v>
      </c>
      <c r="IJ8" s="99">
        <v>0.504</v>
      </c>
      <c r="IK8" s="99">
        <v>0.504</v>
      </c>
      <c r="IL8" s="99">
        <v>0.504</v>
      </c>
      <c r="IM8" s="99">
        <v>0.504</v>
      </c>
      <c r="IN8" s="99">
        <v>0.50700000000000001</v>
      </c>
      <c r="IO8" s="99">
        <v>0.50700000000000001</v>
      </c>
      <c r="IP8" s="99">
        <v>0.50700000000000001</v>
      </c>
      <c r="IQ8" s="99">
        <v>0.50700000000000001</v>
      </c>
      <c r="IR8" s="99">
        <v>0.50700000000000001</v>
      </c>
      <c r="IS8" s="99">
        <v>0.50700000000000001</v>
      </c>
      <c r="IT8" s="99">
        <v>0.42799999999999999</v>
      </c>
      <c r="IU8" s="99">
        <v>0.42799999999999999</v>
      </c>
      <c r="IV8" s="99">
        <v>0.42799999999999999</v>
      </c>
      <c r="IW8" s="99">
        <v>0.42799999999999999</v>
      </c>
      <c r="IX8" s="99">
        <v>0.42799999999999999</v>
      </c>
      <c r="IY8" s="99">
        <v>0.42799999999999999</v>
      </c>
      <c r="IZ8" s="99">
        <v>0.43099999999999999</v>
      </c>
      <c r="JA8" s="99">
        <v>0.43099999999999999</v>
      </c>
      <c r="JB8" s="99">
        <v>0.43099999999999999</v>
      </c>
      <c r="JC8" s="99">
        <v>0.43099999999999999</v>
      </c>
      <c r="JD8" s="99">
        <v>0.43099999999999999</v>
      </c>
      <c r="JE8" s="99">
        <v>0.43099999999999999</v>
      </c>
      <c r="JF8" s="99">
        <v>0.43099999999999999</v>
      </c>
      <c r="JG8" s="99">
        <v>0.43099999999999999</v>
      </c>
      <c r="JH8" s="99">
        <v>0.43099999999999999</v>
      </c>
      <c r="JI8" s="99">
        <v>0.43099999999999999</v>
      </c>
      <c r="JJ8" s="99">
        <v>0.39200000000000002</v>
      </c>
      <c r="JK8" s="99">
        <v>0.39200000000000002</v>
      </c>
      <c r="JL8" s="99">
        <v>0.39400000000000002</v>
      </c>
      <c r="JM8" s="99">
        <v>0.64700000000000002</v>
      </c>
      <c r="JN8" s="99">
        <v>0.64700000000000002</v>
      </c>
      <c r="JO8" s="99">
        <v>0.64700000000000002</v>
      </c>
      <c r="JP8" s="99">
        <v>0.64700000000000002</v>
      </c>
      <c r="JQ8" s="99">
        <v>0.64700000000000002</v>
      </c>
      <c r="JR8" s="99">
        <v>0.64700000000000002</v>
      </c>
      <c r="JS8" s="99">
        <v>0.64700000000000002</v>
      </c>
      <c r="JT8" s="99">
        <v>0.64700000000000002</v>
      </c>
      <c r="JU8" s="99">
        <v>0.64700000000000002</v>
      </c>
      <c r="JV8" s="99">
        <v>0.64700000000000002</v>
      </c>
      <c r="JW8" s="99">
        <v>0.57499999999999996</v>
      </c>
      <c r="JX8" s="99">
        <v>0.57499999999999996</v>
      </c>
      <c r="JY8" s="99">
        <v>0.46400000000000002</v>
      </c>
      <c r="JZ8" s="99">
        <v>0.46400000000000002</v>
      </c>
      <c r="KA8" s="99">
        <v>0.46400000000000002</v>
      </c>
      <c r="KB8" s="99">
        <v>0.46400000000000002</v>
      </c>
      <c r="KC8" s="99">
        <v>0.46400000000000002</v>
      </c>
      <c r="KD8" s="99">
        <v>0.44700000000000001</v>
      </c>
      <c r="KE8" s="99">
        <v>0.44700000000000001</v>
      </c>
      <c r="KF8" s="99">
        <v>0.44700000000000001</v>
      </c>
      <c r="KG8" s="99">
        <v>0.44700000000000001</v>
      </c>
      <c r="KH8" s="99">
        <v>0.44700000000000001</v>
      </c>
      <c r="KI8" s="99">
        <v>0.44290000000000002</v>
      </c>
      <c r="KJ8" s="99">
        <v>0.44290000000000002</v>
      </c>
      <c r="KK8" s="99">
        <v>0.44290000000000002</v>
      </c>
      <c r="KL8" s="99">
        <v>0.44290000000000002</v>
      </c>
      <c r="KM8" s="99">
        <v>0.40100000000000002</v>
      </c>
      <c r="KN8" s="99">
        <v>0.4</v>
      </c>
      <c r="KO8" s="99">
        <v>0.38900000000000001</v>
      </c>
      <c r="KP8" s="99">
        <v>0.38500000000000001</v>
      </c>
      <c r="KQ8" s="99">
        <v>0.40500000000000003</v>
      </c>
      <c r="KR8" s="99">
        <v>0.40500000000000003</v>
      </c>
      <c r="KS8" s="99">
        <v>0.40500000000000003</v>
      </c>
      <c r="KT8" s="99">
        <v>0.41099999999999998</v>
      </c>
      <c r="KU8" s="99">
        <v>0.41099999999999998</v>
      </c>
      <c r="KV8" s="99">
        <v>0.41099999999999998</v>
      </c>
      <c r="KW8" s="99">
        <v>0.437</v>
      </c>
      <c r="KX8" s="99">
        <v>0.437</v>
      </c>
      <c r="KY8" s="99">
        <v>0.437</v>
      </c>
      <c r="KZ8" s="99">
        <v>0.437</v>
      </c>
      <c r="LA8" s="99">
        <v>0.437</v>
      </c>
      <c r="LB8" s="99">
        <v>0.4</v>
      </c>
      <c r="LC8" s="99">
        <v>0.4</v>
      </c>
      <c r="LD8" s="99">
        <v>0.4</v>
      </c>
      <c r="LE8" s="99">
        <v>0.433</v>
      </c>
      <c r="LF8" s="99">
        <v>0.433</v>
      </c>
      <c r="LG8" s="99">
        <v>0.433</v>
      </c>
      <c r="LH8" s="99">
        <v>0.47199999999999998</v>
      </c>
      <c r="LI8" s="99">
        <v>0.47199999999999998</v>
      </c>
      <c r="LJ8" s="99">
        <v>0.47199999999999998</v>
      </c>
      <c r="LK8" s="99">
        <v>0.47199999999999998</v>
      </c>
      <c r="LL8" s="99">
        <v>0.54400000000000004</v>
      </c>
      <c r="LM8" s="99">
        <v>0.54400000000000004</v>
      </c>
      <c r="LN8" s="99">
        <v>0.54400000000000004</v>
      </c>
      <c r="LO8" s="99">
        <v>0.54400000000000004</v>
      </c>
      <c r="LP8" s="99">
        <v>0.54400000000000004</v>
      </c>
      <c r="LQ8" s="99">
        <v>0.54400000000000004</v>
      </c>
      <c r="LR8" s="99">
        <v>0.54400000000000004</v>
      </c>
      <c r="LS8" s="99">
        <v>0.54400000000000004</v>
      </c>
      <c r="LT8" s="99">
        <v>0.54400000000000004</v>
      </c>
      <c r="LU8" s="99">
        <v>0.54400000000000004</v>
      </c>
      <c r="LV8" s="99">
        <v>0.54400000000000004</v>
      </c>
      <c r="LW8" s="99">
        <v>0.54400000000000004</v>
      </c>
      <c r="LX8" s="99">
        <v>0.49299999999999999</v>
      </c>
      <c r="LY8" s="99">
        <v>0.49299999999999999</v>
      </c>
      <c r="LZ8" s="99">
        <v>0.49299999999999999</v>
      </c>
      <c r="MA8" s="99">
        <v>0.49299999999999999</v>
      </c>
      <c r="MB8" s="99">
        <v>0.49299999999999999</v>
      </c>
      <c r="MC8" s="99">
        <v>0.49299999999999999</v>
      </c>
      <c r="MD8" s="99">
        <v>0.49299999999999999</v>
      </c>
      <c r="ME8" s="99">
        <v>0.49299999999999999</v>
      </c>
      <c r="MF8" s="99">
        <v>0.46</v>
      </c>
      <c r="MG8" s="99">
        <v>0.46</v>
      </c>
      <c r="MH8" s="99">
        <v>0.46</v>
      </c>
      <c r="MI8" s="99">
        <v>0.43790000000000001</v>
      </c>
      <c r="MJ8" s="99">
        <v>0.43790000000000001</v>
      </c>
      <c r="MK8" s="99">
        <v>0.51500000000000001</v>
      </c>
      <c r="ML8" s="99">
        <v>0.51500000000000001</v>
      </c>
      <c r="MM8" s="99">
        <v>0.51500000000000001</v>
      </c>
      <c r="MN8" s="99">
        <v>0.51500000000000001</v>
      </c>
      <c r="MO8" s="99">
        <v>0.51500000000000001</v>
      </c>
      <c r="MP8" s="99">
        <v>0.51500000000000001</v>
      </c>
      <c r="MQ8" s="99">
        <v>0.51500000000000001</v>
      </c>
      <c r="MR8" s="99">
        <v>0.51500000000000001</v>
      </c>
      <c r="MS8" s="99">
        <v>0.442</v>
      </c>
      <c r="MT8" s="99">
        <v>0.51800000000000002</v>
      </c>
      <c r="MU8" s="99">
        <v>0.48399999999999999</v>
      </c>
      <c r="MV8" s="99">
        <v>0.48399999999999999</v>
      </c>
      <c r="MW8" s="99">
        <v>0.442</v>
      </c>
      <c r="MX8" s="99">
        <v>0.442</v>
      </c>
      <c r="MY8" s="99">
        <v>0.42899999999999999</v>
      </c>
      <c r="MZ8" s="99">
        <v>0.435</v>
      </c>
      <c r="NA8" s="99">
        <v>0.42899999999999999</v>
      </c>
      <c r="NB8" s="99">
        <v>0.42899999999999999</v>
      </c>
      <c r="NC8" s="99">
        <v>0.41099999999999998</v>
      </c>
      <c r="ND8" s="99">
        <v>0.41099999999999998</v>
      </c>
      <c r="NE8" s="99">
        <v>0.41</v>
      </c>
      <c r="NF8" s="99">
        <v>0.41299999999999998</v>
      </c>
      <c r="NG8" s="99">
        <v>0.41299999999999998</v>
      </c>
      <c r="NH8" s="99">
        <v>0.77</v>
      </c>
      <c r="NI8" s="99">
        <v>0.77</v>
      </c>
      <c r="NJ8" s="99">
        <v>0.77</v>
      </c>
      <c r="NK8" s="99">
        <v>0.77</v>
      </c>
      <c r="NL8" s="99">
        <v>0.77</v>
      </c>
      <c r="NM8" s="99">
        <v>0.77</v>
      </c>
      <c r="NN8" s="99">
        <v>0.77</v>
      </c>
      <c r="NO8" s="99">
        <v>0.77</v>
      </c>
      <c r="NP8" s="99">
        <v>0.71799999999999997</v>
      </c>
      <c r="NQ8" s="99">
        <v>0.71799999999999997</v>
      </c>
      <c r="NR8" s="99">
        <v>0.71799999999999997</v>
      </c>
      <c r="NS8" s="99">
        <v>0.63100000000000001</v>
      </c>
      <c r="NT8" s="99">
        <v>0.63100000000000001</v>
      </c>
      <c r="NU8" s="99">
        <v>0.63100000000000001</v>
      </c>
      <c r="NV8" s="99">
        <v>0.63100000000000001</v>
      </c>
      <c r="NW8" s="99">
        <v>0.63100000000000001</v>
      </c>
      <c r="NX8" s="99">
        <v>0.66800000000000004</v>
      </c>
      <c r="NY8" s="99">
        <v>0.66800000000000004</v>
      </c>
      <c r="NZ8" s="99">
        <v>0.66800000000000004</v>
      </c>
      <c r="OA8" s="99">
        <v>0.67100000000000004</v>
      </c>
      <c r="OB8" s="99">
        <v>0.67100000000000004</v>
      </c>
      <c r="OC8" s="99">
        <v>0.67100000000000004</v>
      </c>
      <c r="OD8" s="99">
        <v>0.67100000000000004</v>
      </c>
      <c r="OE8" s="99">
        <v>0.67100000000000004</v>
      </c>
      <c r="OF8" s="99">
        <v>0.67100000000000004</v>
      </c>
      <c r="OG8" s="99">
        <v>0.67100000000000004</v>
      </c>
      <c r="OH8" s="99">
        <v>0.7</v>
      </c>
      <c r="OI8" s="99">
        <v>0.7</v>
      </c>
      <c r="OJ8" s="99">
        <v>0.7</v>
      </c>
      <c r="OK8" s="99">
        <v>0.7</v>
      </c>
      <c r="OL8" s="99">
        <v>0.7</v>
      </c>
      <c r="OM8" s="99">
        <v>0.7</v>
      </c>
      <c r="ON8" s="99">
        <v>0.7</v>
      </c>
      <c r="OO8" s="99">
        <v>0.7</v>
      </c>
      <c r="OP8" s="99">
        <v>0.7</v>
      </c>
      <c r="OQ8" s="99">
        <v>0.7</v>
      </c>
      <c r="OR8" s="99">
        <v>0.7</v>
      </c>
      <c r="OS8" s="99">
        <v>0.69299999999999995</v>
      </c>
      <c r="OT8" s="99">
        <v>0.69299999999999995</v>
      </c>
      <c r="OU8" s="99">
        <v>0.69299999999999995</v>
      </c>
      <c r="OV8" s="99">
        <v>0.69299999999999995</v>
      </c>
      <c r="OW8" s="99">
        <v>0.69299999999999995</v>
      </c>
      <c r="OX8" s="99">
        <v>0.69299999999999995</v>
      </c>
      <c r="OY8" s="99">
        <v>0.69299999999999995</v>
      </c>
      <c r="OZ8" s="99">
        <v>0.69299999999999995</v>
      </c>
      <c r="PA8" s="99">
        <v>0.69299999999999995</v>
      </c>
      <c r="PB8" s="99">
        <v>0.69299999999999995</v>
      </c>
      <c r="PC8" s="99">
        <v>0.69299999999999995</v>
      </c>
      <c r="PD8" s="99">
        <v>0.69299999999999995</v>
      </c>
      <c r="PE8" s="99">
        <v>0.69299999999999995</v>
      </c>
      <c r="PF8" s="99">
        <v>0.65900000000000003</v>
      </c>
      <c r="PG8" s="99">
        <v>0.65900000000000003</v>
      </c>
      <c r="PH8" s="99">
        <v>0.59699999999999998</v>
      </c>
      <c r="PI8" s="99">
        <v>0.59699999999999998</v>
      </c>
      <c r="PJ8" s="99">
        <v>0.59699999999999998</v>
      </c>
      <c r="PK8" s="99">
        <v>0.59699999999999998</v>
      </c>
      <c r="PL8" s="99">
        <v>0.59699999999999998</v>
      </c>
      <c r="PM8" s="99">
        <v>0.59699999999999998</v>
      </c>
      <c r="PN8" s="99">
        <v>0.69299999999999995</v>
      </c>
      <c r="PO8" s="99">
        <v>0.67900000000000005</v>
      </c>
      <c r="PP8" s="99">
        <v>0.67900000000000005</v>
      </c>
      <c r="PQ8" s="99">
        <v>0.67900000000000005</v>
      </c>
      <c r="PR8" s="99">
        <v>0.67900000000000005</v>
      </c>
      <c r="PS8" s="99">
        <v>0.71799999999999997</v>
      </c>
      <c r="PT8" s="99">
        <v>0.71799999999999997</v>
      </c>
      <c r="PU8" s="99">
        <v>0.71799999999999997</v>
      </c>
      <c r="PV8" s="99">
        <v>0.61399999999999999</v>
      </c>
      <c r="PW8" s="99">
        <v>0.61399999999999999</v>
      </c>
      <c r="PX8" s="99">
        <v>0.58399999999999996</v>
      </c>
      <c r="PY8" s="99">
        <v>0.67900000000000005</v>
      </c>
      <c r="PZ8" s="99">
        <v>0.58399999999999996</v>
      </c>
      <c r="QA8" s="99">
        <v>0.67900000000000005</v>
      </c>
      <c r="QB8" s="99">
        <v>0.67900000000000005</v>
      </c>
      <c r="QC8" s="99">
        <v>0.67900000000000005</v>
      </c>
      <c r="QD8" s="99">
        <v>0.58399999999999996</v>
      </c>
      <c r="QE8" s="99">
        <v>0.58399999999999996</v>
      </c>
      <c r="QF8" s="99">
        <v>0.58399999999999996</v>
      </c>
      <c r="QG8" s="99">
        <v>0.71299999999999997</v>
      </c>
      <c r="QH8" s="99">
        <v>0.71299999999999997</v>
      </c>
      <c r="QI8" s="99">
        <v>0.74</v>
      </c>
      <c r="QJ8" s="99">
        <v>0.74</v>
      </c>
      <c r="QK8" s="99">
        <v>0.74</v>
      </c>
      <c r="QL8" s="99">
        <v>0.74</v>
      </c>
      <c r="QM8" s="99">
        <v>0.74</v>
      </c>
      <c r="QN8" s="99">
        <v>0.74</v>
      </c>
      <c r="QO8" s="99">
        <v>0.74</v>
      </c>
      <c r="QP8" s="99">
        <v>0.74</v>
      </c>
      <c r="QQ8" s="99">
        <v>0.74</v>
      </c>
      <c r="QR8" s="99">
        <v>0.74</v>
      </c>
      <c r="QS8" s="99">
        <v>0.74</v>
      </c>
      <c r="QT8" s="99">
        <v>0.74</v>
      </c>
      <c r="QU8" s="99">
        <v>0.74</v>
      </c>
      <c r="QV8" s="99">
        <v>0.71299999999999997</v>
      </c>
      <c r="QW8" s="99">
        <v>0.71299999999999997</v>
      </c>
      <c r="QX8" s="99">
        <v>0.71299999999999997</v>
      </c>
      <c r="QY8" s="99">
        <v>0.71299999999999997</v>
      </c>
      <c r="QZ8" s="99">
        <v>0.71299999999999997</v>
      </c>
      <c r="RA8" s="99">
        <v>0.71299999999999997</v>
      </c>
      <c r="RB8" s="99">
        <v>0.71299999999999997</v>
      </c>
      <c r="RC8" s="99">
        <v>0.71299999999999997</v>
      </c>
      <c r="RD8" s="99">
        <v>0.71299999999999997</v>
      </c>
      <c r="RE8" s="99">
        <v>0.71299999999999997</v>
      </c>
      <c r="RF8" s="99">
        <v>0.71299999999999997</v>
      </c>
      <c r="RG8" s="99">
        <v>0.71299999999999997</v>
      </c>
      <c r="RH8" s="99">
        <v>0.71299999999999997</v>
      </c>
      <c r="RI8" s="99">
        <v>0.71299999999999997</v>
      </c>
      <c r="RJ8" s="99">
        <v>0.71299999999999997</v>
      </c>
      <c r="RK8" s="99">
        <v>0.71299999999999997</v>
      </c>
      <c r="RL8" s="99">
        <v>0.65500000000000003</v>
      </c>
      <c r="RM8" s="99">
        <v>0.65500000000000003</v>
      </c>
      <c r="RN8" s="99">
        <v>0.65500000000000003</v>
      </c>
      <c r="RO8" s="99">
        <v>0.58399999999999996</v>
      </c>
      <c r="RP8" s="99">
        <v>0.57999999999999996</v>
      </c>
      <c r="RQ8" s="99">
        <v>0.57999999999999996</v>
      </c>
      <c r="RR8" s="99">
        <v>0.57999999999999996</v>
      </c>
      <c r="RS8" s="99">
        <v>0.53200000000000003</v>
      </c>
      <c r="RT8" s="99">
        <v>0.57999999999999996</v>
      </c>
      <c r="RU8" s="99">
        <v>0.61399999999999999</v>
      </c>
      <c r="RV8" s="99">
        <v>0.58399999999999996</v>
      </c>
      <c r="RW8" s="99">
        <v>0.58399999999999996</v>
      </c>
      <c r="RX8" s="99">
        <v>0.61399999999999999</v>
      </c>
      <c r="RY8" s="99">
        <v>0.61399999999999999</v>
      </c>
      <c r="RZ8" s="99">
        <v>0.61399999999999999</v>
      </c>
      <c r="SA8" s="99">
        <v>0.61399999999999999</v>
      </c>
      <c r="SB8" s="99">
        <v>0.53200000000000003</v>
      </c>
      <c r="SC8" s="99">
        <v>0.53200000000000003</v>
      </c>
      <c r="SD8" s="99">
        <v>0.53200000000000003</v>
      </c>
      <c r="SE8" s="99">
        <v>0.53200000000000003</v>
      </c>
      <c r="SF8" s="99">
        <v>0.58299999999999996</v>
      </c>
      <c r="SG8" s="99">
        <v>0.58299999999999996</v>
      </c>
      <c r="SH8" s="99">
        <v>0.58299999999999996</v>
      </c>
      <c r="SI8" s="99">
        <v>0.58299999999999996</v>
      </c>
      <c r="SJ8" s="99">
        <v>0.60899999999999999</v>
      </c>
      <c r="SK8" s="99">
        <v>0.60899999999999999</v>
      </c>
      <c r="SL8" s="99">
        <v>0.60899999999999999</v>
      </c>
      <c r="SM8" s="99">
        <v>0.60899999999999999</v>
      </c>
      <c r="SN8" s="99">
        <v>0.60899999999999999</v>
      </c>
      <c r="SO8" s="99">
        <v>0.58499999999999996</v>
      </c>
      <c r="SP8" s="99">
        <v>0.58499999999999996</v>
      </c>
      <c r="SQ8" s="99">
        <v>0.58499999999999996</v>
      </c>
      <c r="SR8" s="99">
        <v>0.58499999999999996</v>
      </c>
      <c r="SS8" s="99">
        <v>0.58499999999999996</v>
      </c>
      <c r="ST8" s="99">
        <v>0.58499999999999996</v>
      </c>
      <c r="SU8" s="99">
        <v>0.58499999999999996</v>
      </c>
      <c r="SV8" s="99">
        <v>0.58499999999999996</v>
      </c>
      <c r="SW8" s="99">
        <v>0.57299999999999995</v>
      </c>
      <c r="SX8" s="99">
        <v>0.57299999999999995</v>
      </c>
      <c r="SY8" s="99">
        <v>0.57299999999999995</v>
      </c>
      <c r="SZ8" s="99">
        <v>0.57299999999999995</v>
      </c>
      <c r="TA8" s="99">
        <v>0.57299999999999995</v>
      </c>
    </row>
    <row r="9" spans="1:521">
      <c r="A9">
        <v>1</v>
      </c>
      <c r="B9">
        <v>6.905E-2</v>
      </c>
      <c r="C9">
        <v>2.1800000000000002</v>
      </c>
      <c r="D9">
        <v>0.45800000000000002</v>
      </c>
      <c r="E9">
        <v>7.1470000000000002</v>
      </c>
      <c r="F9">
        <v>54.2</v>
      </c>
      <c r="G9">
        <v>6.0621999999999998</v>
      </c>
      <c r="H9">
        <v>3</v>
      </c>
      <c r="I9">
        <v>222</v>
      </c>
      <c r="J9">
        <v>18.7</v>
      </c>
      <c r="K9">
        <v>396.9</v>
      </c>
      <c r="L9">
        <v>5.33</v>
      </c>
      <c r="M9">
        <v>36.200000000000003</v>
      </c>
      <c r="N9" s="107">
        <f t="shared" si="0"/>
        <v>29.268402501809366</v>
      </c>
      <c r="O9"/>
      <c r="P9" s="99">
        <v>6.5750000000000002</v>
      </c>
      <c r="Q9" s="99">
        <v>6.4210000000000003</v>
      </c>
      <c r="R9" s="99">
        <v>7.1849999999999996</v>
      </c>
      <c r="S9" s="99">
        <v>6.9980000000000002</v>
      </c>
      <c r="T9" s="99">
        <v>7.1470000000000002</v>
      </c>
      <c r="U9" s="99">
        <v>6.43</v>
      </c>
      <c r="V9" s="99">
        <v>6.0119999999999996</v>
      </c>
      <c r="W9" s="99">
        <v>6.1719999999999997</v>
      </c>
      <c r="X9" s="99">
        <v>5.6310000000000002</v>
      </c>
      <c r="Y9" s="99">
        <v>6.0039999999999996</v>
      </c>
      <c r="Z9" s="99">
        <v>6.3769999999999998</v>
      </c>
      <c r="AA9" s="99">
        <v>6.0090000000000003</v>
      </c>
      <c r="AB9" s="99">
        <v>5.8890000000000002</v>
      </c>
      <c r="AC9" s="99">
        <v>5.9489999999999998</v>
      </c>
      <c r="AD9" s="99">
        <v>6.0960000000000001</v>
      </c>
      <c r="AE9" s="99">
        <v>5.8339999999999996</v>
      </c>
      <c r="AF9" s="99">
        <v>5.9349999999999996</v>
      </c>
      <c r="AG9" s="99">
        <v>5.99</v>
      </c>
      <c r="AH9" s="99">
        <v>5.4560000000000004</v>
      </c>
      <c r="AI9" s="99">
        <v>5.7270000000000003</v>
      </c>
      <c r="AJ9" s="99">
        <v>5.57</v>
      </c>
      <c r="AK9" s="99">
        <v>5.9649999999999999</v>
      </c>
      <c r="AL9" s="99">
        <v>6.1420000000000003</v>
      </c>
      <c r="AM9" s="99">
        <v>5.8129999999999997</v>
      </c>
      <c r="AN9" s="99">
        <v>5.9240000000000004</v>
      </c>
      <c r="AO9" s="99">
        <v>5.5990000000000002</v>
      </c>
      <c r="AP9" s="99">
        <v>5.8129999999999997</v>
      </c>
      <c r="AQ9" s="99">
        <v>6.0469999999999997</v>
      </c>
      <c r="AR9" s="99">
        <v>6.4950000000000001</v>
      </c>
      <c r="AS9" s="99">
        <v>6.6740000000000004</v>
      </c>
      <c r="AT9" s="99">
        <v>5.7130000000000001</v>
      </c>
      <c r="AU9" s="99">
        <v>6.0720000000000001</v>
      </c>
      <c r="AV9" s="99">
        <v>5.95</v>
      </c>
      <c r="AW9" s="99">
        <v>5.7009999999999996</v>
      </c>
      <c r="AX9" s="99">
        <v>6.0960000000000001</v>
      </c>
      <c r="AY9" s="99">
        <v>5.9329999999999998</v>
      </c>
      <c r="AZ9" s="99">
        <v>5.8410000000000002</v>
      </c>
      <c r="BA9" s="99">
        <v>5.85</v>
      </c>
      <c r="BB9" s="99">
        <v>5.9660000000000002</v>
      </c>
      <c r="BC9" s="99">
        <v>6.5949999999999998</v>
      </c>
      <c r="BD9" s="99">
        <v>7.024</v>
      </c>
      <c r="BE9" s="99">
        <v>6.77</v>
      </c>
      <c r="BF9" s="99">
        <v>6.1689999999999996</v>
      </c>
      <c r="BG9" s="99">
        <v>6.2110000000000003</v>
      </c>
      <c r="BH9" s="99">
        <v>6.069</v>
      </c>
      <c r="BI9" s="99">
        <v>5.6820000000000004</v>
      </c>
      <c r="BJ9" s="99">
        <v>5.7859999999999996</v>
      </c>
      <c r="BK9" s="99">
        <v>6.03</v>
      </c>
      <c r="BL9" s="99">
        <v>5.399</v>
      </c>
      <c r="BM9" s="99">
        <v>5.6020000000000003</v>
      </c>
      <c r="BN9" s="99">
        <v>5.9630000000000001</v>
      </c>
      <c r="BO9" s="99">
        <v>6.1150000000000002</v>
      </c>
      <c r="BP9" s="99">
        <v>6.5110000000000001</v>
      </c>
      <c r="BQ9" s="99">
        <v>5.9980000000000002</v>
      </c>
      <c r="BR9" s="99">
        <v>5.8879999999999999</v>
      </c>
      <c r="BS9" s="99">
        <v>7.2489999999999997</v>
      </c>
      <c r="BT9" s="99">
        <v>6.383</v>
      </c>
      <c r="BU9" s="99">
        <v>6.8159999999999998</v>
      </c>
      <c r="BV9" s="99">
        <v>6.1449999999999996</v>
      </c>
      <c r="BW9" s="99">
        <v>5.9269999999999996</v>
      </c>
      <c r="BX9" s="99">
        <v>5.7409999999999997</v>
      </c>
      <c r="BY9" s="99">
        <v>5.9660000000000002</v>
      </c>
      <c r="BZ9" s="99">
        <v>6.4560000000000004</v>
      </c>
      <c r="CA9" s="99">
        <v>6.7619999999999996</v>
      </c>
      <c r="CB9" s="99">
        <v>7.1040000000000001</v>
      </c>
      <c r="CC9" s="99">
        <v>6.29</v>
      </c>
      <c r="CD9" s="99">
        <v>5.7869999999999999</v>
      </c>
      <c r="CE9" s="99">
        <v>5.8780000000000001</v>
      </c>
      <c r="CF9" s="99">
        <v>5.5940000000000003</v>
      </c>
      <c r="CG9" s="99">
        <v>5.8849999999999998</v>
      </c>
      <c r="CH9" s="99">
        <v>6.4169999999999998</v>
      </c>
      <c r="CI9" s="99">
        <v>5.9610000000000003</v>
      </c>
      <c r="CJ9" s="99">
        <v>6.0650000000000004</v>
      </c>
      <c r="CK9" s="99">
        <v>6.2450000000000001</v>
      </c>
      <c r="CL9" s="99">
        <v>6.2729999999999997</v>
      </c>
      <c r="CM9" s="99">
        <v>6.2859999999999996</v>
      </c>
      <c r="CN9" s="99">
        <v>6.2789999999999999</v>
      </c>
      <c r="CO9" s="99">
        <v>6.14</v>
      </c>
      <c r="CP9" s="99">
        <v>6.2320000000000002</v>
      </c>
      <c r="CQ9" s="99">
        <v>5.8739999999999997</v>
      </c>
      <c r="CR9" s="99">
        <v>6.7270000000000003</v>
      </c>
      <c r="CS9" s="99">
        <v>6.6189999999999998</v>
      </c>
      <c r="CT9" s="99">
        <v>6.3019999999999996</v>
      </c>
      <c r="CU9" s="99">
        <v>6.1669999999999998</v>
      </c>
      <c r="CV9" s="99">
        <v>6.3890000000000002</v>
      </c>
      <c r="CW9" s="99">
        <v>6.63</v>
      </c>
      <c r="CX9" s="99">
        <v>6.0149999999999997</v>
      </c>
      <c r="CY9" s="99">
        <v>6.1210000000000004</v>
      </c>
      <c r="CZ9" s="99">
        <v>7.0069999999999997</v>
      </c>
      <c r="DA9" s="99">
        <v>7.0789999999999997</v>
      </c>
      <c r="DB9" s="99">
        <v>6.4169999999999998</v>
      </c>
      <c r="DC9" s="99">
        <v>6.4050000000000002</v>
      </c>
      <c r="DD9" s="99">
        <v>6.4420000000000002</v>
      </c>
      <c r="DE9" s="99">
        <v>6.2110000000000003</v>
      </c>
      <c r="DF9" s="99">
        <v>6.2489999999999997</v>
      </c>
      <c r="DG9" s="99">
        <v>6.625</v>
      </c>
      <c r="DH9" s="99">
        <v>6.1630000000000003</v>
      </c>
      <c r="DI9" s="99">
        <v>8.0690000000000008</v>
      </c>
      <c r="DJ9" s="99">
        <v>7.82</v>
      </c>
      <c r="DK9" s="99">
        <v>7.4160000000000004</v>
      </c>
      <c r="DL9" s="99">
        <v>6.7270000000000003</v>
      </c>
      <c r="DM9" s="99">
        <v>6.7809999999999997</v>
      </c>
      <c r="DN9" s="99">
        <v>6.4050000000000002</v>
      </c>
      <c r="DO9" s="99">
        <v>6.1369999999999996</v>
      </c>
      <c r="DP9" s="99">
        <v>6.1669999999999998</v>
      </c>
      <c r="DQ9" s="99">
        <v>5.851</v>
      </c>
      <c r="DR9" s="99">
        <v>5.8360000000000003</v>
      </c>
      <c r="DS9" s="99">
        <v>6.1269999999999998</v>
      </c>
      <c r="DT9" s="99">
        <v>6.4740000000000002</v>
      </c>
      <c r="DU9" s="99">
        <v>6.2290000000000001</v>
      </c>
      <c r="DV9" s="99">
        <v>6.1950000000000003</v>
      </c>
      <c r="DW9" s="99">
        <v>6.7149999999999999</v>
      </c>
      <c r="DX9" s="99">
        <v>5.9130000000000003</v>
      </c>
      <c r="DY9" s="99">
        <v>6.0919999999999996</v>
      </c>
      <c r="DZ9" s="99">
        <v>6.2539999999999996</v>
      </c>
      <c r="EA9" s="99">
        <v>5.9279999999999999</v>
      </c>
      <c r="EB9" s="99">
        <v>6.1760000000000002</v>
      </c>
      <c r="EC9" s="99">
        <v>6.0209999999999999</v>
      </c>
      <c r="ED9" s="99">
        <v>5.8719999999999999</v>
      </c>
      <c r="EE9" s="99">
        <v>5.7309999999999999</v>
      </c>
      <c r="EF9" s="99">
        <v>5.87</v>
      </c>
      <c r="EG9" s="99">
        <v>6.0039999999999996</v>
      </c>
      <c r="EH9" s="99">
        <v>5.9610000000000003</v>
      </c>
      <c r="EI9" s="99">
        <v>5.8559999999999999</v>
      </c>
      <c r="EJ9" s="99">
        <v>5.8789999999999996</v>
      </c>
      <c r="EK9" s="99">
        <v>5.9859999999999998</v>
      </c>
      <c r="EL9" s="99">
        <v>5.6130000000000004</v>
      </c>
      <c r="EM9" s="99">
        <v>5.6929999999999996</v>
      </c>
      <c r="EN9" s="99">
        <v>6.431</v>
      </c>
      <c r="EO9" s="99">
        <v>5.6369999999999996</v>
      </c>
      <c r="EP9" s="99">
        <v>6.4580000000000002</v>
      </c>
      <c r="EQ9" s="99">
        <v>6.3259999999999996</v>
      </c>
      <c r="ER9" s="99">
        <v>6.3719999999999999</v>
      </c>
      <c r="ES9" s="99">
        <v>5.8220000000000001</v>
      </c>
      <c r="ET9" s="99">
        <v>5.7569999999999997</v>
      </c>
      <c r="EU9" s="99">
        <v>6.335</v>
      </c>
      <c r="EV9" s="99">
        <v>5.9420000000000002</v>
      </c>
      <c r="EW9" s="99">
        <v>6.4539999999999997</v>
      </c>
      <c r="EX9" s="99">
        <v>5.8570000000000002</v>
      </c>
      <c r="EY9" s="99">
        <v>6.1509999999999998</v>
      </c>
      <c r="EZ9" s="99">
        <v>6.1740000000000004</v>
      </c>
      <c r="FA9" s="99">
        <v>5.0190000000000001</v>
      </c>
      <c r="FB9" s="99">
        <v>5.4029999999999996</v>
      </c>
      <c r="FC9" s="99">
        <v>5.468</v>
      </c>
      <c r="FD9" s="99">
        <v>4.9029999999999996</v>
      </c>
      <c r="FE9" s="99">
        <v>6.13</v>
      </c>
      <c r="FF9" s="99">
        <v>5.6280000000000001</v>
      </c>
      <c r="FG9" s="99">
        <v>4.9260000000000002</v>
      </c>
      <c r="FH9" s="99">
        <v>5.1859999999999999</v>
      </c>
      <c r="FI9" s="99">
        <v>5.5970000000000004</v>
      </c>
      <c r="FJ9" s="99">
        <v>6.1219999999999999</v>
      </c>
      <c r="FK9" s="99">
        <v>5.4039999999999999</v>
      </c>
      <c r="FL9" s="99">
        <v>5.0119999999999996</v>
      </c>
      <c r="FM9" s="99">
        <v>5.7089999999999996</v>
      </c>
      <c r="FN9" s="99">
        <v>6.1289999999999996</v>
      </c>
      <c r="FO9" s="99">
        <v>6.1520000000000001</v>
      </c>
      <c r="FP9" s="99">
        <v>5.2720000000000002</v>
      </c>
      <c r="FQ9" s="99">
        <v>6.9429999999999996</v>
      </c>
      <c r="FR9" s="99">
        <v>6.0659999999999998</v>
      </c>
      <c r="FS9" s="99">
        <v>6.51</v>
      </c>
      <c r="FT9" s="99">
        <v>6.25</v>
      </c>
      <c r="FU9" s="99">
        <v>7.4889999999999999</v>
      </c>
      <c r="FV9" s="99">
        <v>7.8019999999999996</v>
      </c>
      <c r="FW9" s="99">
        <v>8.375</v>
      </c>
      <c r="FX9" s="99">
        <v>5.8540000000000001</v>
      </c>
      <c r="FY9" s="99">
        <v>6.101</v>
      </c>
      <c r="FZ9" s="99">
        <v>7.9290000000000003</v>
      </c>
      <c r="GA9" s="99">
        <v>5.8769999999999998</v>
      </c>
      <c r="GB9" s="99">
        <v>6.319</v>
      </c>
      <c r="GC9" s="99">
        <v>6.4020000000000001</v>
      </c>
      <c r="GD9" s="99">
        <v>5.875</v>
      </c>
      <c r="GE9" s="99">
        <v>5.88</v>
      </c>
      <c r="GF9" s="99">
        <v>5.5720000000000001</v>
      </c>
      <c r="GG9" s="99">
        <v>6.4160000000000004</v>
      </c>
      <c r="GH9" s="99">
        <v>5.859</v>
      </c>
      <c r="GI9" s="99">
        <v>6.5460000000000003</v>
      </c>
      <c r="GJ9" s="99">
        <v>6.02</v>
      </c>
      <c r="GK9" s="99">
        <v>6.3150000000000004</v>
      </c>
      <c r="GL9" s="99">
        <v>6.86</v>
      </c>
      <c r="GM9" s="99">
        <v>6.98</v>
      </c>
      <c r="GN9" s="99">
        <v>7.7649999999999997</v>
      </c>
      <c r="GO9" s="99">
        <v>6.1440000000000001</v>
      </c>
      <c r="GP9" s="99">
        <v>7.1550000000000002</v>
      </c>
      <c r="GQ9" s="99">
        <v>6.5629999999999997</v>
      </c>
      <c r="GR9" s="99">
        <v>5.6040000000000001</v>
      </c>
      <c r="GS9" s="99">
        <v>6.1529999999999996</v>
      </c>
      <c r="GT9" s="99">
        <v>7.8310000000000004</v>
      </c>
      <c r="GU9" s="99">
        <v>6.782</v>
      </c>
      <c r="GV9" s="99">
        <v>6.556</v>
      </c>
      <c r="GW9" s="99">
        <v>7.1849999999999996</v>
      </c>
      <c r="GX9" s="99">
        <v>6.9509999999999996</v>
      </c>
      <c r="GY9" s="99">
        <v>6.7389999999999999</v>
      </c>
      <c r="GZ9" s="99">
        <v>7.1779999999999999</v>
      </c>
      <c r="HA9" s="99">
        <v>6.8</v>
      </c>
      <c r="HB9" s="99">
        <v>6.6040000000000001</v>
      </c>
      <c r="HC9" s="99">
        <v>7.875</v>
      </c>
      <c r="HD9" s="99">
        <v>7.2869999999999999</v>
      </c>
      <c r="HE9" s="99">
        <v>7.1070000000000002</v>
      </c>
      <c r="HF9" s="99">
        <v>7.274</v>
      </c>
      <c r="HG9" s="99">
        <v>6.9749999999999996</v>
      </c>
      <c r="HH9" s="99">
        <v>7.1349999999999998</v>
      </c>
      <c r="HI9" s="99">
        <v>6.1619999999999999</v>
      </c>
      <c r="HJ9" s="99">
        <v>7.61</v>
      </c>
      <c r="HK9" s="99">
        <v>7.8529999999999998</v>
      </c>
      <c r="HL9" s="99">
        <v>8.0340000000000007</v>
      </c>
      <c r="HM9" s="99">
        <v>5.891</v>
      </c>
      <c r="HN9" s="99">
        <v>6.3259999999999996</v>
      </c>
      <c r="HO9" s="99">
        <v>5.7830000000000004</v>
      </c>
      <c r="HP9" s="99">
        <v>6.0640000000000001</v>
      </c>
      <c r="HQ9" s="99">
        <v>5.3440000000000003</v>
      </c>
      <c r="HR9" s="99">
        <v>5.96</v>
      </c>
      <c r="HS9" s="99">
        <v>5.4039999999999999</v>
      </c>
      <c r="HT9" s="99">
        <v>5.8070000000000004</v>
      </c>
      <c r="HU9" s="99">
        <v>6.375</v>
      </c>
      <c r="HV9" s="99">
        <v>5.4119999999999999</v>
      </c>
      <c r="HW9" s="99">
        <v>6.1820000000000004</v>
      </c>
      <c r="HX9" s="99">
        <v>5.8879999999999999</v>
      </c>
      <c r="HY9" s="99">
        <v>6.6420000000000003</v>
      </c>
      <c r="HZ9" s="99">
        <v>5.9509999999999996</v>
      </c>
      <c r="IA9" s="99">
        <v>6.3730000000000002</v>
      </c>
      <c r="IB9" s="99">
        <v>6.9509999999999996</v>
      </c>
      <c r="IC9" s="99">
        <v>6.1639999999999997</v>
      </c>
      <c r="ID9" s="99">
        <v>6.8789999999999996</v>
      </c>
      <c r="IE9" s="99">
        <v>6.6180000000000003</v>
      </c>
      <c r="IF9" s="99">
        <v>8.266</v>
      </c>
      <c r="IG9" s="99">
        <v>8.7249999999999996</v>
      </c>
      <c r="IH9" s="99">
        <v>8.0399999999999991</v>
      </c>
      <c r="II9" s="99">
        <v>7.1630000000000003</v>
      </c>
      <c r="IJ9" s="99">
        <v>7.6859999999999999</v>
      </c>
      <c r="IK9" s="99">
        <v>6.5519999999999996</v>
      </c>
      <c r="IL9" s="99">
        <v>5.9809999999999999</v>
      </c>
      <c r="IM9" s="99">
        <v>7.4119999999999999</v>
      </c>
      <c r="IN9" s="99">
        <v>8.3369999999999997</v>
      </c>
      <c r="IO9" s="99">
        <v>8.2469999999999999</v>
      </c>
      <c r="IP9" s="99">
        <v>6.726</v>
      </c>
      <c r="IQ9" s="99">
        <v>6.0860000000000003</v>
      </c>
      <c r="IR9" s="99">
        <v>6.6310000000000002</v>
      </c>
      <c r="IS9" s="99">
        <v>7.3579999999999997</v>
      </c>
      <c r="IT9" s="99">
        <v>6.4809999999999999</v>
      </c>
      <c r="IU9" s="99">
        <v>6.6059999999999999</v>
      </c>
      <c r="IV9" s="99">
        <v>6.8970000000000002</v>
      </c>
      <c r="IW9" s="99">
        <v>6.0949999999999998</v>
      </c>
      <c r="IX9" s="99">
        <v>6.3579999999999997</v>
      </c>
      <c r="IY9" s="99">
        <v>6.3929999999999998</v>
      </c>
      <c r="IZ9" s="99">
        <v>5.593</v>
      </c>
      <c r="JA9" s="99">
        <v>5.6050000000000004</v>
      </c>
      <c r="JB9" s="99">
        <v>6.1079999999999997</v>
      </c>
      <c r="JC9" s="99">
        <v>6.226</v>
      </c>
      <c r="JD9" s="99">
        <v>6.4329999999999998</v>
      </c>
      <c r="JE9" s="99">
        <v>6.718</v>
      </c>
      <c r="JF9" s="99">
        <v>6.4870000000000001</v>
      </c>
      <c r="JG9" s="99">
        <v>6.4379999999999997</v>
      </c>
      <c r="JH9" s="99">
        <v>6.9569999999999999</v>
      </c>
      <c r="JI9" s="99">
        <v>8.2590000000000003</v>
      </c>
      <c r="JJ9" s="99">
        <v>6.1079999999999997</v>
      </c>
      <c r="JK9" s="99">
        <v>5.8760000000000003</v>
      </c>
      <c r="JL9" s="99">
        <v>7.4539999999999997</v>
      </c>
      <c r="JM9" s="99">
        <v>8.7040000000000006</v>
      </c>
      <c r="JN9" s="99">
        <v>7.3330000000000002</v>
      </c>
      <c r="JO9" s="99">
        <v>6.8419999999999996</v>
      </c>
      <c r="JP9" s="99">
        <v>7.2030000000000003</v>
      </c>
      <c r="JQ9" s="99">
        <v>7.52</v>
      </c>
      <c r="JR9" s="99">
        <v>8.3979999999999997</v>
      </c>
      <c r="JS9" s="99">
        <v>7.327</v>
      </c>
      <c r="JT9" s="99">
        <v>7.2060000000000004</v>
      </c>
      <c r="JU9" s="99">
        <v>5.56</v>
      </c>
      <c r="JV9" s="99">
        <v>7.0140000000000002</v>
      </c>
      <c r="JW9" s="99">
        <v>8.2970000000000006</v>
      </c>
      <c r="JX9" s="99">
        <v>7.47</v>
      </c>
      <c r="JY9" s="99">
        <v>5.92</v>
      </c>
      <c r="JZ9" s="99">
        <v>5.8559999999999999</v>
      </c>
      <c r="KA9" s="99">
        <v>6.24</v>
      </c>
      <c r="KB9" s="99">
        <v>6.5380000000000003</v>
      </c>
      <c r="KC9" s="99">
        <v>7.6909999999999998</v>
      </c>
      <c r="KD9" s="99">
        <v>6.758</v>
      </c>
      <c r="KE9" s="99">
        <v>6.8540000000000001</v>
      </c>
      <c r="KF9" s="99">
        <v>7.2670000000000003</v>
      </c>
      <c r="KG9" s="99">
        <v>6.8259999999999996</v>
      </c>
      <c r="KH9" s="99">
        <v>6.4820000000000002</v>
      </c>
      <c r="KI9" s="99">
        <v>6.8120000000000003</v>
      </c>
      <c r="KJ9" s="99">
        <v>7.82</v>
      </c>
      <c r="KK9" s="99">
        <v>6.968</v>
      </c>
      <c r="KL9" s="99">
        <v>7.6449999999999996</v>
      </c>
      <c r="KM9" s="99">
        <v>7.923</v>
      </c>
      <c r="KN9" s="99">
        <v>7.0880000000000001</v>
      </c>
      <c r="KO9" s="99">
        <v>6.4530000000000003</v>
      </c>
      <c r="KP9" s="99">
        <v>6.23</v>
      </c>
      <c r="KQ9" s="99">
        <v>6.2089999999999996</v>
      </c>
      <c r="KR9" s="99">
        <v>6.3150000000000004</v>
      </c>
      <c r="KS9" s="99">
        <v>6.5650000000000004</v>
      </c>
      <c r="KT9" s="99">
        <v>6.8609999999999998</v>
      </c>
      <c r="KU9" s="99">
        <v>7.1479999999999997</v>
      </c>
      <c r="KV9" s="99">
        <v>6.63</v>
      </c>
      <c r="KW9" s="99">
        <v>6.1269999999999998</v>
      </c>
      <c r="KX9" s="99">
        <v>6.0090000000000003</v>
      </c>
      <c r="KY9" s="99">
        <v>6.6779999999999999</v>
      </c>
      <c r="KZ9" s="99">
        <v>6.5490000000000004</v>
      </c>
      <c r="LA9" s="99">
        <v>5.79</v>
      </c>
      <c r="LB9" s="99">
        <v>6.3449999999999998</v>
      </c>
      <c r="LC9" s="99">
        <v>7.0410000000000004</v>
      </c>
      <c r="LD9" s="99">
        <v>6.8710000000000004</v>
      </c>
      <c r="LE9" s="99">
        <v>6.59</v>
      </c>
      <c r="LF9" s="99">
        <v>6.4950000000000001</v>
      </c>
      <c r="LG9" s="99">
        <v>6.9820000000000002</v>
      </c>
      <c r="LH9" s="99">
        <v>7.2359999999999998</v>
      </c>
      <c r="LI9" s="99">
        <v>6.6159999999999997</v>
      </c>
      <c r="LJ9" s="99">
        <v>7.42</v>
      </c>
      <c r="LK9" s="99">
        <v>6.8490000000000002</v>
      </c>
      <c r="LL9" s="99">
        <v>6.6349999999999998</v>
      </c>
      <c r="LM9" s="99">
        <v>5.9720000000000004</v>
      </c>
      <c r="LN9" s="99">
        <v>4.9729999999999999</v>
      </c>
      <c r="LO9" s="99">
        <v>6.1219999999999999</v>
      </c>
      <c r="LP9" s="99">
        <v>6.0229999999999997</v>
      </c>
      <c r="LQ9" s="99">
        <v>6.266</v>
      </c>
      <c r="LR9" s="99">
        <v>6.5670000000000002</v>
      </c>
      <c r="LS9" s="99">
        <v>5.7050000000000001</v>
      </c>
      <c r="LT9" s="99">
        <v>5.9139999999999997</v>
      </c>
      <c r="LU9" s="99">
        <v>5.782</v>
      </c>
      <c r="LV9" s="99">
        <v>6.3819999999999997</v>
      </c>
      <c r="LW9" s="99">
        <v>6.1130000000000004</v>
      </c>
      <c r="LX9" s="99">
        <v>6.4260000000000002</v>
      </c>
      <c r="LY9" s="99">
        <v>6.3760000000000003</v>
      </c>
      <c r="LZ9" s="99">
        <v>6.0410000000000004</v>
      </c>
      <c r="MA9" s="99">
        <v>5.7080000000000002</v>
      </c>
      <c r="MB9" s="99">
        <v>6.415</v>
      </c>
      <c r="MC9" s="99">
        <v>6.431</v>
      </c>
      <c r="MD9" s="99">
        <v>6.3120000000000003</v>
      </c>
      <c r="ME9" s="99">
        <v>6.0830000000000002</v>
      </c>
      <c r="MF9" s="99">
        <v>5.8680000000000003</v>
      </c>
      <c r="MG9" s="99">
        <v>6.3330000000000002</v>
      </c>
      <c r="MH9" s="99">
        <v>6.1440000000000001</v>
      </c>
      <c r="MI9" s="99">
        <v>5.7060000000000004</v>
      </c>
      <c r="MJ9" s="99">
        <v>6.0309999999999997</v>
      </c>
      <c r="MK9" s="99">
        <v>6.3159999999999998</v>
      </c>
      <c r="ML9" s="99">
        <v>6.31</v>
      </c>
      <c r="MM9" s="99">
        <v>6.0369999999999999</v>
      </c>
      <c r="MN9" s="99">
        <v>5.8689999999999998</v>
      </c>
      <c r="MO9" s="99">
        <v>5.8949999999999996</v>
      </c>
      <c r="MP9" s="99">
        <v>6.0590000000000002</v>
      </c>
      <c r="MQ9" s="99">
        <v>5.9850000000000003</v>
      </c>
      <c r="MR9" s="99">
        <v>5.968</v>
      </c>
      <c r="MS9" s="99">
        <v>7.2409999999999997</v>
      </c>
      <c r="MT9" s="99">
        <v>6.54</v>
      </c>
      <c r="MU9" s="99">
        <v>6.6959999999999997</v>
      </c>
      <c r="MV9" s="99">
        <v>6.8739999999999997</v>
      </c>
      <c r="MW9" s="99">
        <v>6.0140000000000002</v>
      </c>
      <c r="MX9" s="99">
        <v>5.8979999999999997</v>
      </c>
      <c r="MY9" s="99">
        <v>6.516</v>
      </c>
      <c r="MZ9" s="99">
        <v>6.6349999999999998</v>
      </c>
      <c r="NA9" s="99">
        <v>6.9390000000000001</v>
      </c>
      <c r="NB9" s="99">
        <v>6.49</v>
      </c>
      <c r="NC9" s="99">
        <v>6.5789999999999997</v>
      </c>
      <c r="ND9" s="99">
        <v>5.8840000000000003</v>
      </c>
      <c r="NE9" s="99">
        <v>6.7279999999999998</v>
      </c>
      <c r="NF9" s="99">
        <v>5.6630000000000003</v>
      </c>
      <c r="NG9" s="99">
        <v>5.9359999999999999</v>
      </c>
      <c r="NH9" s="99">
        <v>6.2119999999999997</v>
      </c>
      <c r="NI9" s="99">
        <v>6.3949999999999996</v>
      </c>
      <c r="NJ9" s="99">
        <v>6.1269999999999998</v>
      </c>
      <c r="NK9" s="99">
        <v>6.1120000000000001</v>
      </c>
      <c r="NL9" s="99">
        <v>6.3979999999999997</v>
      </c>
      <c r="NM9" s="99">
        <v>6.2510000000000003</v>
      </c>
      <c r="NN9" s="99">
        <v>5.3620000000000001</v>
      </c>
      <c r="NO9" s="99">
        <v>5.8029999999999999</v>
      </c>
      <c r="NP9" s="99">
        <v>8.7799999999999994</v>
      </c>
      <c r="NQ9" s="99">
        <v>3.5609999999999999</v>
      </c>
      <c r="NR9" s="99">
        <v>4.9630000000000001</v>
      </c>
      <c r="NS9" s="99">
        <v>3.863</v>
      </c>
      <c r="NT9" s="99">
        <v>4.97</v>
      </c>
      <c r="NU9" s="99">
        <v>6.6829999999999998</v>
      </c>
      <c r="NV9" s="99">
        <v>7.016</v>
      </c>
      <c r="NW9" s="99">
        <v>6.2160000000000002</v>
      </c>
      <c r="NX9" s="99">
        <v>5.875</v>
      </c>
      <c r="NY9" s="99">
        <v>4.9059999999999997</v>
      </c>
      <c r="NZ9" s="99">
        <v>4.1379999999999999</v>
      </c>
      <c r="OA9" s="99">
        <v>7.3129999999999997</v>
      </c>
      <c r="OB9" s="99">
        <v>6.649</v>
      </c>
      <c r="OC9" s="99">
        <v>6.7939999999999996</v>
      </c>
      <c r="OD9" s="99">
        <v>6.38</v>
      </c>
      <c r="OE9" s="99">
        <v>6.2229999999999999</v>
      </c>
      <c r="OF9" s="99">
        <v>6.968</v>
      </c>
      <c r="OG9" s="99">
        <v>6.5449999999999999</v>
      </c>
      <c r="OH9" s="99">
        <v>5.5359999999999996</v>
      </c>
      <c r="OI9" s="99">
        <v>5.52</v>
      </c>
      <c r="OJ9" s="99">
        <v>4.3680000000000003</v>
      </c>
      <c r="OK9" s="99">
        <v>5.2770000000000001</v>
      </c>
      <c r="OL9" s="99">
        <v>4.6520000000000001</v>
      </c>
      <c r="OM9" s="99">
        <v>5</v>
      </c>
      <c r="ON9" s="99">
        <v>4.88</v>
      </c>
      <c r="OO9" s="99">
        <v>5.39</v>
      </c>
      <c r="OP9" s="99">
        <v>5.7130000000000001</v>
      </c>
      <c r="OQ9" s="99">
        <v>6.0510000000000002</v>
      </c>
      <c r="OR9" s="99">
        <v>5.0359999999999996</v>
      </c>
      <c r="OS9" s="99">
        <v>6.1929999999999996</v>
      </c>
      <c r="OT9" s="99">
        <v>5.8869999999999996</v>
      </c>
      <c r="OU9" s="99">
        <v>6.4710000000000001</v>
      </c>
      <c r="OV9" s="99">
        <v>6.4050000000000002</v>
      </c>
      <c r="OW9" s="99">
        <v>5.7469999999999999</v>
      </c>
      <c r="OX9" s="99">
        <v>5.4530000000000003</v>
      </c>
      <c r="OY9" s="99">
        <v>5.8520000000000003</v>
      </c>
      <c r="OZ9" s="99">
        <v>5.9870000000000001</v>
      </c>
      <c r="PA9" s="99">
        <v>6.343</v>
      </c>
      <c r="PB9" s="99">
        <v>6.4039999999999999</v>
      </c>
      <c r="PC9" s="99">
        <v>5.3490000000000002</v>
      </c>
      <c r="PD9" s="99">
        <v>5.5309999999999997</v>
      </c>
      <c r="PE9" s="99">
        <v>5.6829999999999998</v>
      </c>
      <c r="PF9" s="99">
        <v>4.1379999999999999</v>
      </c>
      <c r="PG9" s="99">
        <v>5.6079999999999997</v>
      </c>
      <c r="PH9" s="99">
        <v>5.617</v>
      </c>
      <c r="PI9" s="99">
        <v>6.8520000000000003</v>
      </c>
      <c r="PJ9" s="99">
        <v>5.7569999999999997</v>
      </c>
      <c r="PK9" s="99">
        <v>6.657</v>
      </c>
      <c r="PL9" s="99">
        <v>4.6280000000000001</v>
      </c>
      <c r="PM9" s="99">
        <v>5.1550000000000002</v>
      </c>
      <c r="PN9" s="99">
        <v>4.5190000000000001</v>
      </c>
      <c r="PO9" s="99">
        <v>6.4340000000000002</v>
      </c>
      <c r="PP9" s="99">
        <v>6.782</v>
      </c>
      <c r="PQ9" s="99">
        <v>5.3040000000000003</v>
      </c>
      <c r="PR9" s="99">
        <v>5.9569999999999999</v>
      </c>
      <c r="PS9" s="99">
        <v>6.8239999999999998</v>
      </c>
      <c r="PT9" s="99">
        <v>6.4109999999999996</v>
      </c>
      <c r="PU9" s="99">
        <v>6.0060000000000002</v>
      </c>
      <c r="PV9" s="99">
        <v>5.6479999999999997</v>
      </c>
      <c r="PW9" s="99">
        <v>6.1029999999999998</v>
      </c>
      <c r="PX9" s="99">
        <v>5.5650000000000004</v>
      </c>
      <c r="PY9" s="99">
        <v>5.8959999999999999</v>
      </c>
      <c r="PZ9" s="99">
        <v>5.8369999999999997</v>
      </c>
      <c r="QA9" s="99">
        <v>6.202</v>
      </c>
      <c r="QB9" s="99">
        <v>6.1929999999999996</v>
      </c>
      <c r="QC9" s="99">
        <v>6.38</v>
      </c>
      <c r="QD9" s="99">
        <v>6.3479999999999999</v>
      </c>
      <c r="QE9" s="99">
        <v>6.8330000000000002</v>
      </c>
      <c r="QF9" s="99">
        <v>6.4249999999999998</v>
      </c>
      <c r="QG9" s="99">
        <v>6.4359999999999999</v>
      </c>
      <c r="QH9" s="99">
        <v>6.2080000000000002</v>
      </c>
      <c r="QI9" s="99">
        <v>6.6289999999999996</v>
      </c>
      <c r="QJ9" s="99">
        <v>6.4610000000000003</v>
      </c>
      <c r="QK9" s="99">
        <v>6.1520000000000001</v>
      </c>
      <c r="QL9" s="99">
        <v>5.9349999999999996</v>
      </c>
      <c r="QM9" s="99">
        <v>5.6269999999999998</v>
      </c>
      <c r="QN9" s="99">
        <v>5.8179999999999996</v>
      </c>
      <c r="QO9" s="99">
        <v>6.4059999999999997</v>
      </c>
      <c r="QP9" s="99">
        <v>6.2190000000000003</v>
      </c>
      <c r="QQ9" s="99">
        <v>6.4850000000000003</v>
      </c>
      <c r="QR9" s="99">
        <v>5.8540000000000001</v>
      </c>
      <c r="QS9" s="99">
        <v>6.4589999999999996</v>
      </c>
      <c r="QT9" s="99">
        <v>6.3410000000000002</v>
      </c>
      <c r="QU9" s="99">
        <v>6.2510000000000003</v>
      </c>
      <c r="QV9" s="99">
        <v>6.1849999999999996</v>
      </c>
      <c r="QW9" s="99">
        <v>6.4169999999999998</v>
      </c>
      <c r="QX9" s="99">
        <v>6.7489999999999997</v>
      </c>
      <c r="QY9" s="99">
        <v>6.6550000000000002</v>
      </c>
      <c r="QZ9" s="99">
        <v>6.2969999999999997</v>
      </c>
      <c r="RA9" s="99">
        <v>7.3929999999999998</v>
      </c>
      <c r="RB9" s="99">
        <v>6.7279999999999998</v>
      </c>
      <c r="RC9" s="99">
        <v>6.5250000000000004</v>
      </c>
      <c r="RD9" s="99">
        <v>5.976</v>
      </c>
      <c r="RE9" s="99">
        <v>5.9359999999999999</v>
      </c>
      <c r="RF9" s="99">
        <v>6.3010000000000002</v>
      </c>
      <c r="RG9" s="99">
        <v>6.0810000000000004</v>
      </c>
      <c r="RH9" s="99">
        <v>6.7009999999999996</v>
      </c>
      <c r="RI9" s="99">
        <v>6.3760000000000003</v>
      </c>
      <c r="RJ9" s="99">
        <v>6.3170000000000002</v>
      </c>
      <c r="RK9" s="99">
        <v>6.5129999999999999</v>
      </c>
      <c r="RL9" s="99">
        <v>6.2089999999999996</v>
      </c>
      <c r="RM9" s="99">
        <v>5.7590000000000003</v>
      </c>
      <c r="RN9" s="99">
        <v>5.952</v>
      </c>
      <c r="RO9" s="99">
        <v>6.0030000000000001</v>
      </c>
      <c r="RP9" s="99">
        <v>5.9260000000000002</v>
      </c>
      <c r="RQ9" s="99">
        <v>5.7130000000000001</v>
      </c>
      <c r="RR9" s="99">
        <v>6.1669999999999998</v>
      </c>
      <c r="RS9" s="99">
        <v>6.2290000000000001</v>
      </c>
      <c r="RT9" s="99">
        <v>6.4370000000000003</v>
      </c>
      <c r="RU9" s="99">
        <v>6.98</v>
      </c>
      <c r="RV9" s="99">
        <v>5.4269999999999996</v>
      </c>
      <c r="RW9" s="99">
        <v>6.1619999999999999</v>
      </c>
      <c r="RX9" s="99">
        <v>6.484</v>
      </c>
      <c r="RY9" s="99">
        <v>5.3040000000000003</v>
      </c>
      <c r="RZ9" s="99">
        <v>6.1849999999999996</v>
      </c>
      <c r="SA9" s="99">
        <v>6.2290000000000001</v>
      </c>
      <c r="SB9" s="99">
        <v>6.242</v>
      </c>
      <c r="SC9" s="99">
        <v>6.75</v>
      </c>
      <c r="SD9" s="99">
        <v>7.0609999999999999</v>
      </c>
      <c r="SE9" s="99">
        <v>5.7619999999999996</v>
      </c>
      <c r="SF9" s="99">
        <v>5.8710000000000004</v>
      </c>
      <c r="SG9" s="99">
        <v>6.3120000000000003</v>
      </c>
      <c r="SH9" s="99">
        <v>6.1139999999999999</v>
      </c>
      <c r="SI9" s="99">
        <v>5.9050000000000002</v>
      </c>
      <c r="SJ9" s="99">
        <v>5.4539999999999997</v>
      </c>
      <c r="SK9" s="99">
        <v>5.4139999999999997</v>
      </c>
      <c r="SL9" s="99">
        <v>5.093</v>
      </c>
      <c r="SM9" s="99">
        <v>5.9829999999999997</v>
      </c>
      <c r="SN9" s="99">
        <v>5.9829999999999997</v>
      </c>
      <c r="SO9" s="99">
        <v>5.7069999999999999</v>
      </c>
      <c r="SP9" s="99">
        <v>5.9260000000000002</v>
      </c>
      <c r="SQ9" s="99">
        <v>5.67</v>
      </c>
      <c r="SR9" s="99">
        <v>5.39</v>
      </c>
      <c r="SS9" s="99">
        <v>5.7939999999999996</v>
      </c>
      <c r="ST9" s="99">
        <v>6.0190000000000001</v>
      </c>
      <c r="SU9" s="99">
        <v>5.569</v>
      </c>
      <c r="SV9" s="99">
        <v>6.0270000000000001</v>
      </c>
      <c r="SW9" s="99">
        <v>6.593</v>
      </c>
      <c r="SX9" s="99">
        <v>6.12</v>
      </c>
      <c r="SY9" s="99">
        <v>6.976</v>
      </c>
      <c r="SZ9" s="99">
        <v>6.7939999999999996</v>
      </c>
      <c r="TA9" s="99">
        <v>6.03</v>
      </c>
    </row>
    <row r="10" spans="1:521">
      <c r="A10">
        <v>1</v>
      </c>
      <c r="B10">
        <v>2.9850000000000002E-2</v>
      </c>
      <c r="C10">
        <v>2.1800000000000002</v>
      </c>
      <c r="D10">
        <v>0.45800000000000002</v>
      </c>
      <c r="E10">
        <v>6.43</v>
      </c>
      <c r="F10">
        <v>58.7</v>
      </c>
      <c r="G10">
        <v>6.0621999999999998</v>
      </c>
      <c r="H10">
        <v>3</v>
      </c>
      <c r="I10">
        <v>222</v>
      </c>
      <c r="J10">
        <v>18.7</v>
      </c>
      <c r="K10">
        <v>394.12</v>
      </c>
      <c r="L10">
        <v>5.21</v>
      </c>
      <c r="M10">
        <v>28.7</v>
      </c>
      <c r="N10" s="107">
        <f t="shared" si="0"/>
        <v>26.374831664516996</v>
      </c>
      <c r="O10"/>
      <c r="P10" s="99">
        <v>65.2</v>
      </c>
      <c r="Q10" s="99">
        <v>78.900000000000006</v>
      </c>
      <c r="R10" s="99">
        <v>61.1</v>
      </c>
      <c r="S10" s="99">
        <v>45.8</v>
      </c>
      <c r="T10" s="99">
        <v>54.2</v>
      </c>
      <c r="U10" s="99">
        <v>58.7</v>
      </c>
      <c r="V10" s="99">
        <v>66.599999999999994</v>
      </c>
      <c r="W10" s="99">
        <v>96.1</v>
      </c>
      <c r="X10" s="99">
        <v>100</v>
      </c>
      <c r="Y10" s="99">
        <v>85.9</v>
      </c>
      <c r="Z10" s="99">
        <v>94.3</v>
      </c>
      <c r="AA10" s="99">
        <v>82.9</v>
      </c>
      <c r="AB10" s="99">
        <v>39</v>
      </c>
      <c r="AC10" s="99">
        <v>61.8</v>
      </c>
      <c r="AD10" s="99">
        <v>84.5</v>
      </c>
      <c r="AE10" s="99">
        <v>56.5</v>
      </c>
      <c r="AF10" s="99">
        <v>29.3</v>
      </c>
      <c r="AG10" s="99">
        <v>81.7</v>
      </c>
      <c r="AH10" s="99">
        <v>36.6</v>
      </c>
      <c r="AI10" s="99">
        <v>69.5</v>
      </c>
      <c r="AJ10" s="99">
        <v>98.1</v>
      </c>
      <c r="AK10" s="99">
        <v>89.2</v>
      </c>
      <c r="AL10" s="99">
        <v>91.7</v>
      </c>
      <c r="AM10" s="99">
        <v>100</v>
      </c>
      <c r="AN10" s="99">
        <v>94.1</v>
      </c>
      <c r="AO10" s="99">
        <v>85.7</v>
      </c>
      <c r="AP10" s="99">
        <v>90.3</v>
      </c>
      <c r="AQ10" s="99">
        <v>88.8</v>
      </c>
      <c r="AR10" s="99">
        <v>94.4</v>
      </c>
      <c r="AS10" s="99">
        <v>87.3</v>
      </c>
      <c r="AT10" s="99">
        <v>94.1</v>
      </c>
      <c r="AU10" s="99">
        <v>100</v>
      </c>
      <c r="AV10" s="99">
        <v>82</v>
      </c>
      <c r="AW10" s="99">
        <v>95</v>
      </c>
      <c r="AX10" s="99">
        <v>96.9</v>
      </c>
      <c r="AY10" s="99">
        <v>68.2</v>
      </c>
      <c r="AZ10" s="99">
        <v>61.4</v>
      </c>
      <c r="BA10" s="99">
        <v>41.5</v>
      </c>
      <c r="BB10" s="99">
        <v>30.2</v>
      </c>
      <c r="BC10" s="99">
        <v>21.8</v>
      </c>
      <c r="BD10" s="99">
        <v>15.8</v>
      </c>
      <c r="BE10" s="99">
        <v>2.9</v>
      </c>
      <c r="BF10" s="99">
        <v>6.6</v>
      </c>
      <c r="BG10" s="99">
        <v>6.5</v>
      </c>
      <c r="BH10" s="99">
        <v>40</v>
      </c>
      <c r="BI10" s="99">
        <v>33.799999999999997</v>
      </c>
      <c r="BJ10" s="99">
        <v>33.299999999999997</v>
      </c>
      <c r="BK10" s="99">
        <v>85.5</v>
      </c>
      <c r="BL10" s="99">
        <v>95.3</v>
      </c>
      <c r="BM10" s="99">
        <v>62</v>
      </c>
      <c r="BN10" s="99">
        <v>45.7</v>
      </c>
      <c r="BO10" s="99">
        <v>63</v>
      </c>
      <c r="BP10" s="99">
        <v>21.1</v>
      </c>
      <c r="BQ10" s="99">
        <v>21.4</v>
      </c>
      <c r="BR10" s="99">
        <v>47.6</v>
      </c>
      <c r="BS10" s="99">
        <v>21.9</v>
      </c>
      <c r="BT10" s="99">
        <v>35.700000000000003</v>
      </c>
      <c r="BU10" s="99">
        <v>40.5</v>
      </c>
      <c r="BV10" s="99">
        <v>29.2</v>
      </c>
      <c r="BW10" s="99">
        <v>47.2</v>
      </c>
      <c r="BX10" s="99">
        <v>66.2</v>
      </c>
      <c r="BY10" s="99">
        <v>93.4</v>
      </c>
      <c r="BZ10" s="99">
        <v>67.8</v>
      </c>
      <c r="CA10" s="99">
        <v>43.4</v>
      </c>
      <c r="CB10" s="99">
        <v>59.5</v>
      </c>
      <c r="CC10" s="99">
        <v>17.8</v>
      </c>
      <c r="CD10" s="99">
        <v>31.1</v>
      </c>
      <c r="CE10" s="99">
        <v>21.4</v>
      </c>
      <c r="CF10" s="99">
        <v>36.799999999999997</v>
      </c>
      <c r="CG10" s="99">
        <v>33</v>
      </c>
      <c r="CH10" s="99">
        <v>6.6</v>
      </c>
      <c r="CI10" s="99">
        <v>17.5</v>
      </c>
      <c r="CJ10" s="99">
        <v>7.8</v>
      </c>
      <c r="CK10" s="99">
        <v>6.2</v>
      </c>
      <c r="CL10" s="99">
        <v>6</v>
      </c>
      <c r="CM10" s="99">
        <v>45</v>
      </c>
      <c r="CN10" s="99">
        <v>74.5</v>
      </c>
      <c r="CO10" s="99">
        <v>45.8</v>
      </c>
      <c r="CP10" s="99">
        <v>53.7</v>
      </c>
      <c r="CQ10" s="99">
        <v>36.6</v>
      </c>
      <c r="CR10" s="99">
        <v>33.5</v>
      </c>
      <c r="CS10" s="99">
        <v>70.400000000000006</v>
      </c>
      <c r="CT10" s="99">
        <v>32.200000000000003</v>
      </c>
      <c r="CU10" s="99">
        <v>46.7</v>
      </c>
      <c r="CV10" s="99">
        <v>48</v>
      </c>
      <c r="CW10" s="99">
        <v>56.1</v>
      </c>
      <c r="CX10" s="99">
        <v>45.1</v>
      </c>
      <c r="CY10" s="99">
        <v>56.8</v>
      </c>
      <c r="CZ10" s="99">
        <v>86.3</v>
      </c>
      <c r="DA10" s="99">
        <v>63.1</v>
      </c>
      <c r="DB10" s="99">
        <v>66.099999999999994</v>
      </c>
      <c r="DC10" s="99">
        <v>73.900000000000006</v>
      </c>
      <c r="DD10" s="99">
        <v>53.6</v>
      </c>
      <c r="DE10" s="99">
        <v>28.9</v>
      </c>
      <c r="DF10" s="99">
        <v>77.3</v>
      </c>
      <c r="DG10" s="99">
        <v>57.8</v>
      </c>
      <c r="DH10" s="99">
        <v>69.599999999999994</v>
      </c>
      <c r="DI10" s="99">
        <v>76</v>
      </c>
      <c r="DJ10" s="99">
        <v>36.9</v>
      </c>
      <c r="DK10" s="99">
        <v>62.5</v>
      </c>
      <c r="DL10" s="99">
        <v>79.900000000000006</v>
      </c>
      <c r="DM10" s="99">
        <v>71.3</v>
      </c>
      <c r="DN10" s="99">
        <v>85.4</v>
      </c>
      <c r="DO10" s="99">
        <v>87.4</v>
      </c>
      <c r="DP10" s="99">
        <v>90</v>
      </c>
      <c r="DQ10" s="99">
        <v>96.7</v>
      </c>
      <c r="DR10" s="99">
        <v>91.9</v>
      </c>
      <c r="DS10" s="99">
        <v>85.2</v>
      </c>
      <c r="DT10" s="99">
        <v>97.1</v>
      </c>
      <c r="DU10" s="99">
        <v>91.2</v>
      </c>
      <c r="DV10" s="99">
        <v>54.4</v>
      </c>
      <c r="DW10" s="99">
        <v>81.599999999999994</v>
      </c>
      <c r="DX10" s="99">
        <v>92.9</v>
      </c>
      <c r="DY10" s="99">
        <v>95.4</v>
      </c>
      <c r="DZ10" s="99">
        <v>84.2</v>
      </c>
      <c r="EA10" s="99">
        <v>88.2</v>
      </c>
      <c r="EB10" s="99">
        <v>72.5</v>
      </c>
      <c r="EC10" s="99">
        <v>82.6</v>
      </c>
      <c r="ED10" s="99">
        <v>73.099999999999994</v>
      </c>
      <c r="EE10" s="99">
        <v>65.2</v>
      </c>
      <c r="EF10" s="99">
        <v>69.7</v>
      </c>
      <c r="EG10" s="99">
        <v>84.1</v>
      </c>
      <c r="EH10" s="99">
        <v>92.9</v>
      </c>
      <c r="EI10" s="99">
        <v>97</v>
      </c>
      <c r="EJ10" s="99">
        <v>95.8</v>
      </c>
      <c r="EK10" s="99">
        <v>88.4</v>
      </c>
      <c r="EL10" s="99">
        <v>95.6</v>
      </c>
      <c r="EM10" s="99">
        <v>96</v>
      </c>
      <c r="EN10" s="99">
        <v>98.8</v>
      </c>
      <c r="EO10" s="99">
        <v>94.7</v>
      </c>
      <c r="EP10" s="99">
        <v>98.9</v>
      </c>
      <c r="EQ10" s="99">
        <v>97.7</v>
      </c>
      <c r="ER10" s="99">
        <v>97.9</v>
      </c>
      <c r="ES10" s="99">
        <v>95.4</v>
      </c>
      <c r="ET10" s="99">
        <v>98.4</v>
      </c>
      <c r="EU10" s="99">
        <v>98.2</v>
      </c>
      <c r="EV10" s="99">
        <v>93.5</v>
      </c>
      <c r="EW10" s="99">
        <v>98.4</v>
      </c>
      <c r="EX10" s="99">
        <v>98.2</v>
      </c>
      <c r="EY10" s="99">
        <v>97.9</v>
      </c>
      <c r="EZ10" s="99">
        <v>93.6</v>
      </c>
      <c r="FA10" s="99">
        <v>100</v>
      </c>
      <c r="FB10" s="99">
        <v>100</v>
      </c>
      <c r="FC10" s="99">
        <v>100</v>
      </c>
      <c r="FD10" s="99">
        <v>97.8</v>
      </c>
      <c r="FE10" s="99">
        <v>100</v>
      </c>
      <c r="FF10" s="99">
        <v>100</v>
      </c>
      <c r="FG10" s="99">
        <v>95.7</v>
      </c>
      <c r="FH10" s="99">
        <v>93.8</v>
      </c>
      <c r="FI10" s="99">
        <v>94.9</v>
      </c>
      <c r="FJ10" s="99">
        <v>97.3</v>
      </c>
      <c r="FK10" s="99">
        <v>100</v>
      </c>
      <c r="FL10" s="99">
        <v>88</v>
      </c>
      <c r="FM10" s="99">
        <v>98.5</v>
      </c>
      <c r="FN10" s="99">
        <v>96</v>
      </c>
      <c r="FO10" s="99">
        <v>82.6</v>
      </c>
      <c r="FP10" s="99">
        <v>94</v>
      </c>
      <c r="FQ10" s="99">
        <v>97.4</v>
      </c>
      <c r="FR10" s="99">
        <v>100</v>
      </c>
      <c r="FS10" s="99">
        <v>100</v>
      </c>
      <c r="FT10" s="99">
        <v>92.6</v>
      </c>
      <c r="FU10" s="99">
        <v>90.8</v>
      </c>
      <c r="FV10" s="99">
        <v>98.2</v>
      </c>
      <c r="FW10" s="99">
        <v>93.9</v>
      </c>
      <c r="FX10" s="99">
        <v>91.8</v>
      </c>
      <c r="FY10" s="99">
        <v>93</v>
      </c>
      <c r="FZ10" s="99">
        <v>96.2</v>
      </c>
      <c r="GA10" s="99">
        <v>79.2</v>
      </c>
      <c r="GB10" s="99">
        <v>96.1</v>
      </c>
      <c r="GC10" s="99">
        <v>95.2</v>
      </c>
      <c r="GD10" s="99">
        <v>94.6</v>
      </c>
      <c r="GE10" s="99">
        <v>97.3</v>
      </c>
      <c r="GF10" s="99">
        <v>88.5</v>
      </c>
      <c r="GG10" s="99">
        <v>84.1</v>
      </c>
      <c r="GH10" s="99">
        <v>68.7</v>
      </c>
      <c r="GI10" s="99">
        <v>33.1</v>
      </c>
      <c r="GJ10" s="99">
        <v>47.2</v>
      </c>
      <c r="GK10" s="99">
        <v>73.400000000000006</v>
      </c>
      <c r="GL10" s="99">
        <v>74.400000000000006</v>
      </c>
      <c r="GM10" s="99">
        <v>58.4</v>
      </c>
      <c r="GN10" s="99">
        <v>83.3</v>
      </c>
      <c r="GO10" s="99">
        <v>62.2</v>
      </c>
      <c r="GP10" s="99">
        <v>92.2</v>
      </c>
      <c r="GQ10" s="99">
        <v>95.6</v>
      </c>
      <c r="GR10" s="99">
        <v>89.8</v>
      </c>
      <c r="GS10" s="99">
        <v>68.8</v>
      </c>
      <c r="GT10" s="99">
        <v>53.6</v>
      </c>
      <c r="GU10" s="99">
        <v>41.1</v>
      </c>
      <c r="GV10" s="99">
        <v>29.1</v>
      </c>
      <c r="GW10" s="99">
        <v>38.9</v>
      </c>
      <c r="GX10" s="99">
        <v>21.5</v>
      </c>
      <c r="GY10" s="99">
        <v>30.8</v>
      </c>
      <c r="GZ10" s="99">
        <v>26.3</v>
      </c>
      <c r="HA10" s="99">
        <v>9.9</v>
      </c>
      <c r="HB10" s="99">
        <v>18.8</v>
      </c>
      <c r="HC10" s="99">
        <v>32</v>
      </c>
      <c r="HD10" s="99">
        <v>34.1</v>
      </c>
      <c r="HE10" s="99">
        <v>36.6</v>
      </c>
      <c r="HF10" s="99">
        <v>38.299999999999997</v>
      </c>
      <c r="HG10" s="99">
        <v>15.3</v>
      </c>
      <c r="HH10" s="99">
        <v>13.9</v>
      </c>
      <c r="HI10" s="99">
        <v>38.4</v>
      </c>
      <c r="HJ10" s="99">
        <v>15.7</v>
      </c>
      <c r="HK10" s="99">
        <v>33.200000000000003</v>
      </c>
      <c r="HL10" s="99">
        <v>31.9</v>
      </c>
      <c r="HM10" s="99">
        <v>22.3</v>
      </c>
      <c r="HN10" s="99">
        <v>52.5</v>
      </c>
      <c r="HO10" s="99">
        <v>72.7</v>
      </c>
      <c r="HP10" s="99">
        <v>59.1</v>
      </c>
      <c r="HQ10" s="99">
        <v>100</v>
      </c>
      <c r="HR10" s="99">
        <v>92.1</v>
      </c>
      <c r="HS10" s="99">
        <v>88.6</v>
      </c>
      <c r="HT10" s="99">
        <v>53.8</v>
      </c>
      <c r="HU10" s="99">
        <v>32.299999999999997</v>
      </c>
      <c r="HV10" s="99">
        <v>9.8000000000000007</v>
      </c>
      <c r="HW10" s="99">
        <v>42.4</v>
      </c>
      <c r="HX10" s="99">
        <v>56</v>
      </c>
      <c r="HY10" s="99">
        <v>85.1</v>
      </c>
      <c r="HZ10" s="99">
        <v>93.8</v>
      </c>
      <c r="IA10" s="99">
        <v>92.4</v>
      </c>
      <c r="IB10" s="99">
        <v>88.5</v>
      </c>
      <c r="IC10" s="99">
        <v>91.3</v>
      </c>
      <c r="ID10" s="99">
        <v>77.7</v>
      </c>
      <c r="IE10" s="99">
        <v>80.8</v>
      </c>
      <c r="IF10" s="99">
        <v>78.3</v>
      </c>
      <c r="IG10" s="99">
        <v>83</v>
      </c>
      <c r="IH10" s="99">
        <v>86.5</v>
      </c>
      <c r="II10" s="99">
        <v>79.900000000000006</v>
      </c>
      <c r="IJ10" s="99">
        <v>17</v>
      </c>
      <c r="IK10" s="99">
        <v>21.4</v>
      </c>
      <c r="IL10" s="99">
        <v>68.099999999999994</v>
      </c>
      <c r="IM10" s="99">
        <v>76.900000000000006</v>
      </c>
      <c r="IN10" s="99">
        <v>73.3</v>
      </c>
      <c r="IO10" s="99">
        <v>70.400000000000006</v>
      </c>
      <c r="IP10" s="99">
        <v>66.5</v>
      </c>
      <c r="IQ10" s="99">
        <v>61.5</v>
      </c>
      <c r="IR10" s="99">
        <v>76.5</v>
      </c>
      <c r="IS10" s="99">
        <v>71.599999999999994</v>
      </c>
      <c r="IT10" s="99">
        <v>18.5</v>
      </c>
      <c r="IU10" s="99">
        <v>42.2</v>
      </c>
      <c r="IV10" s="99">
        <v>54.3</v>
      </c>
      <c r="IW10" s="99">
        <v>65.099999999999994</v>
      </c>
      <c r="IX10" s="99">
        <v>52.9</v>
      </c>
      <c r="IY10" s="99">
        <v>7.8</v>
      </c>
      <c r="IZ10" s="99">
        <v>76.5</v>
      </c>
      <c r="JA10" s="99">
        <v>70.2</v>
      </c>
      <c r="JB10" s="99">
        <v>34.9</v>
      </c>
      <c r="JC10" s="99">
        <v>79.2</v>
      </c>
      <c r="JD10" s="99">
        <v>49.1</v>
      </c>
      <c r="JE10" s="99">
        <v>17.5</v>
      </c>
      <c r="JF10" s="99">
        <v>13</v>
      </c>
      <c r="JG10" s="99">
        <v>8.9</v>
      </c>
      <c r="JH10" s="99">
        <v>6.8</v>
      </c>
      <c r="JI10" s="99">
        <v>8.4</v>
      </c>
      <c r="JJ10" s="99">
        <v>32</v>
      </c>
      <c r="JK10" s="99">
        <v>19.100000000000001</v>
      </c>
      <c r="JL10" s="99">
        <v>34.200000000000003</v>
      </c>
      <c r="JM10" s="99">
        <v>86.9</v>
      </c>
      <c r="JN10" s="99">
        <v>100</v>
      </c>
      <c r="JO10" s="99">
        <v>100</v>
      </c>
      <c r="JP10" s="99">
        <v>81.8</v>
      </c>
      <c r="JQ10" s="99">
        <v>89.4</v>
      </c>
      <c r="JR10" s="99">
        <v>91.5</v>
      </c>
      <c r="JS10" s="99">
        <v>94.5</v>
      </c>
      <c r="JT10" s="99">
        <v>91.6</v>
      </c>
      <c r="JU10" s="99">
        <v>62.8</v>
      </c>
      <c r="JV10" s="99">
        <v>84.6</v>
      </c>
      <c r="JW10" s="99">
        <v>67</v>
      </c>
      <c r="JX10" s="99">
        <v>52.6</v>
      </c>
      <c r="JY10" s="99">
        <v>61.5</v>
      </c>
      <c r="JZ10" s="99">
        <v>42.1</v>
      </c>
      <c r="KA10" s="99">
        <v>16.3</v>
      </c>
      <c r="KB10" s="99">
        <v>58.7</v>
      </c>
      <c r="KC10" s="99">
        <v>51.8</v>
      </c>
      <c r="KD10" s="99">
        <v>32.9</v>
      </c>
      <c r="KE10" s="99">
        <v>42.8</v>
      </c>
      <c r="KF10" s="99">
        <v>49</v>
      </c>
      <c r="KG10" s="99">
        <v>27.6</v>
      </c>
      <c r="KH10" s="99">
        <v>32.1</v>
      </c>
      <c r="KI10" s="99">
        <v>32.200000000000003</v>
      </c>
      <c r="KJ10" s="99">
        <v>64.5</v>
      </c>
      <c r="KK10" s="99">
        <v>37.200000000000003</v>
      </c>
      <c r="KL10" s="99">
        <v>49.7</v>
      </c>
      <c r="KM10" s="99">
        <v>24.8</v>
      </c>
      <c r="KN10" s="99">
        <v>20.8</v>
      </c>
      <c r="KO10" s="99">
        <v>31.9</v>
      </c>
      <c r="KP10" s="99">
        <v>31.5</v>
      </c>
      <c r="KQ10" s="99">
        <v>31.3</v>
      </c>
      <c r="KR10" s="99">
        <v>45.6</v>
      </c>
      <c r="KS10" s="99">
        <v>22.9</v>
      </c>
      <c r="KT10" s="99">
        <v>27.9</v>
      </c>
      <c r="KU10" s="99">
        <v>27.7</v>
      </c>
      <c r="KV10" s="99">
        <v>23.4</v>
      </c>
      <c r="KW10" s="99">
        <v>18.399999999999999</v>
      </c>
      <c r="KX10" s="99">
        <v>42.3</v>
      </c>
      <c r="KY10" s="99">
        <v>31.1</v>
      </c>
      <c r="KZ10" s="99">
        <v>51</v>
      </c>
      <c r="LA10" s="99">
        <v>58</v>
      </c>
      <c r="LB10" s="99">
        <v>20.100000000000001</v>
      </c>
      <c r="LC10" s="99">
        <v>10</v>
      </c>
      <c r="LD10" s="99">
        <v>47.4</v>
      </c>
      <c r="LE10" s="99">
        <v>40.4</v>
      </c>
      <c r="LF10" s="99">
        <v>18.399999999999999</v>
      </c>
      <c r="LG10" s="99">
        <v>17.7</v>
      </c>
      <c r="LH10" s="99">
        <v>41.1</v>
      </c>
      <c r="LI10" s="99">
        <v>58.1</v>
      </c>
      <c r="LJ10" s="99">
        <v>71.900000000000006</v>
      </c>
      <c r="LK10" s="99">
        <v>70.3</v>
      </c>
      <c r="LL10" s="99">
        <v>82.5</v>
      </c>
      <c r="LM10" s="99">
        <v>76.7</v>
      </c>
      <c r="LN10" s="99">
        <v>37.799999999999997</v>
      </c>
      <c r="LO10" s="99">
        <v>52.8</v>
      </c>
      <c r="LP10" s="99">
        <v>90.4</v>
      </c>
      <c r="LQ10" s="99">
        <v>82.8</v>
      </c>
      <c r="LR10" s="99">
        <v>87.3</v>
      </c>
      <c r="LS10" s="99">
        <v>77.7</v>
      </c>
      <c r="LT10" s="99">
        <v>83.2</v>
      </c>
      <c r="LU10" s="99">
        <v>71.7</v>
      </c>
      <c r="LV10" s="99">
        <v>67.2</v>
      </c>
      <c r="LW10" s="99">
        <v>58.8</v>
      </c>
      <c r="LX10" s="99">
        <v>52.3</v>
      </c>
      <c r="LY10" s="99">
        <v>54.3</v>
      </c>
      <c r="LZ10" s="99">
        <v>49.9</v>
      </c>
      <c r="MA10" s="99">
        <v>74.3</v>
      </c>
      <c r="MB10" s="99">
        <v>40.1</v>
      </c>
      <c r="MC10" s="99">
        <v>14.7</v>
      </c>
      <c r="MD10" s="99">
        <v>28.9</v>
      </c>
      <c r="ME10" s="99">
        <v>43.7</v>
      </c>
      <c r="MF10" s="99">
        <v>25.8</v>
      </c>
      <c r="MG10" s="99">
        <v>17.2</v>
      </c>
      <c r="MH10" s="99">
        <v>32.200000000000003</v>
      </c>
      <c r="MI10" s="99">
        <v>28.4</v>
      </c>
      <c r="MJ10" s="99">
        <v>23.3</v>
      </c>
      <c r="MK10" s="99">
        <v>38.1</v>
      </c>
      <c r="ML10" s="99">
        <v>38.5</v>
      </c>
      <c r="MM10" s="99">
        <v>34.5</v>
      </c>
      <c r="MN10" s="99">
        <v>46.3</v>
      </c>
      <c r="MO10" s="99">
        <v>59.6</v>
      </c>
      <c r="MP10" s="99">
        <v>37.299999999999997</v>
      </c>
      <c r="MQ10" s="99">
        <v>45.4</v>
      </c>
      <c r="MR10" s="99">
        <v>58.5</v>
      </c>
      <c r="MS10" s="99">
        <v>49.3</v>
      </c>
      <c r="MT10" s="99">
        <v>59.7</v>
      </c>
      <c r="MU10" s="99">
        <v>56.4</v>
      </c>
      <c r="MV10" s="99">
        <v>28.1</v>
      </c>
      <c r="MW10" s="99">
        <v>48.5</v>
      </c>
      <c r="MX10" s="99">
        <v>52.3</v>
      </c>
      <c r="MY10" s="99">
        <v>27.7</v>
      </c>
      <c r="MZ10" s="99">
        <v>29.7</v>
      </c>
      <c r="NA10" s="99">
        <v>34.5</v>
      </c>
      <c r="NB10" s="99">
        <v>44.4</v>
      </c>
      <c r="NC10" s="99">
        <v>35.9</v>
      </c>
      <c r="ND10" s="99">
        <v>18.5</v>
      </c>
      <c r="NE10" s="99">
        <v>36.1</v>
      </c>
      <c r="NF10" s="99">
        <v>21.9</v>
      </c>
      <c r="NG10" s="99">
        <v>19.5</v>
      </c>
      <c r="NH10" s="99">
        <v>97.4</v>
      </c>
      <c r="NI10" s="99">
        <v>91</v>
      </c>
      <c r="NJ10" s="99">
        <v>83.4</v>
      </c>
      <c r="NK10" s="99">
        <v>81.3</v>
      </c>
      <c r="NL10" s="99">
        <v>88</v>
      </c>
      <c r="NM10" s="99">
        <v>91.1</v>
      </c>
      <c r="NN10" s="99">
        <v>96.2</v>
      </c>
      <c r="NO10" s="99">
        <v>89</v>
      </c>
      <c r="NP10" s="99">
        <v>82.9</v>
      </c>
      <c r="NQ10" s="99">
        <v>87.9</v>
      </c>
      <c r="NR10" s="99">
        <v>91.4</v>
      </c>
      <c r="NS10" s="99">
        <v>100</v>
      </c>
      <c r="NT10" s="99">
        <v>100</v>
      </c>
      <c r="NU10" s="99">
        <v>96.8</v>
      </c>
      <c r="NV10" s="99">
        <v>97.5</v>
      </c>
      <c r="NW10" s="99">
        <v>100</v>
      </c>
      <c r="NX10" s="99">
        <v>89.6</v>
      </c>
      <c r="NY10" s="99">
        <v>100</v>
      </c>
      <c r="NZ10" s="99">
        <v>100</v>
      </c>
      <c r="OA10" s="99">
        <v>97.9</v>
      </c>
      <c r="OB10" s="99">
        <v>93.3</v>
      </c>
      <c r="OC10" s="99">
        <v>98.8</v>
      </c>
      <c r="OD10" s="99">
        <v>96.2</v>
      </c>
      <c r="OE10" s="99">
        <v>100</v>
      </c>
      <c r="OF10" s="99">
        <v>91.9</v>
      </c>
      <c r="OG10" s="99">
        <v>99.1</v>
      </c>
      <c r="OH10" s="99">
        <v>100</v>
      </c>
      <c r="OI10" s="99">
        <v>100</v>
      </c>
      <c r="OJ10" s="99">
        <v>91.2</v>
      </c>
      <c r="OK10" s="99">
        <v>98.1</v>
      </c>
      <c r="OL10" s="99">
        <v>100</v>
      </c>
      <c r="OM10" s="99">
        <v>89.5</v>
      </c>
      <c r="ON10" s="99">
        <v>100</v>
      </c>
      <c r="OO10" s="99">
        <v>98.9</v>
      </c>
      <c r="OP10" s="99">
        <v>97</v>
      </c>
      <c r="OQ10" s="99">
        <v>82.5</v>
      </c>
      <c r="OR10" s="99">
        <v>97</v>
      </c>
      <c r="OS10" s="99">
        <v>92.6</v>
      </c>
      <c r="OT10" s="99">
        <v>94.7</v>
      </c>
      <c r="OU10" s="99">
        <v>98.8</v>
      </c>
      <c r="OV10" s="99">
        <v>96</v>
      </c>
      <c r="OW10" s="99">
        <v>98.9</v>
      </c>
      <c r="OX10" s="99">
        <v>100</v>
      </c>
      <c r="OY10" s="99">
        <v>77.8</v>
      </c>
      <c r="OZ10" s="99">
        <v>100</v>
      </c>
      <c r="PA10" s="99">
        <v>100</v>
      </c>
      <c r="PB10" s="99">
        <v>100</v>
      </c>
      <c r="PC10" s="99">
        <v>96</v>
      </c>
      <c r="PD10" s="99">
        <v>85.4</v>
      </c>
      <c r="PE10" s="99">
        <v>100</v>
      </c>
      <c r="PF10" s="99">
        <v>100</v>
      </c>
      <c r="PG10" s="99">
        <v>100</v>
      </c>
      <c r="PH10" s="99">
        <v>97.9</v>
      </c>
      <c r="PI10" s="99">
        <v>100</v>
      </c>
      <c r="PJ10" s="99">
        <v>100</v>
      </c>
      <c r="PK10" s="99">
        <v>100</v>
      </c>
      <c r="PL10" s="99">
        <v>100</v>
      </c>
      <c r="PM10" s="99">
        <v>100</v>
      </c>
      <c r="PN10" s="99">
        <v>100</v>
      </c>
      <c r="PO10" s="99">
        <v>100</v>
      </c>
      <c r="PP10" s="99">
        <v>90.8</v>
      </c>
      <c r="PQ10" s="99">
        <v>89.1</v>
      </c>
      <c r="PR10" s="99">
        <v>100</v>
      </c>
      <c r="PS10" s="99">
        <v>76.5</v>
      </c>
      <c r="PT10" s="99">
        <v>100</v>
      </c>
      <c r="PU10" s="99">
        <v>95.3</v>
      </c>
      <c r="PV10" s="99">
        <v>87.6</v>
      </c>
      <c r="PW10" s="99">
        <v>85.1</v>
      </c>
      <c r="PX10" s="99">
        <v>70.599999999999994</v>
      </c>
      <c r="PY10" s="99">
        <v>95.4</v>
      </c>
      <c r="PZ10" s="99">
        <v>59.7</v>
      </c>
      <c r="QA10" s="99">
        <v>78.7</v>
      </c>
      <c r="QB10" s="99">
        <v>78.099999999999994</v>
      </c>
      <c r="QC10" s="99">
        <v>95.6</v>
      </c>
      <c r="QD10" s="99">
        <v>86.1</v>
      </c>
      <c r="QE10" s="99">
        <v>94.3</v>
      </c>
      <c r="QF10" s="99">
        <v>74.8</v>
      </c>
      <c r="QG10" s="99">
        <v>87.9</v>
      </c>
      <c r="QH10" s="99">
        <v>95</v>
      </c>
      <c r="QI10" s="99">
        <v>94.6</v>
      </c>
      <c r="QJ10" s="99">
        <v>93.3</v>
      </c>
      <c r="QK10" s="99">
        <v>100</v>
      </c>
      <c r="QL10" s="99">
        <v>87.9</v>
      </c>
      <c r="QM10" s="99">
        <v>93.9</v>
      </c>
      <c r="QN10" s="99">
        <v>92.4</v>
      </c>
      <c r="QO10" s="99">
        <v>97.2</v>
      </c>
      <c r="QP10" s="99">
        <v>100</v>
      </c>
      <c r="QQ10" s="99">
        <v>100</v>
      </c>
      <c r="QR10" s="99">
        <v>96.6</v>
      </c>
      <c r="QS10" s="99">
        <v>94.8</v>
      </c>
      <c r="QT10" s="99">
        <v>96.4</v>
      </c>
      <c r="QU10" s="99">
        <v>96.6</v>
      </c>
      <c r="QV10" s="99">
        <v>98.7</v>
      </c>
      <c r="QW10" s="99">
        <v>98.3</v>
      </c>
      <c r="QX10" s="99">
        <v>92.6</v>
      </c>
      <c r="QY10" s="99">
        <v>98.2</v>
      </c>
      <c r="QZ10" s="99">
        <v>91.8</v>
      </c>
      <c r="RA10" s="99">
        <v>99.3</v>
      </c>
      <c r="RB10" s="99">
        <v>94.1</v>
      </c>
      <c r="RC10" s="99">
        <v>86.5</v>
      </c>
      <c r="RD10" s="99">
        <v>87.9</v>
      </c>
      <c r="RE10" s="99">
        <v>80.3</v>
      </c>
      <c r="RF10" s="99">
        <v>83.7</v>
      </c>
      <c r="RG10" s="99">
        <v>84.4</v>
      </c>
      <c r="RH10" s="99">
        <v>90</v>
      </c>
      <c r="RI10" s="99">
        <v>88.4</v>
      </c>
      <c r="RJ10" s="99">
        <v>83</v>
      </c>
      <c r="RK10" s="99">
        <v>89.9</v>
      </c>
      <c r="RL10" s="99">
        <v>65.400000000000006</v>
      </c>
      <c r="RM10" s="99">
        <v>48.2</v>
      </c>
      <c r="RN10" s="99">
        <v>84.7</v>
      </c>
      <c r="RO10" s="99">
        <v>94.5</v>
      </c>
      <c r="RP10" s="99">
        <v>71</v>
      </c>
      <c r="RQ10" s="99">
        <v>56.7</v>
      </c>
      <c r="RR10" s="99">
        <v>84</v>
      </c>
      <c r="RS10" s="99">
        <v>90.7</v>
      </c>
      <c r="RT10" s="99">
        <v>75</v>
      </c>
      <c r="RU10" s="99">
        <v>67.599999999999994</v>
      </c>
      <c r="RV10" s="99">
        <v>95.4</v>
      </c>
      <c r="RW10" s="99">
        <v>97.4</v>
      </c>
      <c r="RX10" s="99">
        <v>93.6</v>
      </c>
      <c r="RY10" s="99">
        <v>97.3</v>
      </c>
      <c r="RZ10" s="99">
        <v>96.7</v>
      </c>
      <c r="SA10" s="99">
        <v>88</v>
      </c>
      <c r="SB10" s="99">
        <v>64.7</v>
      </c>
      <c r="SC10" s="99">
        <v>74.900000000000006</v>
      </c>
      <c r="SD10" s="99">
        <v>77</v>
      </c>
      <c r="SE10" s="99">
        <v>40.299999999999997</v>
      </c>
      <c r="SF10" s="99">
        <v>41.9</v>
      </c>
      <c r="SG10" s="99">
        <v>51.9</v>
      </c>
      <c r="SH10" s="99">
        <v>79.8</v>
      </c>
      <c r="SI10" s="99">
        <v>53.2</v>
      </c>
      <c r="SJ10" s="99">
        <v>92.7</v>
      </c>
      <c r="SK10" s="99">
        <v>98.3</v>
      </c>
      <c r="SL10" s="99">
        <v>98</v>
      </c>
      <c r="SM10" s="99">
        <v>98.8</v>
      </c>
      <c r="SN10" s="99">
        <v>83.5</v>
      </c>
      <c r="SO10" s="99">
        <v>54</v>
      </c>
      <c r="SP10" s="99">
        <v>42.6</v>
      </c>
      <c r="SQ10" s="99">
        <v>28.8</v>
      </c>
      <c r="SR10" s="99">
        <v>72.900000000000006</v>
      </c>
      <c r="SS10" s="99">
        <v>70.599999999999994</v>
      </c>
      <c r="ST10" s="99">
        <v>65.3</v>
      </c>
      <c r="SU10" s="99">
        <v>73.5</v>
      </c>
      <c r="SV10" s="99">
        <v>79.7</v>
      </c>
      <c r="SW10" s="99">
        <v>69.099999999999994</v>
      </c>
      <c r="SX10" s="99">
        <v>76.7</v>
      </c>
      <c r="SY10" s="99">
        <v>91</v>
      </c>
      <c r="SZ10" s="99">
        <v>89.3</v>
      </c>
      <c r="TA10" s="99">
        <v>80.8</v>
      </c>
    </row>
    <row r="11" spans="1:521">
      <c r="A11">
        <v>1</v>
      </c>
      <c r="B11">
        <v>8.8289999999999993E-2</v>
      </c>
      <c r="C11">
        <v>7.87</v>
      </c>
      <c r="D11">
        <v>0.52400000000000002</v>
      </c>
      <c r="E11">
        <v>6.0119999999999996</v>
      </c>
      <c r="F11">
        <v>66.599999999999994</v>
      </c>
      <c r="G11">
        <v>5.5605000000000002</v>
      </c>
      <c r="H11">
        <v>5</v>
      </c>
      <c r="I11">
        <v>311</v>
      </c>
      <c r="J11">
        <v>15.2</v>
      </c>
      <c r="K11">
        <v>395.6</v>
      </c>
      <c r="L11">
        <v>12.43</v>
      </c>
      <c r="M11">
        <v>22.9</v>
      </c>
      <c r="N11" s="107">
        <f t="shared" si="0"/>
        <v>24.000397636623372</v>
      </c>
      <c r="O11"/>
      <c r="P11" s="99">
        <v>4.09</v>
      </c>
      <c r="Q11" s="99">
        <v>4.9671000000000003</v>
      </c>
      <c r="R11" s="99">
        <v>4.9671000000000003</v>
      </c>
      <c r="S11" s="99">
        <v>6.0621999999999998</v>
      </c>
      <c r="T11" s="99">
        <v>6.0621999999999998</v>
      </c>
      <c r="U11" s="99">
        <v>6.0621999999999998</v>
      </c>
      <c r="V11" s="99">
        <v>5.5605000000000002</v>
      </c>
      <c r="W11" s="99">
        <v>5.9504999999999999</v>
      </c>
      <c r="X11" s="99">
        <v>6.0820999999999996</v>
      </c>
      <c r="Y11" s="99">
        <v>6.5921000000000003</v>
      </c>
      <c r="Z11" s="99">
        <v>6.3467000000000002</v>
      </c>
      <c r="AA11" s="99">
        <v>6.2267000000000001</v>
      </c>
      <c r="AB11" s="99">
        <v>5.4508999999999999</v>
      </c>
      <c r="AC11" s="99">
        <v>4.7074999999999996</v>
      </c>
      <c r="AD11" s="99">
        <v>4.4619</v>
      </c>
      <c r="AE11" s="99">
        <v>4.4985999999999997</v>
      </c>
      <c r="AF11" s="99">
        <v>4.4985999999999997</v>
      </c>
      <c r="AG11" s="99">
        <v>4.2579000000000002</v>
      </c>
      <c r="AH11" s="99">
        <v>3.7965</v>
      </c>
      <c r="AI11" s="99">
        <v>3.7965</v>
      </c>
      <c r="AJ11" s="99">
        <v>3.7978999999999998</v>
      </c>
      <c r="AK11" s="99">
        <v>4.0122999999999998</v>
      </c>
      <c r="AL11" s="99">
        <v>3.9769000000000001</v>
      </c>
      <c r="AM11" s="99">
        <v>4.0952000000000002</v>
      </c>
      <c r="AN11" s="99">
        <v>4.3996000000000004</v>
      </c>
      <c r="AO11" s="99">
        <v>4.4546000000000001</v>
      </c>
      <c r="AP11" s="99">
        <v>4.6820000000000004</v>
      </c>
      <c r="AQ11" s="99">
        <v>4.4534000000000002</v>
      </c>
      <c r="AR11" s="99">
        <v>4.4546999999999999</v>
      </c>
      <c r="AS11" s="99">
        <v>4.2389999999999999</v>
      </c>
      <c r="AT11" s="99">
        <v>4.2329999999999997</v>
      </c>
      <c r="AU11" s="99">
        <v>4.1749999999999998</v>
      </c>
      <c r="AV11" s="99">
        <v>3.99</v>
      </c>
      <c r="AW11" s="99">
        <v>3.7871999999999999</v>
      </c>
      <c r="AX11" s="99">
        <v>3.7597999999999998</v>
      </c>
      <c r="AY11" s="99">
        <v>3.3603000000000001</v>
      </c>
      <c r="AZ11" s="99">
        <v>3.3778999999999999</v>
      </c>
      <c r="BA11" s="99">
        <v>3.9342000000000001</v>
      </c>
      <c r="BB11" s="99">
        <v>3.8473000000000002</v>
      </c>
      <c r="BC11" s="99">
        <v>5.4010999999999996</v>
      </c>
      <c r="BD11" s="99">
        <v>5.4010999999999996</v>
      </c>
      <c r="BE11" s="99">
        <v>5.7209000000000003</v>
      </c>
      <c r="BF11" s="99">
        <v>5.7209000000000003</v>
      </c>
      <c r="BG11" s="99">
        <v>5.7209000000000003</v>
      </c>
      <c r="BH11" s="99">
        <v>5.7209000000000003</v>
      </c>
      <c r="BI11" s="99">
        <v>5.1003999999999996</v>
      </c>
      <c r="BJ11" s="99">
        <v>5.1003999999999996</v>
      </c>
      <c r="BK11" s="99">
        <v>5.6894</v>
      </c>
      <c r="BL11" s="99">
        <v>5.87</v>
      </c>
      <c r="BM11" s="99">
        <v>6.0876999999999999</v>
      </c>
      <c r="BN11" s="99">
        <v>6.8147000000000002</v>
      </c>
      <c r="BO11" s="99">
        <v>6.8147000000000002</v>
      </c>
      <c r="BP11" s="99">
        <v>6.8147000000000002</v>
      </c>
      <c r="BQ11" s="99">
        <v>6.8147000000000002</v>
      </c>
      <c r="BR11" s="99">
        <v>7.3197000000000001</v>
      </c>
      <c r="BS11" s="99">
        <v>8.6966000000000001</v>
      </c>
      <c r="BT11" s="99">
        <v>9.1875999999999998</v>
      </c>
      <c r="BU11" s="99">
        <v>8.3247999999999998</v>
      </c>
      <c r="BV11" s="99">
        <v>7.8148</v>
      </c>
      <c r="BW11" s="99">
        <v>6.9320000000000004</v>
      </c>
      <c r="BX11" s="99">
        <v>7.2253999999999996</v>
      </c>
      <c r="BY11" s="99">
        <v>6.8185000000000002</v>
      </c>
      <c r="BZ11" s="99">
        <v>7.2255000000000003</v>
      </c>
      <c r="CA11" s="99">
        <v>7.9809000000000001</v>
      </c>
      <c r="CB11" s="99">
        <v>9.2228999999999992</v>
      </c>
      <c r="CC11" s="99">
        <v>6.6115000000000004</v>
      </c>
      <c r="CD11" s="99">
        <v>6.6115000000000004</v>
      </c>
      <c r="CE11" s="99">
        <v>6.4980000000000002</v>
      </c>
      <c r="CF11" s="99">
        <v>6.4980000000000002</v>
      </c>
      <c r="CG11" s="99">
        <v>6.4980000000000002</v>
      </c>
      <c r="CH11" s="99">
        <v>5.2873000000000001</v>
      </c>
      <c r="CI11" s="99">
        <v>5.2873000000000001</v>
      </c>
      <c r="CJ11" s="99">
        <v>5.2873000000000001</v>
      </c>
      <c r="CK11" s="99">
        <v>5.2873000000000001</v>
      </c>
      <c r="CL11" s="99">
        <v>4.2515000000000001</v>
      </c>
      <c r="CM11" s="99">
        <v>4.5026000000000002</v>
      </c>
      <c r="CN11" s="99">
        <v>4.0522</v>
      </c>
      <c r="CO11" s="99">
        <v>4.0904999999999996</v>
      </c>
      <c r="CP11" s="99">
        <v>5.0141</v>
      </c>
      <c r="CQ11" s="99">
        <v>4.5026000000000002</v>
      </c>
      <c r="CR11" s="99">
        <v>5.4006999999999996</v>
      </c>
      <c r="CS11" s="99">
        <v>5.4006999999999996</v>
      </c>
      <c r="CT11" s="99">
        <v>5.4006999999999996</v>
      </c>
      <c r="CU11" s="99">
        <v>5.4006999999999996</v>
      </c>
      <c r="CV11" s="99">
        <v>4.7793999999999999</v>
      </c>
      <c r="CW11" s="99">
        <v>4.4377000000000004</v>
      </c>
      <c r="CX11" s="99">
        <v>4.4272</v>
      </c>
      <c r="CY11" s="99">
        <v>3.7475999999999998</v>
      </c>
      <c r="CZ11" s="99">
        <v>3.4217</v>
      </c>
      <c r="DA11" s="99">
        <v>3.4144999999999999</v>
      </c>
      <c r="DB11" s="99">
        <v>3.0922999999999998</v>
      </c>
      <c r="DC11" s="99">
        <v>3.0920999999999998</v>
      </c>
      <c r="DD11" s="99">
        <v>3.6659000000000002</v>
      </c>
      <c r="DE11" s="99">
        <v>3.6659000000000002</v>
      </c>
      <c r="DF11" s="99">
        <v>3.6150000000000002</v>
      </c>
      <c r="DG11" s="99">
        <v>3.4952000000000001</v>
      </c>
      <c r="DH11" s="99">
        <v>3.4952000000000001</v>
      </c>
      <c r="DI11" s="99">
        <v>3.4952000000000001</v>
      </c>
      <c r="DJ11" s="99">
        <v>3.4952000000000001</v>
      </c>
      <c r="DK11" s="99">
        <v>3.4952000000000001</v>
      </c>
      <c r="DL11" s="99">
        <v>2.7778</v>
      </c>
      <c r="DM11" s="99">
        <v>2.8561000000000001</v>
      </c>
      <c r="DN11" s="99">
        <v>2.7147000000000001</v>
      </c>
      <c r="DO11" s="99">
        <v>2.7147000000000001</v>
      </c>
      <c r="DP11" s="99">
        <v>2.4209999999999998</v>
      </c>
      <c r="DQ11" s="99">
        <v>2.1069</v>
      </c>
      <c r="DR11" s="99">
        <v>2.2109999999999999</v>
      </c>
      <c r="DS11" s="99">
        <v>2.1223999999999998</v>
      </c>
      <c r="DT11" s="99">
        <v>2.4329000000000001</v>
      </c>
      <c r="DU11" s="99">
        <v>2.5451000000000001</v>
      </c>
      <c r="DV11" s="99">
        <v>2.7778</v>
      </c>
      <c r="DW11" s="99">
        <v>2.6775000000000002</v>
      </c>
      <c r="DX11" s="99">
        <v>2.3534000000000002</v>
      </c>
      <c r="DY11" s="99">
        <v>2.548</v>
      </c>
      <c r="DZ11" s="99">
        <v>2.2565</v>
      </c>
      <c r="EA11" s="99">
        <v>2.4630999999999998</v>
      </c>
      <c r="EB11" s="99">
        <v>2.7301000000000002</v>
      </c>
      <c r="EC11" s="99">
        <v>2.7473999999999998</v>
      </c>
      <c r="ED11" s="99">
        <v>2.4775</v>
      </c>
      <c r="EE11" s="99">
        <v>2.7591999999999999</v>
      </c>
      <c r="EF11" s="99">
        <v>2.2576999999999998</v>
      </c>
      <c r="EG11" s="99">
        <v>2.1974</v>
      </c>
      <c r="EH11" s="99">
        <v>2.0869</v>
      </c>
      <c r="EI11" s="99">
        <v>1.9443999999999999</v>
      </c>
      <c r="EJ11" s="99">
        <v>2.0063</v>
      </c>
      <c r="EK11" s="99">
        <v>1.9928999999999999</v>
      </c>
      <c r="EL11" s="99">
        <v>1.7572000000000001</v>
      </c>
      <c r="EM11" s="99">
        <v>1.7883</v>
      </c>
      <c r="EN11" s="99">
        <v>1.8125</v>
      </c>
      <c r="EO11" s="99">
        <v>1.9799</v>
      </c>
      <c r="EP11" s="99">
        <v>2.1185</v>
      </c>
      <c r="EQ11" s="99">
        <v>2.2709999999999999</v>
      </c>
      <c r="ER11" s="99">
        <v>2.3273999999999999</v>
      </c>
      <c r="ES11" s="99">
        <v>2.4699</v>
      </c>
      <c r="ET11" s="99">
        <v>2.3460000000000001</v>
      </c>
      <c r="EU11" s="99">
        <v>2.1107</v>
      </c>
      <c r="EV11" s="99">
        <v>1.9669000000000001</v>
      </c>
      <c r="EW11" s="99">
        <v>1.8498000000000001</v>
      </c>
      <c r="EX11" s="99">
        <v>1.6686000000000001</v>
      </c>
      <c r="EY11" s="99">
        <v>1.6687000000000001</v>
      </c>
      <c r="EZ11" s="99">
        <v>1.6119000000000001</v>
      </c>
      <c r="FA11" s="99">
        <v>1.4394</v>
      </c>
      <c r="FB11" s="99">
        <v>1.3216000000000001</v>
      </c>
      <c r="FC11" s="99">
        <v>1.4117999999999999</v>
      </c>
      <c r="FD11" s="99">
        <v>1.3459000000000001</v>
      </c>
      <c r="FE11" s="99">
        <v>1.4191</v>
      </c>
      <c r="FF11" s="99">
        <v>1.5165999999999999</v>
      </c>
      <c r="FG11" s="99">
        <v>1.4608000000000001</v>
      </c>
      <c r="FH11" s="99">
        <v>1.5296000000000001</v>
      </c>
      <c r="FI11" s="99">
        <v>1.5257000000000001</v>
      </c>
      <c r="FJ11" s="99">
        <v>1.6180000000000001</v>
      </c>
      <c r="FK11" s="99">
        <v>1.5915999999999999</v>
      </c>
      <c r="FL11" s="99">
        <v>1.6102000000000001</v>
      </c>
      <c r="FM11" s="99">
        <v>1.6232</v>
      </c>
      <c r="FN11" s="99">
        <v>1.7494000000000001</v>
      </c>
      <c r="FO11" s="99">
        <v>1.7455000000000001</v>
      </c>
      <c r="FP11" s="99">
        <v>1.7363999999999999</v>
      </c>
      <c r="FQ11" s="99">
        <v>1.8773</v>
      </c>
      <c r="FR11" s="99">
        <v>1.7573000000000001</v>
      </c>
      <c r="FS11" s="99">
        <v>1.7659</v>
      </c>
      <c r="FT11" s="99">
        <v>1.7984</v>
      </c>
      <c r="FU11" s="99">
        <v>1.9709000000000001</v>
      </c>
      <c r="FV11" s="99">
        <v>2.0407000000000002</v>
      </c>
      <c r="FW11" s="99">
        <v>2.1619999999999999</v>
      </c>
      <c r="FX11" s="99">
        <v>2.4220000000000002</v>
      </c>
      <c r="FY11" s="99">
        <v>2.2833999999999999</v>
      </c>
      <c r="FZ11" s="99">
        <v>2.0459000000000001</v>
      </c>
      <c r="GA11" s="99">
        <v>2.4258999999999999</v>
      </c>
      <c r="GB11" s="99">
        <v>2.1</v>
      </c>
      <c r="GC11" s="99">
        <v>2.2625000000000002</v>
      </c>
      <c r="GD11" s="99">
        <v>2.4258999999999999</v>
      </c>
      <c r="GE11" s="99">
        <v>2.3887</v>
      </c>
      <c r="GF11" s="99">
        <v>2.5960999999999999</v>
      </c>
      <c r="GG11" s="99">
        <v>2.6463000000000001</v>
      </c>
      <c r="GH11" s="99">
        <v>2.7019000000000002</v>
      </c>
      <c r="GI11" s="99">
        <v>3.1322999999999999</v>
      </c>
      <c r="GJ11" s="99">
        <v>3.5548999999999999</v>
      </c>
      <c r="GK11" s="99">
        <v>3.3174999999999999</v>
      </c>
      <c r="GL11" s="99">
        <v>2.9152999999999998</v>
      </c>
      <c r="GM11" s="99">
        <v>2.8290000000000002</v>
      </c>
      <c r="GN11" s="99">
        <v>2.7410000000000001</v>
      </c>
      <c r="GO11" s="99">
        <v>2.5979000000000001</v>
      </c>
      <c r="GP11" s="99">
        <v>2.7006000000000001</v>
      </c>
      <c r="GQ11" s="99">
        <v>2.847</v>
      </c>
      <c r="GR11" s="99">
        <v>2.9878999999999998</v>
      </c>
      <c r="GS11" s="99">
        <v>3.2797000000000001</v>
      </c>
      <c r="GT11" s="99">
        <v>3.1991999999999998</v>
      </c>
      <c r="GU11" s="99">
        <v>3.7886000000000002</v>
      </c>
      <c r="GV11" s="99">
        <v>4.5667</v>
      </c>
      <c r="GW11" s="99">
        <v>4.5667</v>
      </c>
      <c r="GX11" s="99">
        <v>6.4798</v>
      </c>
      <c r="GY11" s="99">
        <v>6.4798</v>
      </c>
      <c r="GZ11" s="99">
        <v>6.4798</v>
      </c>
      <c r="HA11" s="99">
        <v>6.2195999999999998</v>
      </c>
      <c r="HB11" s="99">
        <v>6.2195999999999998</v>
      </c>
      <c r="HC11" s="99">
        <v>5.6483999999999996</v>
      </c>
      <c r="HD11" s="99">
        <v>7.3090000000000002</v>
      </c>
      <c r="HE11" s="99">
        <v>7.3090000000000002</v>
      </c>
      <c r="HF11" s="99">
        <v>7.3090000000000002</v>
      </c>
      <c r="HG11" s="99">
        <v>7.6534000000000004</v>
      </c>
      <c r="HH11" s="99">
        <v>7.6534000000000004</v>
      </c>
      <c r="HI11" s="99">
        <v>6.27</v>
      </c>
      <c r="HJ11" s="99">
        <v>6.27</v>
      </c>
      <c r="HK11" s="99">
        <v>5.1180000000000003</v>
      </c>
      <c r="HL11" s="99">
        <v>5.1180000000000003</v>
      </c>
      <c r="HM11" s="99">
        <v>3.9453999999999998</v>
      </c>
      <c r="HN11" s="99">
        <v>4.3548999999999998</v>
      </c>
      <c r="HO11" s="99">
        <v>4.3548999999999998</v>
      </c>
      <c r="HP11" s="99">
        <v>4.2392000000000003</v>
      </c>
      <c r="HQ11" s="99">
        <v>3.875</v>
      </c>
      <c r="HR11" s="99">
        <v>3.8771</v>
      </c>
      <c r="HS11" s="99">
        <v>3.665</v>
      </c>
      <c r="HT11" s="99">
        <v>3.6526000000000001</v>
      </c>
      <c r="HU11" s="99">
        <v>3.9453999999999998</v>
      </c>
      <c r="HV11" s="99">
        <v>3.5874999999999999</v>
      </c>
      <c r="HW11" s="99">
        <v>3.9453999999999998</v>
      </c>
      <c r="HX11" s="99">
        <v>3.1120999999999999</v>
      </c>
      <c r="HY11" s="99">
        <v>3.4211</v>
      </c>
      <c r="HZ11" s="99">
        <v>2.8893</v>
      </c>
      <c r="IA11" s="99">
        <v>3.3633000000000002</v>
      </c>
      <c r="IB11" s="99">
        <v>2.8616999999999999</v>
      </c>
      <c r="IC11" s="99">
        <v>3.048</v>
      </c>
      <c r="ID11" s="99">
        <v>3.2721</v>
      </c>
      <c r="IE11" s="99">
        <v>3.2721</v>
      </c>
      <c r="IF11" s="99">
        <v>2.8944000000000001</v>
      </c>
      <c r="IG11" s="99">
        <v>2.8944000000000001</v>
      </c>
      <c r="IH11" s="99">
        <v>3.2157</v>
      </c>
      <c r="II11" s="99">
        <v>3.2157</v>
      </c>
      <c r="IJ11" s="99">
        <v>3.3751000000000002</v>
      </c>
      <c r="IK11" s="99">
        <v>3.3751000000000002</v>
      </c>
      <c r="IL11" s="99">
        <v>3.6715</v>
      </c>
      <c r="IM11" s="99">
        <v>3.6715</v>
      </c>
      <c r="IN11" s="99">
        <v>3.8384</v>
      </c>
      <c r="IO11" s="99">
        <v>3.6518999999999999</v>
      </c>
      <c r="IP11" s="99">
        <v>3.6518999999999999</v>
      </c>
      <c r="IQ11" s="99">
        <v>3.6518999999999999</v>
      </c>
      <c r="IR11" s="99">
        <v>4.1479999999999997</v>
      </c>
      <c r="IS11" s="99">
        <v>4.1479999999999997</v>
      </c>
      <c r="IT11" s="99">
        <v>6.1898999999999997</v>
      </c>
      <c r="IU11" s="99">
        <v>6.1898999999999997</v>
      </c>
      <c r="IV11" s="99">
        <v>6.3361000000000001</v>
      </c>
      <c r="IW11" s="99">
        <v>6.3361000000000001</v>
      </c>
      <c r="IX11" s="99">
        <v>7.0354999999999999</v>
      </c>
      <c r="IY11" s="99">
        <v>7.0354999999999999</v>
      </c>
      <c r="IZ11" s="99">
        <v>7.9549000000000003</v>
      </c>
      <c r="JA11" s="99">
        <v>7.9549000000000003</v>
      </c>
      <c r="JB11" s="99">
        <v>8.0555000000000003</v>
      </c>
      <c r="JC11" s="99">
        <v>8.0555000000000003</v>
      </c>
      <c r="JD11" s="99">
        <v>7.8265000000000002</v>
      </c>
      <c r="JE11" s="99">
        <v>7.8265000000000002</v>
      </c>
      <c r="JF11" s="99">
        <v>7.3967000000000001</v>
      </c>
      <c r="JG11" s="99">
        <v>7.3967000000000001</v>
      </c>
      <c r="JH11" s="99">
        <v>8.9067000000000007</v>
      </c>
      <c r="JI11" s="99">
        <v>8.9067000000000007</v>
      </c>
      <c r="JJ11" s="99">
        <v>9.2202999999999999</v>
      </c>
      <c r="JK11" s="99">
        <v>9.2202999999999999</v>
      </c>
      <c r="JL11" s="99">
        <v>6.3361000000000001</v>
      </c>
      <c r="JM11" s="99">
        <v>1.8009999999999999</v>
      </c>
      <c r="JN11" s="99">
        <v>1.8946000000000001</v>
      </c>
      <c r="JO11" s="99">
        <v>2.0106999999999999</v>
      </c>
      <c r="JP11" s="99">
        <v>2.1120999999999999</v>
      </c>
      <c r="JQ11" s="99">
        <v>2.1398000000000001</v>
      </c>
      <c r="JR11" s="99">
        <v>2.2885</v>
      </c>
      <c r="JS11" s="99">
        <v>2.0788000000000002</v>
      </c>
      <c r="JT11" s="99">
        <v>1.9300999999999999</v>
      </c>
      <c r="JU11" s="99">
        <v>1.9864999999999999</v>
      </c>
      <c r="JV11" s="99">
        <v>2.1328999999999998</v>
      </c>
      <c r="JW11" s="99">
        <v>2.4216000000000002</v>
      </c>
      <c r="JX11" s="99">
        <v>2.8719999999999999</v>
      </c>
      <c r="JY11" s="99">
        <v>3.9175</v>
      </c>
      <c r="JZ11" s="99">
        <v>4.4290000000000003</v>
      </c>
      <c r="KA11" s="99">
        <v>4.4290000000000003</v>
      </c>
      <c r="KB11" s="99">
        <v>3.9175</v>
      </c>
      <c r="KC11" s="99">
        <v>4.3665000000000003</v>
      </c>
      <c r="KD11" s="99">
        <v>4.0776000000000003</v>
      </c>
      <c r="KE11" s="99">
        <v>4.2672999999999996</v>
      </c>
      <c r="KF11" s="99">
        <v>4.7872000000000003</v>
      </c>
      <c r="KG11" s="99">
        <v>4.8628</v>
      </c>
      <c r="KH11" s="99">
        <v>4.1402999999999999</v>
      </c>
      <c r="KI11" s="99">
        <v>4.1006999999999998</v>
      </c>
      <c r="KJ11" s="99">
        <v>4.6947000000000001</v>
      </c>
      <c r="KK11" s="99">
        <v>5.2446999999999999</v>
      </c>
      <c r="KL11" s="99">
        <v>5.2119</v>
      </c>
      <c r="KM11" s="99">
        <v>5.8849999999999998</v>
      </c>
      <c r="KN11" s="99">
        <v>7.3072999999999997</v>
      </c>
      <c r="KO11" s="99">
        <v>7.3072999999999997</v>
      </c>
      <c r="KP11" s="99">
        <v>9.0891999999999999</v>
      </c>
      <c r="KQ11" s="99">
        <v>7.3171999999999997</v>
      </c>
      <c r="KR11" s="99">
        <v>7.3171999999999997</v>
      </c>
      <c r="KS11" s="99">
        <v>7.3171999999999997</v>
      </c>
      <c r="KT11" s="99">
        <v>5.1166999999999998</v>
      </c>
      <c r="KU11" s="99">
        <v>5.1166999999999998</v>
      </c>
      <c r="KV11" s="99">
        <v>5.1166999999999998</v>
      </c>
      <c r="KW11" s="99">
        <v>5.5026999999999999</v>
      </c>
      <c r="KX11" s="99">
        <v>5.5026999999999999</v>
      </c>
      <c r="KY11" s="99">
        <v>5.9603999999999999</v>
      </c>
      <c r="KZ11" s="99">
        <v>5.9603999999999999</v>
      </c>
      <c r="LA11" s="99">
        <v>6.32</v>
      </c>
      <c r="LB11" s="99">
        <v>7.8277999999999999</v>
      </c>
      <c r="LC11" s="99">
        <v>7.8277999999999999</v>
      </c>
      <c r="LD11" s="99">
        <v>7.8277999999999999</v>
      </c>
      <c r="LE11" s="99">
        <v>5.4916999999999998</v>
      </c>
      <c r="LF11" s="99">
        <v>5.4916999999999998</v>
      </c>
      <c r="LG11" s="99">
        <v>5.4916999999999998</v>
      </c>
      <c r="LH11" s="99">
        <v>4.0220000000000002</v>
      </c>
      <c r="LI11" s="99">
        <v>3.37</v>
      </c>
      <c r="LJ11" s="99">
        <v>3.0992000000000002</v>
      </c>
      <c r="LK11" s="99">
        <v>3.1827000000000001</v>
      </c>
      <c r="LL11" s="99">
        <v>3.3174999999999999</v>
      </c>
      <c r="LM11" s="99">
        <v>3.1025</v>
      </c>
      <c r="LN11" s="99">
        <v>2.5194000000000001</v>
      </c>
      <c r="LO11" s="99">
        <v>2.6402999999999999</v>
      </c>
      <c r="LP11" s="99">
        <v>2.8340000000000001</v>
      </c>
      <c r="LQ11" s="99">
        <v>3.2627999999999999</v>
      </c>
      <c r="LR11" s="99">
        <v>3.6023000000000001</v>
      </c>
      <c r="LS11" s="99">
        <v>3.9449999999999998</v>
      </c>
      <c r="LT11" s="99">
        <v>3.9986000000000002</v>
      </c>
      <c r="LU11" s="99">
        <v>4.0316999999999998</v>
      </c>
      <c r="LV11" s="99">
        <v>3.5325000000000002</v>
      </c>
      <c r="LW11" s="99">
        <v>4.0019</v>
      </c>
      <c r="LX11" s="99">
        <v>4.5404</v>
      </c>
      <c r="LY11" s="99">
        <v>4.5404</v>
      </c>
      <c r="LZ11" s="99">
        <v>4.7210999999999999</v>
      </c>
      <c r="MA11" s="99">
        <v>4.7210999999999999</v>
      </c>
      <c r="MB11" s="99">
        <v>4.7210999999999999</v>
      </c>
      <c r="MC11" s="99">
        <v>5.4158999999999997</v>
      </c>
      <c r="MD11" s="99">
        <v>5.4158999999999997</v>
      </c>
      <c r="ME11" s="99">
        <v>5.4158999999999997</v>
      </c>
      <c r="MF11" s="99">
        <v>5.2145999999999999</v>
      </c>
      <c r="MG11" s="99">
        <v>5.2145999999999999</v>
      </c>
      <c r="MH11" s="99">
        <v>5.8735999999999997</v>
      </c>
      <c r="MI11" s="99">
        <v>6.6406999999999998</v>
      </c>
      <c r="MJ11" s="99">
        <v>6.6406999999999998</v>
      </c>
      <c r="MK11" s="99">
        <v>6.4584000000000001</v>
      </c>
      <c r="ML11" s="99">
        <v>6.4584000000000001</v>
      </c>
      <c r="MM11" s="99">
        <v>5.9852999999999996</v>
      </c>
      <c r="MN11" s="99">
        <v>5.2310999999999996</v>
      </c>
      <c r="MO11" s="99">
        <v>5.6150000000000002</v>
      </c>
      <c r="MP11" s="99">
        <v>4.8121999999999998</v>
      </c>
      <c r="MQ11" s="99">
        <v>4.8121999999999998</v>
      </c>
      <c r="MR11" s="99">
        <v>4.8121999999999998</v>
      </c>
      <c r="MS11" s="99">
        <v>7.0378999999999996</v>
      </c>
      <c r="MT11" s="99">
        <v>6.2668999999999997</v>
      </c>
      <c r="MU11" s="99">
        <v>5.7321</v>
      </c>
      <c r="MV11" s="99">
        <v>6.4653999999999998</v>
      </c>
      <c r="MW11" s="99">
        <v>8.0136000000000003</v>
      </c>
      <c r="MX11" s="99">
        <v>8.0136000000000003</v>
      </c>
      <c r="MY11" s="99">
        <v>8.5352999999999994</v>
      </c>
      <c r="MZ11" s="99">
        <v>8.3439999999999994</v>
      </c>
      <c r="NA11" s="99">
        <v>8.7920999999999996</v>
      </c>
      <c r="NB11" s="99">
        <v>8.7920999999999996</v>
      </c>
      <c r="NC11" s="99">
        <v>10.7103</v>
      </c>
      <c r="ND11" s="99">
        <v>10.7103</v>
      </c>
      <c r="NE11" s="99">
        <v>12.1265</v>
      </c>
      <c r="NF11" s="99">
        <v>10.585699999999999</v>
      </c>
      <c r="NG11" s="99">
        <v>10.585699999999999</v>
      </c>
      <c r="NH11" s="99">
        <v>2.1221999999999999</v>
      </c>
      <c r="NI11" s="99">
        <v>2.5051999999999999</v>
      </c>
      <c r="NJ11" s="99">
        <v>2.7227000000000001</v>
      </c>
      <c r="NK11" s="99">
        <v>2.5091000000000001</v>
      </c>
      <c r="NL11" s="99">
        <v>2.5182000000000002</v>
      </c>
      <c r="NM11" s="99">
        <v>2.2955000000000001</v>
      </c>
      <c r="NN11" s="99">
        <v>2.1036000000000001</v>
      </c>
      <c r="NO11" s="99">
        <v>1.9047000000000001</v>
      </c>
      <c r="NP11" s="99">
        <v>1.9047000000000001</v>
      </c>
      <c r="NQ11" s="99">
        <v>1.6132</v>
      </c>
      <c r="NR11" s="99">
        <v>1.7523</v>
      </c>
      <c r="NS11" s="99">
        <v>1.5105999999999999</v>
      </c>
      <c r="NT11" s="99">
        <v>1.3325</v>
      </c>
      <c r="NU11" s="99">
        <v>1.3567</v>
      </c>
      <c r="NV11" s="99">
        <v>1.2023999999999999</v>
      </c>
      <c r="NW11" s="99">
        <v>1.1691</v>
      </c>
      <c r="NX11" s="99">
        <v>1.1295999999999999</v>
      </c>
      <c r="NY11" s="99">
        <v>1.1741999999999999</v>
      </c>
      <c r="NZ11" s="99">
        <v>1.137</v>
      </c>
      <c r="OA11" s="99">
        <v>1.3163</v>
      </c>
      <c r="OB11" s="99">
        <v>1.3449</v>
      </c>
      <c r="OC11" s="99">
        <v>1.3580000000000001</v>
      </c>
      <c r="OD11" s="99">
        <v>1.3861000000000001</v>
      </c>
      <c r="OE11" s="99">
        <v>1.3861000000000001</v>
      </c>
      <c r="OF11" s="99">
        <v>1.4165000000000001</v>
      </c>
      <c r="OG11" s="99">
        <v>1.5192000000000001</v>
      </c>
      <c r="OH11" s="99">
        <v>1.5804</v>
      </c>
      <c r="OI11" s="99">
        <v>1.5330999999999999</v>
      </c>
      <c r="OJ11" s="99">
        <v>1.4395</v>
      </c>
      <c r="OK11" s="99">
        <v>1.4260999999999999</v>
      </c>
      <c r="OL11" s="99">
        <v>1.4672000000000001</v>
      </c>
      <c r="OM11" s="99">
        <v>1.5184</v>
      </c>
      <c r="ON11" s="99">
        <v>1.5894999999999999</v>
      </c>
      <c r="OO11" s="99">
        <v>1.7281</v>
      </c>
      <c r="OP11" s="99">
        <v>1.9265000000000001</v>
      </c>
      <c r="OQ11" s="99">
        <v>2.1678000000000002</v>
      </c>
      <c r="OR11" s="99">
        <v>1.77</v>
      </c>
      <c r="OS11" s="99">
        <v>1.7911999999999999</v>
      </c>
      <c r="OT11" s="99">
        <v>1.7821</v>
      </c>
      <c r="OU11" s="99">
        <v>1.7257</v>
      </c>
      <c r="OV11" s="99">
        <v>1.6768000000000001</v>
      </c>
      <c r="OW11" s="99">
        <v>1.6334</v>
      </c>
      <c r="OX11" s="99">
        <v>1.4896</v>
      </c>
      <c r="OY11" s="99">
        <v>1.5004</v>
      </c>
      <c r="OZ11" s="99">
        <v>1.5888</v>
      </c>
      <c r="PA11" s="99">
        <v>1.5741000000000001</v>
      </c>
      <c r="PB11" s="99">
        <v>1.639</v>
      </c>
      <c r="PC11" s="99">
        <v>1.7028000000000001</v>
      </c>
      <c r="PD11" s="99">
        <v>1.6073999999999999</v>
      </c>
      <c r="PE11" s="99">
        <v>1.4254</v>
      </c>
      <c r="PF11" s="99">
        <v>1.1780999999999999</v>
      </c>
      <c r="PG11" s="99">
        <v>1.2851999999999999</v>
      </c>
      <c r="PH11" s="99">
        <v>1.4547000000000001</v>
      </c>
      <c r="PI11" s="99">
        <v>1.4655</v>
      </c>
      <c r="PJ11" s="99">
        <v>1.413</v>
      </c>
      <c r="PK11" s="99">
        <v>1.5275000000000001</v>
      </c>
      <c r="PL11" s="99">
        <v>1.5539000000000001</v>
      </c>
      <c r="PM11" s="99">
        <v>1.5893999999999999</v>
      </c>
      <c r="PN11" s="99">
        <v>1.6581999999999999</v>
      </c>
      <c r="PO11" s="99">
        <v>1.8347</v>
      </c>
      <c r="PP11" s="99">
        <v>1.8194999999999999</v>
      </c>
      <c r="PQ11" s="99">
        <v>1.6475</v>
      </c>
      <c r="PR11" s="99">
        <v>1.8026</v>
      </c>
      <c r="PS11" s="99">
        <v>1.794</v>
      </c>
      <c r="PT11" s="99">
        <v>1.8589</v>
      </c>
      <c r="PU11" s="99">
        <v>1.8746</v>
      </c>
      <c r="PV11" s="99">
        <v>1.9512</v>
      </c>
      <c r="PW11" s="99">
        <v>2.0217999999999998</v>
      </c>
      <c r="PX11" s="99">
        <v>2.0634999999999999</v>
      </c>
      <c r="PY11" s="99">
        <v>1.9096</v>
      </c>
      <c r="PZ11" s="99">
        <v>1.9976</v>
      </c>
      <c r="QA11" s="99">
        <v>1.8629</v>
      </c>
      <c r="QB11" s="99">
        <v>1.9356</v>
      </c>
      <c r="QC11" s="99">
        <v>1.9681999999999999</v>
      </c>
      <c r="QD11" s="99">
        <v>2.0527000000000002</v>
      </c>
      <c r="QE11" s="99">
        <v>2.0882000000000001</v>
      </c>
      <c r="QF11" s="99">
        <v>2.2004000000000001</v>
      </c>
      <c r="QG11" s="99">
        <v>2.3157999999999999</v>
      </c>
      <c r="QH11" s="99">
        <v>2.2222</v>
      </c>
      <c r="QI11" s="99">
        <v>2.1246999999999998</v>
      </c>
      <c r="QJ11" s="99">
        <v>2.0026000000000002</v>
      </c>
      <c r="QK11" s="99">
        <v>1.9141999999999999</v>
      </c>
      <c r="QL11" s="99">
        <v>1.8206</v>
      </c>
      <c r="QM11" s="99">
        <v>1.8171999999999999</v>
      </c>
      <c r="QN11" s="99">
        <v>1.8662000000000001</v>
      </c>
      <c r="QO11" s="99">
        <v>2.0651000000000002</v>
      </c>
      <c r="QP11" s="99">
        <v>2.0047999999999999</v>
      </c>
      <c r="QQ11" s="99">
        <v>1.9783999999999999</v>
      </c>
      <c r="QR11" s="99">
        <v>1.8956</v>
      </c>
      <c r="QS11" s="99">
        <v>1.9879</v>
      </c>
      <c r="QT11" s="99">
        <v>2.0720000000000001</v>
      </c>
      <c r="QU11" s="99">
        <v>2.198</v>
      </c>
      <c r="QV11" s="99">
        <v>2.2616000000000001</v>
      </c>
      <c r="QW11" s="99">
        <v>2.1850000000000001</v>
      </c>
      <c r="QX11" s="99">
        <v>2.3235999999999999</v>
      </c>
      <c r="QY11" s="99">
        <v>2.3552</v>
      </c>
      <c r="QZ11" s="99">
        <v>2.3681999999999999</v>
      </c>
      <c r="RA11" s="99">
        <v>2.4527000000000001</v>
      </c>
      <c r="RB11" s="99">
        <v>2.4961000000000002</v>
      </c>
      <c r="RC11" s="99">
        <v>2.4358</v>
      </c>
      <c r="RD11" s="99">
        <v>2.5806</v>
      </c>
      <c r="RE11" s="99">
        <v>2.7791999999999999</v>
      </c>
      <c r="RF11" s="99">
        <v>2.7831000000000001</v>
      </c>
      <c r="RG11" s="99">
        <v>2.7174999999999998</v>
      </c>
      <c r="RH11" s="99">
        <v>2.5975000000000001</v>
      </c>
      <c r="RI11" s="99">
        <v>2.5670999999999999</v>
      </c>
      <c r="RJ11" s="99">
        <v>2.7343999999999999</v>
      </c>
      <c r="RK11" s="99">
        <v>2.8016000000000001</v>
      </c>
      <c r="RL11" s="99">
        <v>2.9634</v>
      </c>
      <c r="RM11" s="99">
        <v>3.0665</v>
      </c>
      <c r="RN11" s="99">
        <v>2.8715000000000002</v>
      </c>
      <c r="RO11" s="99">
        <v>2.5402999999999998</v>
      </c>
      <c r="RP11" s="99">
        <v>2.9083999999999999</v>
      </c>
      <c r="RQ11" s="99">
        <v>2.8237000000000001</v>
      </c>
      <c r="RR11" s="99">
        <v>3.0333999999999999</v>
      </c>
      <c r="RS11" s="99">
        <v>3.0992999999999999</v>
      </c>
      <c r="RT11" s="99">
        <v>2.8965000000000001</v>
      </c>
      <c r="RU11" s="99">
        <v>2.5329000000000002</v>
      </c>
      <c r="RV11" s="99">
        <v>2.4298000000000002</v>
      </c>
      <c r="RW11" s="99">
        <v>2.206</v>
      </c>
      <c r="RX11" s="99">
        <v>2.3052999999999999</v>
      </c>
      <c r="RY11" s="99">
        <v>2.1006999999999998</v>
      </c>
      <c r="RZ11" s="99">
        <v>2.1705000000000001</v>
      </c>
      <c r="SA11" s="99">
        <v>1.9512</v>
      </c>
      <c r="SB11" s="99">
        <v>3.4241999999999999</v>
      </c>
      <c r="SC11" s="99">
        <v>3.3317000000000001</v>
      </c>
      <c r="SD11" s="99">
        <v>3.4106000000000001</v>
      </c>
      <c r="SE11" s="99">
        <v>4.0983000000000001</v>
      </c>
      <c r="SF11" s="99">
        <v>3.7240000000000002</v>
      </c>
      <c r="SG11" s="99">
        <v>3.9916999999999998</v>
      </c>
      <c r="SH11" s="99">
        <v>3.5459000000000001</v>
      </c>
      <c r="SI11" s="99">
        <v>3.1522999999999999</v>
      </c>
      <c r="SJ11" s="99">
        <v>1.8209</v>
      </c>
      <c r="SK11" s="99">
        <v>1.7554000000000001</v>
      </c>
      <c r="SL11" s="99">
        <v>1.8226</v>
      </c>
      <c r="SM11" s="99">
        <v>1.8681000000000001</v>
      </c>
      <c r="SN11" s="99">
        <v>2.1099000000000001</v>
      </c>
      <c r="SO11" s="99">
        <v>2.3816999999999999</v>
      </c>
      <c r="SP11" s="99">
        <v>2.3816999999999999</v>
      </c>
      <c r="SQ11" s="99">
        <v>2.7986</v>
      </c>
      <c r="SR11" s="99">
        <v>2.7986</v>
      </c>
      <c r="SS11" s="99">
        <v>2.8927</v>
      </c>
      <c r="ST11" s="99">
        <v>2.4091</v>
      </c>
      <c r="SU11" s="99">
        <v>2.3999000000000001</v>
      </c>
      <c r="SV11" s="99">
        <v>2.4982000000000002</v>
      </c>
      <c r="SW11" s="99">
        <v>2.4786000000000001</v>
      </c>
      <c r="SX11" s="99">
        <v>2.2875000000000001</v>
      </c>
      <c r="SY11" s="99">
        <v>2.1675</v>
      </c>
      <c r="SZ11" s="99">
        <v>2.3889</v>
      </c>
      <c r="TA11" s="99">
        <v>2.5049999999999999</v>
      </c>
    </row>
    <row r="12" spans="1:521">
      <c r="A12">
        <v>1</v>
      </c>
      <c r="B12">
        <v>0.14455000000000001</v>
      </c>
      <c r="C12">
        <v>7.87</v>
      </c>
      <c r="D12">
        <v>0.52400000000000002</v>
      </c>
      <c r="E12">
        <v>6.1719999999999997</v>
      </c>
      <c r="F12">
        <v>96.1</v>
      </c>
      <c r="G12">
        <v>5.9504999999999999</v>
      </c>
      <c r="H12">
        <v>5</v>
      </c>
      <c r="I12">
        <v>311</v>
      </c>
      <c r="J12">
        <v>15.2</v>
      </c>
      <c r="K12">
        <v>396.9</v>
      </c>
      <c r="L12">
        <v>19.149999999999999</v>
      </c>
      <c r="M12">
        <v>27.1</v>
      </c>
      <c r="N12" s="107">
        <f t="shared" si="0"/>
        <v>20.580754350481648</v>
      </c>
      <c r="O12"/>
      <c r="P12" s="99">
        <v>1</v>
      </c>
      <c r="Q12" s="99">
        <v>2</v>
      </c>
      <c r="R12" s="99">
        <v>2</v>
      </c>
      <c r="S12" s="99">
        <v>3</v>
      </c>
      <c r="T12" s="99">
        <v>3</v>
      </c>
      <c r="U12" s="99">
        <v>3</v>
      </c>
      <c r="V12" s="99">
        <v>5</v>
      </c>
      <c r="W12" s="99">
        <v>5</v>
      </c>
      <c r="X12" s="99">
        <v>5</v>
      </c>
      <c r="Y12" s="99">
        <v>5</v>
      </c>
      <c r="Z12" s="99">
        <v>5</v>
      </c>
      <c r="AA12" s="99">
        <v>5</v>
      </c>
      <c r="AB12" s="99">
        <v>5</v>
      </c>
      <c r="AC12" s="99">
        <v>4</v>
      </c>
      <c r="AD12" s="99">
        <v>4</v>
      </c>
      <c r="AE12" s="99">
        <v>4</v>
      </c>
      <c r="AF12" s="99">
        <v>4</v>
      </c>
      <c r="AG12" s="99">
        <v>4</v>
      </c>
      <c r="AH12" s="99">
        <v>4</v>
      </c>
      <c r="AI12" s="99">
        <v>4</v>
      </c>
      <c r="AJ12" s="99">
        <v>4</v>
      </c>
      <c r="AK12" s="99">
        <v>4</v>
      </c>
      <c r="AL12" s="99">
        <v>4</v>
      </c>
      <c r="AM12" s="99">
        <v>4</v>
      </c>
      <c r="AN12" s="99">
        <v>4</v>
      </c>
      <c r="AO12" s="99">
        <v>4</v>
      </c>
      <c r="AP12" s="99">
        <v>4</v>
      </c>
      <c r="AQ12" s="99">
        <v>4</v>
      </c>
      <c r="AR12" s="99">
        <v>4</v>
      </c>
      <c r="AS12" s="99">
        <v>4</v>
      </c>
      <c r="AT12" s="99">
        <v>4</v>
      </c>
      <c r="AU12" s="99">
        <v>4</v>
      </c>
      <c r="AV12" s="99">
        <v>4</v>
      </c>
      <c r="AW12" s="99">
        <v>4</v>
      </c>
      <c r="AX12" s="99">
        <v>4</v>
      </c>
      <c r="AY12" s="99">
        <v>5</v>
      </c>
      <c r="AZ12" s="99">
        <v>5</v>
      </c>
      <c r="BA12" s="99">
        <v>5</v>
      </c>
      <c r="BB12" s="99">
        <v>5</v>
      </c>
      <c r="BC12" s="99">
        <v>3</v>
      </c>
      <c r="BD12" s="99">
        <v>3</v>
      </c>
      <c r="BE12" s="99">
        <v>3</v>
      </c>
      <c r="BF12" s="99">
        <v>3</v>
      </c>
      <c r="BG12" s="99">
        <v>3</v>
      </c>
      <c r="BH12" s="99">
        <v>3</v>
      </c>
      <c r="BI12" s="99">
        <v>3</v>
      </c>
      <c r="BJ12" s="99">
        <v>3</v>
      </c>
      <c r="BK12" s="99">
        <v>3</v>
      </c>
      <c r="BL12" s="99">
        <v>3</v>
      </c>
      <c r="BM12" s="99">
        <v>3</v>
      </c>
      <c r="BN12" s="99">
        <v>4</v>
      </c>
      <c r="BO12" s="99">
        <v>4</v>
      </c>
      <c r="BP12" s="99">
        <v>4</v>
      </c>
      <c r="BQ12" s="99">
        <v>4</v>
      </c>
      <c r="BR12" s="99">
        <v>3</v>
      </c>
      <c r="BS12" s="99">
        <v>5</v>
      </c>
      <c r="BT12" s="99">
        <v>2</v>
      </c>
      <c r="BU12" s="99">
        <v>5</v>
      </c>
      <c r="BV12" s="99">
        <v>8</v>
      </c>
      <c r="BW12" s="99">
        <v>8</v>
      </c>
      <c r="BX12" s="99">
        <v>8</v>
      </c>
      <c r="BY12" s="99">
        <v>8</v>
      </c>
      <c r="BZ12" s="99">
        <v>8</v>
      </c>
      <c r="CA12" s="99">
        <v>8</v>
      </c>
      <c r="CB12" s="99">
        <v>3</v>
      </c>
      <c r="CC12" s="99">
        <v>4</v>
      </c>
      <c r="CD12" s="99">
        <v>4</v>
      </c>
      <c r="CE12" s="99">
        <v>4</v>
      </c>
      <c r="CF12" s="99">
        <v>4</v>
      </c>
      <c r="CG12" s="99">
        <v>4</v>
      </c>
      <c r="CH12" s="99">
        <v>4</v>
      </c>
      <c r="CI12" s="99">
        <v>4</v>
      </c>
      <c r="CJ12" s="99">
        <v>4</v>
      </c>
      <c r="CK12" s="99">
        <v>4</v>
      </c>
      <c r="CL12" s="99">
        <v>5</v>
      </c>
      <c r="CM12" s="99">
        <v>5</v>
      </c>
      <c r="CN12" s="99">
        <v>5</v>
      </c>
      <c r="CO12" s="99">
        <v>5</v>
      </c>
      <c r="CP12" s="99">
        <v>5</v>
      </c>
      <c r="CQ12" s="99">
        <v>5</v>
      </c>
      <c r="CR12" s="99">
        <v>4</v>
      </c>
      <c r="CS12" s="99">
        <v>4</v>
      </c>
      <c r="CT12" s="99">
        <v>4</v>
      </c>
      <c r="CU12" s="99">
        <v>4</v>
      </c>
      <c r="CV12" s="99">
        <v>3</v>
      </c>
      <c r="CW12" s="99">
        <v>3</v>
      </c>
      <c r="CX12" s="99">
        <v>3</v>
      </c>
      <c r="CY12" s="99">
        <v>3</v>
      </c>
      <c r="CZ12" s="99">
        <v>2</v>
      </c>
      <c r="DA12" s="99">
        <v>2</v>
      </c>
      <c r="DB12" s="99">
        <v>2</v>
      </c>
      <c r="DC12" s="99">
        <v>2</v>
      </c>
      <c r="DD12" s="99">
        <v>4</v>
      </c>
      <c r="DE12" s="99">
        <v>4</v>
      </c>
      <c r="DF12" s="99">
        <v>4</v>
      </c>
      <c r="DG12" s="99">
        <v>2</v>
      </c>
      <c r="DH12" s="99">
        <v>2</v>
      </c>
      <c r="DI12" s="99">
        <v>2</v>
      </c>
      <c r="DJ12" s="99">
        <v>2</v>
      </c>
      <c r="DK12" s="99">
        <v>2</v>
      </c>
      <c r="DL12" s="99">
        <v>5</v>
      </c>
      <c r="DM12" s="99">
        <v>5</v>
      </c>
      <c r="DN12" s="99">
        <v>5</v>
      </c>
      <c r="DO12" s="99">
        <v>5</v>
      </c>
      <c r="DP12" s="99">
        <v>5</v>
      </c>
      <c r="DQ12" s="99">
        <v>5</v>
      </c>
      <c r="DR12" s="99">
        <v>5</v>
      </c>
      <c r="DS12" s="99">
        <v>5</v>
      </c>
      <c r="DT12" s="99">
        <v>5</v>
      </c>
      <c r="DU12" s="99">
        <v>5</v>
      </c>
      <c r="DV12" s="99">
        <v>5</v>
      </c>
      <c r="DW12" s="99">
        <v>6</v>
      </c>
      <c r="DX12" s="99">
        <v>6</v>
      </c>
      <c r="DY12" s="99">
        <v>6</v>
      </c>
      <c r="DZ12" s="99">
        <v>6</v>
      </c>
      <c r="EA12" s="99">
        <v>6</v>
      </c>
      <c r="EB12" s="99">
        <v>6</v>
      </c>
      <c r="EC12" s="99">
        <v>6</v>
      </c>
      <c r="ED12" s="99">
        <v>6</v>
      </c>
      <c r="EE12" s="99">
        <v>6</v>
      </c>
      <c r="EF12" s="99">
        <v>2</v>
      </c>
      <c r="EG12" s="99">
        <v>2</v>
      </c>
      <c r="EH12" s="99">
        <v>2</v>
      </c>
      <c r="EI12" s="99">
        <v>2</v>
      </c>
      <c r="EJ12" s="99">
        <v>2</v>
      </c>
      <c r="EK12" s="99">
        <v>2</v>
      </c>
      <c r="EL12" s="99">
        <v>2</v>
      </c>
      <c r="EM12" s="99">
        <v>4</v>
      </c>
      <c r="EN12" s="99">
        <v>4</v>
      </c>
      <c r="EO12" s="99">
        <v>4</v>
      </c>
      <c r="EP12" s="99">
        <v>4</v>
      </c>
      <c r="EQ12" s="99">
        <v>4</v>
      </c>
      <c r="ER12" s="99">
        <v>4</v>
      </c>
      <c r="ES12" s="99">
        <v>4</v>
      </c>
      <c r="ET12" s="99">
        <v>4</v>
      </c>
      <c r="EU12" s="99">
        <v>4</v>
      </c>
      <c r="EV12" s="99">
        <v>4</v>
      </c>
      <c r="EW12" s="99">
        <v>4</v>
      </c>
      <c r="EX12" s="99">
        <v>4</v>
      </c>
      <c r="EY12" s="99">
        <v>4</v>
      </c>
      <c r="EZ12" s="99">
        <v>4</v>
      </c>
      <c r="FA12" s="99">
        <v>4</v>
      </c>
      <c r="FB12" s="99">
        <v>5</v>
      </c>
      <c r="FC12" s="99">
        <v>5</v>
      </c>
      <c r="FD12" s="99">
        <v>5</v>
      </c>
      <c r="FE12" s="99">
        <v>5</v>
      </c>
      <c r="FF12" s="99">
        <v>5</v>
      </c>
      <c r="FG12" s="99">
        <v>5</v>
      </c>
      <c r="FH12" s="99">
        <v>5</v>
      </c>
      <c r="FI12" s="99">
        <v>5</v>
      </c>
      <c r="FJ12" s="99">
        <v>5</v>
      </c>
      <c r="FK12" s="99">
        <v>5</v>
      </c>
      <c r="FL12" s="99">
        <v>5</v>
      </c>
      <c r="FM12" s="99">
        <v>5</v>
      </c>
      <c r="FN12" s="99">
        <v>5</v>
      </c>
      <c r="FO12" s="99">
        <v>5</v>
      </c>
      <c r="FP12" s="99">
        <v>5</v>
      </c>
      <c r="FQ12" s="99">
        <v>5</v>
      </c>
      <c r="FR12" s="99">
        <v>5</v>
      </c>
      <c r="FS12" s="99">
        <v>5</v>
      </c>
      <c r="FT12" s="99">
        <v>5</v>
      </c>
      <c r="FU12" s="99">
        <v>5</v>
      </c>
      <c r="FV12" s="99">
        <v>5</v>
      </c>
      <c r="FW12" s="99">
        <v>5</v>
      </c>
      <c r="FX12" s="99">
        <v>5</v>
      </c>
      <c r="FY12" s="99">
        <v>5</v>
      </c>
      <c r="FZ12" s="99">
        <v>5</v>
      </c>
      <c r="GA12" s="99">
        <v>5</v>
      </c>
      <c r="GB12" s="99">
        <v>5</v>
      </c>
      <c r="GC12" s="99">
        <v>5</v>
      </c>
      <c r="GD12" s="99">
        <v>5</v>
      </c>
      <c r="GE12" s="99">
        <v>5</v>
      </c>
      <c r="GF12" s="99">
        <v>5</v>
      </c>
      <c r="GG12" s="99">
        <v>5</v>
      </c>
      <c r="GH12" s="99">
        <v>5</v>
      </c>
      <c r="GI12" s="99">
        <v>5</v>
      </c>
      <c r="GJ12" s="99">
        <v>5</v>
      </c>
      <c r="GK12" s="99">
        <v>5</v>
      </c>
      <c r="GL12" s="99">
        <v>5</v>
      </c>
      <c r="GM12" s="99">
        <v>3</v>
      </c>
      <c r="GN12" s="99">
        <v>3</v>
      </c>
      <c r="GO12" s="99">
        <v>3</v>
      </c>
      <c r="GP12" s="99">
        <v>3</v>
      </c>
      <c r="GQ12" s="99">
        <v>3</v>
      </c>
      <c r="GR12" s="99">
        <v>3</v>
      </c>
      <c r="GS12" s="99">
        <v>3</v>
      </c>
      <c r="GT12" s="99">
        <v>3</v>
      </c>
      <c r="GU12" s="99">
        <v>5</v>
      </c>
      <c r="GV12" s="99">
        <v>5</v>
      </c>
      <c r="GW12" s="99">
        <v>5</v>
      </c>
      <c r="GX12" s="99">
        <v>5</v>
      </c>
      <c r="GY12" s="99">
        <v>5</v>
      </c>
      <c r="GZ12" s="99">
        <v>5</v>
      </c>
      <c r="HA12" s="99">
        <v>1</v>
      </c>
      <c r="HB12" s="99">
        <v>1</v>
      </c>
      <c r="HC12" s="99">
        <v>4</v>
      </c>
      <c r="HD12" s="99">
        <v>2</v>
      </c>
      <c r="HE12" s="99">
        <v>2</v>
      </c>
      <c r="HF12" s="99">
        <v>2</v>
      </c>
      <c r="HG12" s="99">
        <v>3</v>
      </c>
      <c r="HH12" s="99">
        <v>3</v>
      </c>
      <c r="HI12" s="99">
        <v>2</v>
      </c>
      <c r="HJ12" s="99">
        <v>2</v>
      </c>
      <c r="HK12" s="99">
        <v>4</v>
      </c>
      <c r="HL12" s="99">
        <v>4</v>
      </c>
      <c r="HM12" s="99">
        <v>4</v>
      </c>
      <c r="HN12" s="99">
        <v>4</v>
      </c>
      <c r="HO12" s="99">
        <v>4</v>
      </c>
      <c r="HP12" s="99">
        <v>4</v>
      </c>
      <c r="HQ12" s="99">
        <v>4</v>
      </c>
      <c r="HR12" s="99">
        <v>4</v>
      </c>
      <c r="HS12" s="99">
        <v>4</v>
      </c>
      <c r="HT12" s="99">
        <v>4</v>
      </c>
      <c r="HU12" s="99">
        <v>4</v>
      </c>
      <c r="HV12" s="99">
        <v>4</v>
      </c>
      <c r="HW12" s="99">
        <v>4</v>
      </c>
      <c r="HX12" s="99">
        <v>5</v>
      </c>
      <c r="HY12" s="99">
        <v>5</v>
      </c>
      <c r="HZ12" s="99">
        <v>5</v>
      </c>
      <c r="IA12" s="99">
        <v>5</v>
      </c>
      <c r="IB12" s="99">
        <v>8</v>
      </c>
      <c r="IC12" s="99">
        <v>8</v>
      </c>
      <c r="ID12" s="99">
        <v>8</v>
      </c>
      <c r="IE12" s="99">
        <v>8</v>
      </c>
      <c r="IF12" s="99">
        <v>8</v>
      </c>
      <c r="IG12" s="99">
        <v>8</v>
      </c>
      <c r="IH12" s="99">
        <v>8</v>
      </c>
      <c r="II12" s="99">
        <v>8</v>
      </c>
      <c r="IJ12" s="99">
        <v>8</v>
      </c>
      <c r="IK12" s="99">
        <v>8</v>
      </c>
      <c r="IL12" s="99">
        <v>8</v>
      </c>
      <c r="IM12" s="99">
        <v>8</v>
      </c>
      <c r="IN12" s="99">
        <v>8</v>
      </c>
      <c r="IO12" s="99">
        <v>8</v>
      </c>
      <c r="IP12" s="99">
        <v>8</v>
      </c>
      <c r="IQ12" s="99">
        <v>8</v>
      </c>
      <c r="IR12" s="99">
        <v>8</v>
      </c>
      <c r="IS12" s="99">
        <v>8</v>
      </c>
      <c r="IT12" s="99">
        <v>6</v>
      </c>
      <c r="IU12" s="99">
        <v>6</v>
      </c>
      <c r="IV12" s="99">
        <v>6</v>
      </c>
      <c r="IW12" s="99">
        <v>6</v>
      </c>
      <c r="IX12" s="99">
        <v>6</v>
      </c>
      <c r="IY12" s="99">
        <v>6</v>
      </c>
      <c r="IZ12" s="99">
        <v>7</v>
      </c>
      <c r="JA12" s="99">
        <v>7</v>
      </c>
      <c r="JB12" s="99">
        <v>7</v>
      </c>
      <c r="JC12" s="99">
        <v>7</v>
      </c>
      <c r="JD12" s="99">
        <v>7</v>
      </c>
      <c r="JE12" s="99">
        <v>7</v>
      </c>
      <c r="JF12" s="99">
        <v>7</v>
      </c>
      <c r="JG12" s="99">
        <v>7</v>
      </c>
      <c r="JH12" s="99">
        <v>7</v>
      </c>
      <c r="JI12" s="99">
        <v>7</v>
      </c>
      <c r="JJ12" s="99">
        <v>1</v>
      </c>
      <c r="JK12" s="99">
        <v>1</v>
      </c>
      <c r="JL12" s="99">
        <v>3</v>
      </c>
      <c r="JM12" s="99">
        <v>5</v>
      </c>
      <c r="JN12" s="99">
        <v>5</v>
      </c>
      <c r="JO12" s="99">
        <v>5</v>
      </c>
      <c r="JP12" s="99">
        <v>5</v>
      </c>
      <c r="JQ12" s="99">
        <v>5</v>
      </c>
      <c r="JR12" s="99">
        <v>5</v>
      </c>
      <c r="JS12" s="99">
        <v>5</v>
      </c>
      <c r="JT12" s="99">
        <v>5</v>
      </c>
      <c r="JU12" s="99">
        <v>5</v>
      </c>
      <c r="JV12" s="99">
        <v>5</v>
      </c>
      <c r="JW12" s="99">
        <v>5</v>
      </c>
      <c r="JX12" s="99">
        <v>5</v>
      </c>
      <c r="JY12" s="99">
        <v>3</v>
      </c>
      <c r="JZ12" s="99">
        <v>3</v>
      </c>
      <c r="KA12" s="99">
        <v>3</v>
      </c>
      <c r="KB12" s="99">
        <v>3</v>
      </c>
      <c r="KC12" s="99">
        <v>3</v>
      </c>
      <c r="KD12" s="99">
        <v>4</v>
      </c>
      <c r="KE12" s="99">
        <v>4</v>
      </c>
      <c r="KF12" s="99">
        <v>4</v>
      </c>
      <c r="KG12" s="99">
        <v>4</v>
      </c>
      <c r="KH12" s="99">
        <v>4</v>
      </c>
      <c r="KI12" s="99">
        <v>5</v>
      </c>
      <c r="KJ12" s="99">
        <v>5</v>
      </c>
      <c r="KK12" s="99">
        <v>5</v>
      </c>
      <c r="KL12" s="99">
        <v>5</v>
      </c>
      <c r="KM12" s="99">
        <v>1</v>
      </c>
      <c r="KN12" s="99">
        <v>1</v>
      </c>
      <c r="KO12" s="99">
        <v>1</v>
      </c>
      <c r="KP12" s="99">
        <v>1</v>
      </c>
      <c r="KQ12" s="99">
        <v>6</v>
      </c>
      <c r="KR12" s="99">
        <v>6</v>
      </c>
      <c r="KS12" s="99">
        <v>6</v>
      </c>
      <c r="KT12" s="99">
        <v>4</v>
      </c>
      <c r="KU12" s="99">
        <v>4</v>
      </c>
      <c r="KV12" s="99">
        <v>4</v>
      </c>
      <c r="KW12" s="99">
        <v>4</v>
      </c>
      <c r="KX12" s="99">
        <v>4</v>
      </c>
      <c r="KY12" s="99">
        <v>4</v>
      </c>
      <c r="KZ12" s="99">
        <v>4</v>
      </c>
      <c r="LA12" s="99">
        <v>4</v>
      </c>
      <c r="LB12" s="99">
        <v>5</v>
      </c>
      <c r="LC12" s="99">
        <v>5</v>
      </c>
      <c r="LD12" s="99">
        <v>5</v>
      </c>
      <c r="LE12" s="99">
        <v>7</v>
      </c>
      <c r="LF12" s="99">
        <v>7</v>
      </c>
      <c r="LG12" s="99">
        <v>7</v>
      </c>
      <c r="LH12" s="99">
        <v>7</v>
      </c>
      <c r="LI12" s="99">
        <v>7</v>
      </c>
      <c r="LJ12" s="99">
        <v>7</v>
      </c>
      <c r="LK12" s="99">
        <v>7</v>
      </c>
      <c r="LL12" s="99">
        <v>4</v>
      </c>
      <c r="LM12" s="99">
        <v>4</v>
      </c>
      <c r="LN12" s="99">
        <v>4</v>
      </c>
      <c r="LO12" s="99">
        <v>4</v>
      </c>
      <c r="LP12" s="99">
        <v>4</v>
      </c>
      <c r="LQ12" s="99">
        <v>4</v>
      </c>
      <c r="LR12" s="99">
        <v>4</v>
      </c>
      <c r="LS12" s="99">
        <v>4</v>
      </c>
      <c r="LT12" s="99">
        <v>4</v>
      </c>
      <c r="LU12" s="99">
        <v>4</v>
      </c>
      <c r="LV12" s="99">
        <v>4</v>
      </c>
      <c r="LW12" s="99">
        <v>4</v>
      </c>
      <c r="LX12" s="99">
        <v>5</v>
      </c>
      <c r="LY12" s="99">
        <v>5</v>
      </c>
      <c r="LZ12" s="99">
        <v>5</v>
      </c>
      <c r="MA12" s="99">
        <v>5</v>
      </c>
      <c r="MB12" s="99">
        <v>5</v>
      </c>
      <c r="MC12" s="99">
        <v>5</v>
      </c>
      <c r="MD12" s="99">
        <v>5</v>
      </c>
      <c r="ME12" s="99">
        <v>5</v>
      </c>
      <c r="MF12" s="99">
        <v>4</v>
      </c>
      <c r="MG12" s="99">
        <v>4</v>
      </c>
      <c r="MH12" s="99">
        <v>4</v>
      </c>
      <c r="MI12" s="99">
        <v>1</v>
      </c>
      <c r="MJ12" s="99">
        <v>1</v>
      </c>
      <c r="MK12" s="99">
        <v>5</v>
      </c>
      <c r="ML12" s="99">
        <v>5</v>
      </c>
      <c r="MM12" s="99">
        <v>5</v>
      </c>
      <c r="MN12" s="99">
        <v>5</v>
      </c>
      <c r="MO12" s="99">
        <v>5</v>
      </c>
      <c r="MP12" s="99">
        <v>5</v>
      </c>
      <c r="MQ12" s="99">
        <v>5</v>
      </c>
      <c r="MR12" s="99">
        <v>5</v>
      </c>
      <c r="MS12" s="99">
        <v>1</v>
      </c>
      <c r="MT12" s="99">
        <v>1</v>
      </c>
      <c r="MU12" s="99">
        <v>5</v>
      </c>
      <c r="MV12" s="99">
        <v>5</v>
      </c>
      <c r="MW12" s="99">
        <v>3</v>
      </c>
      <c r="MX12" s="99">
        <v>3</v>
      </c>
      <c r="MY12" s="99">
        <v>4</v>
      </c>
      <c r="MZ12" s="99">
        <v>4</v>
      </c>
      <c r="NA12" s="99">
        <v>1</v>
      </c>
      <c r="NB12" s="99">
        <v>1</v>
      </c>
      <c r="NC12" s="99">
        <v>4</v>
      </c>
      <c r="ND12" s="99">
        <v>4</v>
      </c>
      <c r="NE12" s="99">
        <v>5</v>
      </c>
      <c r="NF12" s="99">
        <v>4</v>
      </c>
      <c r="NG12" s="99">
        <v>4</v>
      </c>
      <c r="NH12" s="99">
        <v>24</v>
      </c>
      <c r="NI12" s="99">
        <v>24</v>
      </c>
      <c r="NJ12" s="99">
        <v>24</v>
      </c>
      <c r="NK12" s="99">
        <v>24</v>
      </c>
      <c r="NL12" s="99">
        <v>24</v>
      </c>
      <c r="NM12" s="99">
        <v>24</v>
      </c>
      <c r="NN12" s="99">
        <v>24</v>
      </c>
      <c r="NO12" s="99">
        <v>24</v>
      </c>
      <c r="NP12" s="99">
        <v>24</v>
      </c>
      <c r="NQ12" s="99">
        <v>24</v>
      </c>
      <c r="NR12" s="99">
        <v>24</v>
      </c>
      <c r="NS12" s="99">
        <v>24</v>
      </c>
      <c r="NT12" s="99">
        <v>24</v>
      </c>
      <c r="NU12" s="99">
        <v>24</v>
      </c>
      <c r="NV12" s="99">
        <v>24</v>
      </c>
      <c r="NW12" s="99">
        <v>24</v>
      </c>
      <c r="NX12" s="99">
        <v>24</v>
      </c>
      <c r="NY12" s="99">
        <v>24</v>
      </c>
      <c r="NZ12" s="99">
        <v>24</v>
      </c>
      <c r="OA12" s="99">
        <v>24</v>
      </c>
      <c r="OB12" s="99">
        <v>24</v>
      </c>
      <c r="OC12" s="99">
        <v>24</v>
      </c>
      <c r="OD12" s="99">
        <v>24</v>
      </c>
      <c r="OE12" s="99">
        <v>24</v>
      </c>
      <c r="OF12" s="99">
        <v>24</v>
      </c>
      <c r="OG12" s="99">
        <v>24</v>
      </c>
      <c r="OH12" s="99">
        <v>24</v>
      </c>
      <c r="OI12" s="99">
        <v>24</v>
      </c>
      <c r="OJ12" s="99">
        <v>24</v>
      </c>
      <c r="OK12" s="99">
        <v>24</v>
      </c>
      <c r="OL12" s="99">
        <v>24</v>
      </c>
      <c r="OM12" s="99">
        <v>24</v>
      </c>
      <c r="ON12" s="99">
        <v>24</v>
      </c>
      <c r="OO12" s="99">
        <v>24</v>
      </c>
      <c r="OP12" s="99">
        <v>24</v>
      </c>
      <c r="OQ12" s="99">
        <v>24</v>
      </c>
      <c r="OR12" s="99">
        <v>24</v>
      </c>
      <c r="OS12" s="99">
        <v>24</v>
      </c>
      <c r="OT12" s="99">
        <v>24</v>
      </c>
      <c r="OU12" s="99">
        <v>24</v>
      </c>
      <c r="OV12" s="99">
        <v>24</v>
      </c>
      <c r="OW12" s="99">
        <v>24</v>
      </c>
      <c r="OX12" s="99">
        <v>24</v>
      </c>
      <c r="OY12" s="99">
        <v>24</v>
      </c>
      <c r="OZ12" s="99">
        <v>24</v>
      </c>
      <c r="PA12" s="99">
        <v>24</v>
      </c>
      <c r="PB12" s="99">
        <v>24</v>
      </c>
      <c r="PC12" s="99">
        <v>24</v>
      </c>
      <c r="PD12" s="99">
        <v>24</v>
      </c>
      <c r="PE12" s="99">
        <v>24</v>
      </c>
      <c r="PF12" s="99">
        <v>24</v>
      </c>
      <c r="PG12" s="99">
        <v>24</v>
      </c>
      <c r="PH12" s="99">
        <v>24</v>
      </c>
      <c r="PI12" s="99">
        <v>24</v>
      </c>
      <c r="PJ12" s="99">
        <v>24</v>
      </c>
      <c r="PK12" s="99">
        <v>24</v>
      </c>
      <c r="PL12" s="99">
        <v>24</v>
      </c>
      <c r="PM12" s="99">
        <v>24</v>
      </c>
      <c r="PN12" s="99">
        <v>24</v>
      </c>
      <c r="PO12" s="99">
        <v>24</v>
      </c>
      <c r="PP12" s="99">
        <v>24</v>
      </c>
      <c r="PQ12" s="99">
        <v>24</v>
      </c>
      <c r="PR12" s="99">
        <v>24</v>
      </c>
      <c r="PS12" s="99">
        <v>24</v>
      </c>
      <c r="PT12" s="99">
        <v>24</v>
      </c>
      <c r="PU12" s="99">
        <v>24</v>
      </c>
      <c r="PV12" s="99">
        <v>24</v>
      </c>
      <c r="PW12" s="99">
        <v>24</v>
      </c>
      <c r="PX12" s="99">
        <v>24</v>
      </c>
      <c r="PY12" s="99">
        <v>24</v>
      </c>
      <c r="PZ12" s="99">
        <v>24</v>
      </c>
      <c r="QA12" s="99">
        <v>24</v>
      </c>
      <c r="QB12" s="99">
        <v>24</v>
      </c>
      <c r="QC12" s="99">
        <v>24</v>
      </c>
      <c r="QD12" s="99">
        <v>24</v>
      </c>
      <c r="QE12" s="99">
        <v>24</v>
      </c>
      <c r="QF12" s="99">
        <v>24</v>
      </c>
      <c r="QG12" s="99">
        <v>24</v>
      </c>
      <c r="QH12" s="99">
        <v>24</v>
      </c>
      <c r="QI12" s="99">
        <v>24</v>
      </c>
      <c r="QJ12" s="99">
        <v>24</v>
      </c>
      <c r="QK12" s="99">
        <v>24</v>
      </c>
      <c r="QL12" s="99">
        <v>24</v>
      </c>
      <c r="QM12" s="99">
        <v>24</v>
      </c>
      <c r="QN12" s="99">
        <v>24</v>
      </c>
      <c r="QO12" s="99">
        <v>24</v>
      </c>
      <c r="QP12" s="99">
        <v>24</v>
      </c>
      <c r="QQ12" s="99">
        <v>24</v>
      </c>
      <c r="QR12" s="99">
        <v>24</v>
      </c>
      <c r="QS12" s="99">
        <v>24</v>
      </c>
      <c r="QT12" s="99">
        <v>24</v>
      </c>
      <c r="QU12" s="99">
        <v>24</v>
      </c>
      <c r="QV12" s="99">
        <v>24</v>
      </c>
      <c r="QW12" s="99">
        <v>24</v>
      </c>
      <c r="QX12" s="99">
        <v>24</v>
      </c>
      <c r="QY12" s="99">
        <v>24</v>
      </c>
      <c r="QZ12" s="99">
        <v>24</v>
      </c>
      <c r="RA12" s="99">
        <v>24</v>
      </c>
      <c r="RB12" s="99">
        <v>24</v>
      </c>
      <c r="RC12" s="99">
        <v>24</v>
      </c>
      <c r="RD12" s="99">
        <v>24</v>
      </c>
      <c r="RE12" s="99">
        <v>24</v>
      </c>
      <c r="RF12" s="99">
        <v>24</v>
      </c>
      <c r="RG12" s="99">
        <v>24</v>
      </c>
      <c r="RH12" s="99">
        <v>24</v>
      </c>
      <c r="RI12" s="99">
        <v>24</v>
      </c>
      <c r="RJ12" s="99">
        <v>24</v>
      </c>
      <c r="RK12" s="99">
        <v>24</v>
      </c>
      <c r="RL12" s="99">
        <v>24</v>
      </c>
      <c r="RM12" s="99">
        <v>24</v>
      </c>
      <c r="RN12" s="99">
        <v>24</v>
      </c>
      <c r="RO12" s="99">
        <v>24</v>
      </c>
      <c r="RP12" s="99">
        <v>24</v>
      </c>
      <c r="RQ12" s="99">
        <v>24</v>
      </c>
      <c r="RR12" s="99">
        <v>24</v>
      </c>
      <c r="RS12" s="99">
        <v>24</v>
      </c>
      <c r="RT12" s="99">
        <v>24</v>
      </c>
      <c r="RU12" s="99">
        <v>24</v>
      </c>
      <c r="RV12" s="99">
        <v>24</v>
      </c>
      <c r="RW12" s="99">
        <v>24</v>
      </c>
      <c r="RX12" s="99">
        <v>24</v>
      </c>
      <c r="RY12" s="99">
        <v>24</v>
      </c>
      <c r="RZ12" s="99">
        <v>24</v>
      </c>
      <c r="SA12" s="99">
        <v>24</v>
      </c>
      <c r="SB12" s="99">
        <v>24</v>
      </c>
      <c r="SC12" s="99">
        <v>24</v>
      </c>
      <c r="SD12" s="99">
        <v>24</v>
      </c>
      <c r="SE12" s="99">
        <v>24</v>
      </c>
      <c r="SF12" s="99">
        <v>24</v>
      </c>
      <c r="SG12" s="99">
        <v>24</v>
      </c>
      <c r="SH12" s="99">
        <v>24</v>
      </c>
      <c r="SI12" s="99">
        <v>24</v>
      </c>
      <c r="SJ12" s="99">
        <v>4</v>
      </c>
      <c r="SK12" s="99">
        <v>4</v>
      </c>
      <c r="SL12" s="99">
        <v>4</v>
      </c>
      <c r="SM12" s="99">
        <v>4</v>
      </c>
      <c r="SN12" s="99">
        <v>4</v>
      </c>
      <c r="SO12" s="99">
        <v>6</v>
      </c>
      <c r="SP12" s="99">
        <v>6</v>
      </c>
      <c r="SQ12" s="99">
        <v>6</v>
      </c>
      <c r="SR12" s="99">
        <v>6</v>
      </c>
      <c r="SS12" s="99">
        <v>6</v>
      </c>
      <c r="ST12" s="99">
        <v>6</v>
      </c>
      <c r="SU12" s="99">
        <v>6</v>
      </c>
      <c r="SV12" s="99">
        <v>6</v>
      </c>
      <c r="SW12" s="99">
        <v>1</v>
      </c>
      <c r="SX12" s="99">
        <v>1</v>
      </c>
      <c r="SY12" s="99">
        <v>1</v>
      </c>
      <c r="SZ12" s="99">
        <v>1</v>
      </c>
      <c r="TA12" s="99">
        <v>1</v>
      </c>
    </row>
    <row r="13" spans="1:521">
      <c r="A13">
        <v>1</v>
      </c>
      <c r="B13">
        <v>0.21124000000000001</v>
      </c>
      <c r="C13">
        <v>7.87</v>
      </c>
      <c r="D13">
        <v>0.52400000000000002</v>
      </c>
      <c r="E13">
        <v>5.6310000000000002</v>
      </c>
      <c r="F13">
        <v>100</v>
      </c>
      <c r="G13">
        <v>6.0820999999999996</v>
      </c>
      <c r="H13">
        <v>5</v>
      </c>
      <c r="I13">
        <v>311</v>
      </c>
      <c r="J13">
        <v>15.2</v>
      </c>
      <c r="K13">
        <v>386.63</v>
      </c>
      <c r="L13">
        <v>29.93</v>
      </c>
      <c r="M13">
        <v>16.5</v>
      </c>
      <c r="N13" s="107">
        <f t="shared" si="0"/>
        <v>12.438563543062642</v>
      </c>
      <c r="O13"/>
      <c r="P13" s="99">
        <v>296</v>
      </c>
      <c r="Q13" s="99">
        <v>242</v>
      </c>
      <c r="R13" s="99">
        <v>242</v>
      </c>
      <c r="S13" s="99">
        <v>222</v>
      </c>
      <c r="T13" s="99">
        <v>222</v>
      </c>
      <c r="U13" s="99">
        <v>222</v>
      </c>
      <c r="V13" s="99">
        <v>311</v>
      </c>
      <c r="W13" s="99">
        <v>311</v>
      </c>
      <c r="X13" s="99">
        <v>311</v>
      </c>
      <c r="Y13" s="99">
        <v>311</v>
      </c>
      <c r="Z13" s="99">
        <v>311</v>
      </c>
      <c r="AA13" s="99">
        <v>311</v>
      </c>
      <c r="AB13" s="99">
        <v>311</v>
      </c>
      <c r="AC13" s="99">
        <v>307</v>
      </c>
      <c r="AD13" s="99">
        <v>307</v>
      </c>
      <c r="AE13" s="99">
        <v>307</v>
      </c>
      <c r="AF13" s="99">
        <v>307</v>
      </c>
      <c r="AG13" s="99">
        <v>307</v>
      </c>
      <c r="AH13" s="99">
        <v>307</v>
      </c>
      <c r="AI13" s="99">
        <v>307</v>
      </c>
      <c r="AJ13" s="99">
        <v>307</v>
      </c>
      <c r="AK13" s="99">
        <v>307</v>
      </c>
      <c r="AL13" s="99">
        <v>307</v>
      </c>
      <c r="AM13" s="99">
        <v>307</v>
      </c>
      <c r="AN13" s="99">
        <v>307</v>
      </c>
      <c r="AO13" s="99">
        <v>307</v>
      </c>
      <c r="AP13" s="99">
        <v>307</v>
      </c>
      <c r="AQ13" s="99">
        <v>307</v>
      </c>
      <c r="AR13" s="99">
        <v>307</v>
      </c>
      <c r="AS13" s="99">
        <v>307</v>
      </c>
      <c r="AT13" s="99">
        <v>307</v>
      </c>
      <c r="AU13" s="99">
        <v>307</v>
      </c>
      <c r="AV13" s="99">
        <v>307</v>
      </c>
      <c r="AW13" s="99">
        <v>307</v>
      </c>
      <c r="AX13" s="99">
        <v>307</v>
      </c>
      <c r="AY13" s="99">
        <v>279</v>
      </c>
      <c r="AZ13" s="99">
        <v>279</v>
      </c>
      <c r="BA13" s="99">
        <v>279</v>
      </c>
      <c r="BB13" s="99">
        <v>279</v>
      </c>
      <c r="BC13" s="99">
        <v>252</v>
      </c>
      <c r="BD13" s="99">
        <v>252</v>
      </c>
      <c r="BE13" s="99">
        <v>233</v>
      </c>
      <c r="BF13" s="99">
        <v>233</v>
      </c>
      <c r="BG13" s="99">
        <v>233</v>
      </c>
      <c r="BH13" s="99">
        <v>233</v>
      </c>
      <c r="BI13" s="99">
        <v>233</v>
      </c>
      <c r="BJ13" s="99">
        <v>233</v>
      </c>
      <c r="BK13" s="99">
        <v>233</v>
      </c>
      <c r="BL13" s="99">
        <v>233</v>
      </c>
      <c r="BM13" s="99">
        <v>233</v>
      </c>
      <c r="BN13" s="99">
        <v>243</v>
      </c>
      <c r="BO13" s="99">
        <v>243</v>
      </c>
      <c r="BP13" s="99">
        <v>243</v>
      </c>
      <c r="BQ13" s="99">
        <v>243</v>
      </c>
      <c r="BR13" s="99">
        <v>469</v>
      </c>
      <c r="BS13" s="99">
        <v>226</v>
      </c>
      <c r="BT13" s="99">
        <v>313</v>
      </c>
      <c r="BU13" s="99">
        <v>256</v>
      </c>
      <c r="BV13" s="99">
        <v>284</v>
      </c>
      <c r="BW13" s="99">
        <v>284</v>
      </c>
      <c r="BX13" s="99">
        <v>284</v>
      </c>
      <c r="BY13" s="99">
        <v>284</v>
      </c>
      <c r="BZ13" s="99">
        <v>284</v>
      </c>
      <c r="CA13" s="99">
        <v>284</v>
      </c>
      <c r="CB13" s="99">
        <v>216</v>
      </c>
      <c r="CC13" s="99">
        <v>337</v>
      </c>
      <c r="CD13" s="99">
        <v>337</v>
      </c>
      <c r="CE13" s="99">
        <v>345</v>
      </c>
      <c r="CF13" s="99">
        <v>345</v>
      </c>
      <c r="CG13" s="99">
        <v>345</v>
      </c>
      <c r="CH13" s="99">
        <v>305</v>
      </c>
      <c r="CI13" s="99">
        <v>305</v>
      </c>
      <c r="CJ13" s="99">
        <v>305</v>
      </c>
      <c r="CK13" s="99">
        <v>305</v>
      </c>
      <c r="CL13" s="99">
        <v>398</v>
      </c>
      <c r="CM13" s="99">
        <v>398</v>
      </c>
      <c r="CN13" s="99">
        <v>398</v>
      </c>
      <c r="CO13" s="99">
        <v>398</v>
      </c>
      <c r="CP13" s="99">
        <v>398</v>
      </c>
      <c r="CQ13" s="99">
        <v>398</v>
      </c>
      <c r="CR13" s="99">
        <v>281</v>
      </c>
      <c r="CS13" s="99">
        <v>281</v>
      </c>
      <c r="CT13" s="99">
        <v>281</v>
      </c>
      <c r="CU13" s="99">
        <v>281</v>
      </c>
      <c r="CV13" s="99">
        <v>247</v>
      </c>
      <c r="CW13" s="99">
        <v>247</v>
      </c>
      <c r="CX13" s="99">
        <v>247</v>
      </c>
      <c r="CY13" s="99">
        <v>247</v>
      </c>
      <c r="CZ13" s="99">
        <v>270</v>
      </c>
      <c r="DA13" s="99">
        <v>270</v>
      </c>
      <c r="DB13" s="99">
        <v>270</v>
      </c>
      <c r="DC13" s="99">
        <v>270</v>
      </c>
      <c r="DD13" s="99">
        <v>270</v>
      </c>
      <c r="DE13" s="99">
        <v>270</v>
      </c>
      <c r="DF13" s="99">
        <v>270</v>
      </c>
      <c r="DG13" s="99">
        <v>276</v>
      </c>
      <c r="DH13" s="99">
        <v>276</v>
      </c>
      <c r="DI13" s="99">
        <v>276</v>
      </c>
      <c r="DJ13" s="99">
        <v>276</v>
      </c>
      <c r="DK13" s="99">
        <v>276</v>
      </c>
      <c r="DL13" s="99">
        <v>384</v>
      </c>
      <c r="DM13" s="99">
        <v>384</v>
      </c>
      <c r="DN13" s="99">
        <v>384</v>
      </c>
      <c r="DO13" s="99">
        <v>384</v>
      </c>
      <c r="DP13" s="99">
        <v>384</v>
      </c>
      <c r="DQ13" s="99">
        <v>384</v>
      </c>
      <c r="DR13" s="99">
        <v>384</v>
      </c>
      <c r="DS13" s="99">
        <v>384</v>
      </c>
      <c r="DT13" s="99">
        <v>384</v>
      </c>
      <c r="DU13" s="99">
        <v>384</v>
      </c>
      <c r="DV13" s="99">
        <v>384</v>
      </c>
      <c r="DW13" s="99">
        <v>432</v>
      </c>
      <c r="DX13" s="99">
        <v>432</v>
      </c>
      <c r="DY13" s="99">
        <v>432</v>
      </c>
      <c r="DZ13" s="99">
        <v>432</v>
      </c>
      <c r="EA13" s="99">
        <v>432</v>
      </c>
      <c r="EB13" s="99">
        <v>432</v>
      </c>
      <c r="EC13" s="99">
        <v>432</v>
      </c>
      <c r="ED13" s="99">
        <v>432</v>
      </c>
      <c r="EE13" s="99">
        <v>432</v>
      </c>
      <c r="EF13" s="99">
        <v>188</v>
      </c>
      <c r="EG13" s="99">
        <v>188</v>
      </c>
      <c r="EH13" s="99">
        <v>188</v>
      </c>
      <c r="EI13" s="99">
        <v>188</v>
      </c>
      <c r="EJ13" s="99">
        <v>188</v>
      </c>
      <c r="EK13" s="99">
        <v>188</v>
      </c>
      <c r="EL13" s="99">
        <v>188</v>
      </c>
      <c r="EM13" s="99">
        <v>437</v>
      </c>
      <c r="EN13" s="99">
        <v>437</v>
      </c>
      <c r="EO13" s="99">
        <v>437</v>
      </c>
      <c r="EP13" s="99">
        <v>437</v>
      </c>
      <c r="EQ13" s="99">
        <v>437</v>
      </c>
      <c r="ER13" s="99">
        <v>437</v>
      </c>
      <c r="ES13" s="99">
        <v>437</v>
      </c>
      <c r="ET13" s="99">
        <v>437</v>
      </c>
      <c r="EU13" s="99">
        <v>437</v>
      </c>
      <c r="EV13" s="99">
        <v>437</v>
      </c>
      <c r="EW13" s="99">
        <v>437</v>
      </c>
      <c r="EX13" s="99">
        <v>437</v>
      </c>
      <c r="EY13" s="99">
        <v>437</v>
      </c>
      <c r="EZ13" s="99">
        <v>437</v>
      </c>
      <c r="FA13" s="99">
        <v>437</v>
      </c>
      <c r="FB13" s="99">
        <v>403</v>
      </c>
      <c r="FC13" s="99">
        <v>403</v>
      </c>
      <c r="FD13" s="99">
        <v>403</v>
      </c>
      <c r="FE13" s="99">
        <v>403</v>
      </c>
      <c r="FF13" s="99">
        <v>403</v>
      </c>
      <c r="FG13" s="99">
        <v>403</v>
      </c>
      <c r="FH13" s="99">
        <v>403</v>
      </c>
      <c r="FI13" s="99">
        <v>403</v>
      </c>
      <c r="FJ13" s="99">
        <v>403</v>
      </c>
      <c r="FK13" s="99">
        <v>403</v>
      </c>
      <c r="FL13" s="99">
        <v>403</v>
      </c>
      <c r="FM13" s="99">
        <v>403</v>
      </c>
      <c r="FN13" s="99">
        <v>403</v>
      </c>
      <c r="FO13" s="99">
        <v>403</v>
      </c>
      <c r="FP13" s="99">
        <v>403</v>
      </c>
      <c r="FQ13" s="99">
        <v>403</v>
      </c>
      <c r="FR13" s="99">
        <v>403</v>
      </c>
      <c r="FS13" s="99">
        <v>403</v>
      </c>
      <c r="FT13" s="99">
        <v>403</v>
      </c>
      <c r="FU13" s="99">
        <v>403</v>
      </c>
      <c r="FV13" s="99">
        <v>403</v>
      </c>
      <c r="FW13" s="99">
        <v>403</v>
      </c>
      <c r="FX13" s="99">
        <v>403</v>
      </c>
      <c r="FY13" s="99">
        <v>403</v>
      </c>
      <c r="FZ13" s="99">
        <v>403</v>
      </c>
      <c r="GA13" s="99">
        <v>403</v>
      </c>
      <c r="GB13" s="99">
        <v>403</v>
      </c>
      <c r="GC13" s="99">
        <v>403</v>
      </c>
      <c r="GD13" s="99">
        <v>403</v>
      </c>
      <c r="GE13" s="99">
        <v>403</v>
      </c>
      <c r="GF13" s="99">
        <v>296</v>
      </c>
      <c r="GG13" s="99">
        <v>296</v>
      </c>
      <c r="GH13" s="99">
        <v>296</v>
      </c>
      <c r="GI13" s="99">
        <v>296</v>
      </c>
      <c r="GJ13" s="99">
        <v>296</v>
      </c>
      <c r="GK13" s="99">
        <v>296</v>
      </c>
      <c r="GL13" s="99">
        <v>296</v>
      </c>
      <c r="GM13" s="99">
        <v>193</v>
      </c>
      <c r="GN13" s="99">
        <v>193</v>
      </c>
      <c r="GO13" s="99">
        <v>193</v>
      </c>
      <c r="GP13" s="99">
        <v>193</v>
      </c>
      <c r="GQ13" s="99">
        <v>193</v>
      </c>
      <c r="GR13" s="99">
        <v>193</v>
      </c>
      <c r="GS13" s="99">
        <v>193</v>
      </c>
      <c r="GT13" s="99">
        <v>193</v>
      </c>
      <c r="GU13" s="99">
        <v>398</v>
      </c>
      <c r="GV13" s="99">
        <v>398</v>
      </c>
      <c r="GW13" s="99">
        <v>398</v>
      </c>
      <c r="GX13" s="99">
        <v>398</v>
      </c>
      <c r="GY13" s="99">
        <v>398</v>
      </c>
      <c r="GZ13" s="99">
        <v>398</v>
      </c>
      <c r="HA13" s="99">
        <v>265</v>
      </c>
      <c r="HB13" s="99">
        <v>265</v>
      </c>
      <c r="HC13" s="99">
        <v>255</v>
      </c>
      <c r="HD13" s="99">
        <v>329</v>
      </c>
      <c r="HE13" s="99">
        <v>329</v>
      </c>
      <c r="HF13" s="99">
        <v>329</v>
      </c>
      <c r="HG13" s="99">
        <v>402</v>
      </c>
      <c r="HH13" s="99">
        <v>402</v>
      </c>
      <c r="HI13" s="99">
        <v>348</v>
      </c>
      <c r="HJ13" s="99">
        <v>348</v>
      </c>
      <c r="HK13" s="99">
        <v>224</v>
      </c>
      <c r="HL13" s="99">
        <v>224</v>
      </c>
      <c r="HM13" s="99">
        <v>277</v>
      </c>
      <c r="HN13" s="99">
        <v>277</v>
      </c>
      <c r="HO13" s="99">
        <v>277</v>
      </c>
      <c r="HP13" s="99">
        <v>277</v>
      </c>
      <c r="HQ13" s="99">
        <v>277</v>
      </c>
      <c r="HR13" s="99">
        <v>277</v>
      </c>
      <c r="HS13" s="99">
        <v>277</v>
      </c>
      <c r="HT13" s="99">
        <v>277</v>
      </c>
      <c r="HU13" s="99">
        <v>277</v>
      </c>
      <c r="HV13" s="99">
        <v>277</v>
      </c>
      <c r="HW13" s="99">
        <v>277</v>
      </c>
      <c r="HX13" s="99">
        <v>276</v>
      </c>
      <c r="HY13" s="99">
        <v>276</v>
      </c>
      <c r="HZ13" s="99">
        <v>276</v>
      </c>
      <c r="IA13" s="99">
        <v>276</v>
      </c>
      <c r="IB13" s="99">
        <v>307</v>
      </c>
      <c r="IC13" s="99">
        <v>307</v>
      </c>
      <c r="ID13" s="99">
        <v>307</v>
      </c>
      <c r="IE13" s="99">
        <v>307</v>
      </c>
      <c r="IF13" s="99">
        <v>307</v>
      </c>
      <c r="IG13" s="99">
        <v>307</v>
      </c>
      <c r="IH13" s="99">
        <v>307</v>
      </c>
      <c r="II13" s="99">
        <v>307</v>
      </c>
      <c r="IJ13" s="99">
        <v>307</v>
      </c>
      <c r="IK13" s="99">
        <v>307</v>
      </c>
      <c r="IL13" s="99">
        <v>307</v>
      </c>
      <c r="IM13" s="99">
        <v>307</v>
      </c>
      <c r="IN13" s="99">
        <v>307</v>
      </c>
      <c r="IO13" s="99">
        <v>307</v>
      </c>
      <c r="IP13" s="99">
        <v>307</v>
      </c>
      <c r="IQ13" s="99">
        <v>307</v>
      </c>
      <c r="IR13" s="99">
        <v>307</v>
      </c>
      <c r="IS13" s="99">
        <v>307</v>
      </c>
      <c r="IT13" s="99">
        <v>300</v>
      </c>
      <c r="IU13" s="99">
        <v>300</v>
      </c>
      <c r="IV13" s="99">
        <v>300</v>
      </c>
      <c r="IW13" s="99">
        <v>300</v>
      </c>
      <c r="IX13" s="99">
        <v>300</v>
      </c>
      <c r="IY13" s="99">
        <v>300</v>
      </c>
      <c r="IZ13" s="99">
        <v>330</v>
      </c>
      <c r="JA13" s="99">
        <v>330</v>
      </c>
      <c r="JB13" s="99">
        <v>330</v>
      </c>
      <c r="JC13" s="99">
        <v>330</v>
      </c>
      <c r="JD13" s="99">
        <v>330</v>
      </c>
      <c r="JE13" s="99">
        <v>330</v>
      </c>
      <c r="JF13" s="99">
        <v>330</v>
      </c>
      <c r="JG13" s="99">
        <v>330</v>
      </c>
      <c r="JH13" s="99">
        <v>330</v>
      </c>
      <c r="JI13" s="99">
        <v>330</v>
      </c>
      <c r="JJ13" s="99">
        <v>315</v>
      </c>
      <c r="JK13" s="99">
        <v>315</v>
      </c>
      <c r="JL13" s="99">
        <v>244</v>
      </c>
      <c r="JM13" s="99">
        <v>264</v>
      </c>
      <c r="JN13" s="99">
        <v>264</v>
      </c>
      <c r="JO13" s="99">
        <v>264</v>
      </c>
      <c r="JP13" s="99">
        <v>264</v>
      </c>
      <c r="JQ13" s="99">
        <v>264</v>
      </c>
      <c r="JR13" s="99">
        <v>264</v>
      </c>
      <c r="JS13" s="99">
        <v>264</v>
      </c>
      <c r="JT13" s="99">
        <v>264</v>
      </c>
      <c r="JU13" s="99">
        <v>264</v>
      </c>
      <c r="JV13" s="99">
        <v>264</v>
      </c>
      <c r="JW13" s="99">
        <v>264</v>
      </c>
      <c r="JX13" s="99">
        <v>264</v>
      </c>
      <c r="JY13" s="99">
        <v>223</v>
      </c>
      <c r="JZ13" s="99">
        <v>223</v>
      </c>
      <c r="KA13" s="99">
        <v>223</v>
      </c>
      <c r="KB13" s="99">
        <v>223</v>
      </c>
      <c r="KC13" s="99">
        <v>223</v>
      </c>
      <c r="KD13" s="99">
        <v>254</v>
      </c>
      <c r="KE13" s="99">
        <v>254</v>
      </c>
      <c r="KF13" s="99">
        <v>254</v>
      </c>
      <c r="KG13" s="99">
        <v>254</v>
      </c>
      <c r="KH13" s="99">
        <v>254</v>
      </c>
      <c r="KI13" s="99">
        <v>216</v>
      </c>
      <c r="KJ13" s="99">
        <v>216</v>
      </c>
      <c r="KK13" s="99">
        <v>216</v>
      </c>
      <c r="KL13" s="99">
        <v>216</v>
      </c>
      <c r="KM13" s="99">
        <v>198</v>
      </c>
      <c r="KN13" s="99">
        <v>285</v>
      </c>
      <c r="KO13" s="99">
        <v>300</v>
      </c>
      <c r="KP13" s="99">
        <v>241</v>
      </c>
      <c r="KQ13" s="99">
        <v>293</v>
      </c>
      <c r="KR13" s="99">
        <v>293</v>
      </c>
      <c r="KS13" s="99">
        <v>293</v>
      </c>
      <c r="KT13" s="99">
        <v>245</v>
      </c>
      <c r="KU13" s="99">
        <v>245</v>
      </c>
      <c r="KV13" s="99">
        <v>245</v>
      </c>
      <c r="KW13" s="99">
        <v>289</v>
      </c>
      <c r="KX13" s="99">
        <v>289</v>
      </c>
      <c r="KY13" s="99">
        <v>289</v>
      </c>
      <c r="KZ13" s="99">
        <v>289</v>
      </c>
      <c r="LA13" s="99">
        <v>289</v>
      </c>
      <c r="LB13" s="99">
        <v>358</v>
      </c>
      <c r="LC13" s="99">
        <v>358</v>
      </c>
      <c r="LD13" s="99">
        <v>358</v>
      </c>
      <c r="LE13" s="99">
        <v>329</v>
      </c>
      <c r="LF13" s="99">
        <v>329</v>
      </c>
      <c r="LG13" s="99">
        <v>329</v>
      </c>
      <c r="LH13" s="99">
        <v>222</v>
      </c>
      <c r="LI13" s="99">
        <v>222</v>
      </c>
      <c r="LJ13" s="99">
        <v>222</v>
      </c>
      <c r="LK13" s="99">
        <v>222</v>
      </c>
      <c r="LL13" s="99">
        <v>304</v>
      </c>
      <c r="LM13" s="99">
        <v>304</v>
      </c>
      <c r="LN13" s="99">
        <v>304</v>
      </c>
      <c r="LO13" s="99">
        <v>304</v>
      </c>
      <c r="LP13" s="99">
        <v>304</v>
      </c>
      <c r="LQ13" s="99">
        <v>304</v>
      </c>
      <c r="LR13" s="99">
        <v>304</v>
      </c>
      <c r="LS13" s="99">
        <v>304</v>
      </c>
      <c r="LT13" s="99">
        <v>304</v>
      </c>
      <c r="LU13" s="99">
        <v>304</v>
      </c>
      <c r="LV13" s="99">
        <v>304</v>
      </c>
      <c r="LW13" s="99">
        <v>304</v>
      </c>
      <c r="LX13" s="99">
        <v>287</v>
      </c>
      <c r="LY13" s="99">
        <v>287</v>
      </c>
      <c r="LZ13" s="99">
        <v>287</v>
      </c>
      <c r="MA13" s="99">
        <v>287</v>
      </c>
      <c r="MB13" s="99">
        <v>287</v>
      </c>
      <c r="MC13" s="99">
        <v>287</v>
      </c>
      <c r="MD13" s="99">
        <v>287</v>
      </c>
      <c r="ME13" s="99">
        <v>287</v>
      </c>
      <c r="MF13" s="99">
        <v>430</v>
      </c>
      <c r="MG13" s="99">
        <v>430</v>
      </c>
      <c r="MH13" s="99">
        <v>430</v>
      </c>
      <c r="MI13" s="99">
        <v>304</v>
      </c>
      <c r="MJ13" s="99">
        <v>304</v>
      </c>
      <c r="MK13" s="99">
        <v>224</v>
      </c>
      <c r="ML13" s="99">
        <v>224</v>
      </c>
      <c r="MM13" s="99">
        <v>224</v>
      </c>
      <c r="MN13" s="99">
        <v>224</v>
      </c>
      <c r="MO13" s="99">
        <v>224</v>
      </c>
      <c r="MP13" s="99">
        <v>224</v>
      </c>
      <c r="MQ13" s="99">
        <v>224</v>
      </c>
      <c r="MR13" s="99">
        <v>224</v>
      </c>
      <c r="MS13" s="99">
        <v>284</v>
      </c>
      <c r="MT13" s="99">
        <v>422</v>
      </c>
      <c r="MU13" s="99">
        <v>370</v>
      </c>
      <c r="MV13" s="99">
        <v>370</v>
      </c>
      <c r="MW13" s="99">
        <v>352</v>
      </c>
      <c r="MX13" s="99">
        <v>352</v>
      </c>
      <c r="MY13" s="99">
        <v>351</v>
      </c>
      <c r="MZ13" s="99">
        <v>280</v>
      </c>
      <c r="NA13" s="99">
        <v>335</v>
      </c>
      <c r="NB13" s="99">
        <v>335</v>
      </c>
      <c r="NC13" s="99">
        <v>411</v>
      </c>
      <c r="ND13" s="99">
        <v>411</v>
      </c>
      <c r="NE13" s="99">
        <v>187</v>
      </c>
      <c r="NF13" s="99">
        <v>334</v>
      </c>
      <c r="NG13" s="99">
        <v>334</v>
      </c>
      <c r="NH13" s="99">
        <v>666</v>
      </c>
      <c r="NI13" s="99">
        <v>666</v>
      </c>
      <c r="NJ13" s="99">
        <v>666</v>
      </c>
      <c r="NK13" s="99">
        <v>666</v>
      </c>
      <c r="NL13" s="99">
        <v>666</v>
      </c>
      <c r="NM13" s="99">
        <v>666</v>
      </c>
      <c r="NN13" s="99">
        <v>666</v>
      </c>
      <c r="NO13" s="99">
        <v>666</v>
      </c>
      <c r="NP13" s="99">
        <v>666</v>
      </c>
      <c r="NQ13" s="99">
        <v>666</v>
      </c>
      <c r="NR13" s="99">
        <v>666</v>
      </c>
      <c r="NS13" s="99">
        <v>666</v>
      </c>
      <c r="NT13" s="99">
        <v>666</v>
      </c>
      <c r="NU13" s="99">
        <v>666</v>
      </c>
      <c r="NV13" s="99">
        <v>666</v>
      </c>
      <c r="NW13" s="99">
        <v>666</v>
      </c>
      <c r="NX13" s="99">
        <v>666</v>
      </c>
      <c r="NY13" s="99">
        <v>666</v>
      </c>
      <c r="NZ13" s="99">
        <v>666</v>
      </c>
      <c r="OA13" s="99">
        <v>666</v>
      </c>
      <c r="OB13" s="99">
        <v>666</v>
      </c>
      <c r="OC13" s="99">
        <v>666</v>
      </c>
      <c r="OD13" s="99">
        <v>666</v>
      </c>
      <c r="OE13" s="99">
        <v>666</v>
      </c>
      <c r="OF13" s="99">
        <v>666</v>
      </c>
      <c r="OG13" s="99">
        <v>666</v>
      </c>
      <c r="OH13" s="99">
        <v>666</v>
      </c>
      <c r="OI13" s="99">
        <v>666</v>
      </c>
      <c r="OJ13" s="99">
        <v>666</v>
      </c>
      <c r="OK13" s="99">
        <v>666</v>
      </c>
      <c r="OL13" s="99">
        <v>666</v>
      </c>
      <c r="OM13" s="99">
        <v>666</v>
      </c>
      <c r="ON13" s="99">
        <v>666</v>
      </c>
      <c r="OO13" s="99">
        <v>666</v>
      </c>
      <c r="OP13" s="99">
        <v>666</v>
      </c>
      <c r="OQ13" s="99">
        <v>666</v>
      </c>
      <c r="OR13" s="99">
        <v>666</v>
      </c>
      <c r="OS13" s="99">
        <v>666</v>
      </c>
      <c r="OT13" s="99">
        <v>666</v>
      </c>
      <c r="OU13" s="99">
        <v>666</v>
      </c>
      <c r="OV13" s="99">
        <v>666</v>
      </c>
      <c r="OW13" s="99">
        <v>666</v>
      </c>
      <c r="OX13" s="99">
        <v>666</v>
      </c>
      <c r="OY13" s="99">
        <v>666</v>
      </c>
      <c r="OZ13" s="99">
        <v>666</v>
      </c>
      <c r="PA13" s="99">
        <v>666</v>
      </c>
      <c r="PB13" s="99">
        <v>666</v>
      </c>
      <c r="PC13" s="99">
        <v>666</v>
      </c>
      <c r="PD13" s="99">
        <v>666</v>
      </c>
      <c r="PE13" s="99">
        <v>666</v>
      </c>
      <c r="PF13" s="99">
        <v>666</v>
      </c>
      <c r="PG13" s="99">
        <v>666</v>
      </c>
      <c r="PH13" s="99">
        <v>666</v>
      </c>
      <c r="PI13" s="99">
        <v>666</v>
      </c>
      <c r="PJ13" s="99">
        <v>666</v>
      </c>
      <c r="PK13" s="99">
        <v>666</v>
      </c>
      <c r="PL13" s="99">
        <v>666</v>
      </c>
      <c r="PM13" s="99">
        <v>666</v>
      </c>
      <c r="PN13" s="99">
        <v>666</v>
      </c>
      <c r="PO13" s="99">
        <v>666</v>
      </c>
      <c r="PP13" s="99">
        <v>666</v>
      </c>
      <c r="PQ13" s="99">
        <v>666</v>
      </c>
      <c r="PR13" s="99">
        <v>666</v>
      </c>
      <c r="PS13" s="99">
        <v>666</v>
      </c>
      <c r="PT13" s="99">
        <v>666</v>
      </c>
      <c r="PU13" s="99">
        <v>666</v>
      </c>
      <c r="PV13" s="99">
        <v>666</v>
      </c>
      <c r="PW13" s="99">
        <v>666</v>
      </c>
      <c r="PX13" s="99">
        <v>666</v>
      </c>
      <c r="PY13" s="99">
        <v>666</v>
      </c>
      <c r="PZ13" s="99">
        <v>666</v>
      </c>
      <c r="QA13" s="99">
        <v>666</v>
      </c>
      <c r="QB13" s="99">
        <v>666</v>
      </c>
      <c r="QC13" s="99">
        <v>666</v>
      </c>
      <c r="QD13" s="99">
        <v>666</v>
      </c>
      <c r="QE13" s="99">
        <v>666</v>
      </c>
      <c r="QF13" s="99">
        <v>666</v>
      </c>
      <c r="QG13" s="99">
        <v>666</v>
      </c>
      <c r="QH13" s="99">
        <v>666</v>
      </c>
      <c r="QI13" s="99">
        <v>666</v>
      </c>
      <c r="QJ13" s="99">
        <v>666</v>
      </c>
      <c r="QK13" s="99">
        <v>666</v>
      </c>
      <c r="QL13" s="99">
        <v>666</v>
      </c>
      <c r="QM13" s="99">
        <v>666</v>
      </c>
      <c r="QN13" s="99">
        <v>666</v>
      </c>
      <c r="QO13" s="99">
        <v>666</v>
      </c>
      <c r="QP13" s="99">
        <v>666</v>
      </c>
      <c r="QQ13" s="99">
        <v>666</v>
      </c>
      <c r="QR13" s="99">
        <v>666</v>
      </c>
      <c r="QS13" s="99">
        <v>666</v>
      </c>
      <c r="QT13" s="99">
        <v>666</v>
      </c>
      <c r="QU13" s="99">
        <v>666</v>
      </c>
      <c r="QV13" s="99">
        <v>666</v>
      </c>
      <c r="QW13" s="99">
        <v>666</v>
      </c>
      <c r="QX13" s="99">
        <v>666</v>
      </c>
      <c r="QY13" s="99">
        <v>666</v>
      </c>
      <c r="QZ13" s="99">
        <v>666</v>
      </c>
      <c r="RA13" s="99">
        <v>666</v>
      </c>
      <c r="RB13" s="99">
        <v>666</v>
      </c>
      <c r="RC13" s="99">
        <v>666</v>
      </c>
      <c r="RD13" s="99">
        <v>666</v>
      </c>
      <c r="RE13" s="99">
        <v>666</v>
      </c>
      <c r="RF13" s="99">
        <v>666</v>
      </c>
      <c r="RG13" s="99">
        <v>666</v>
      </c>
      <c r="RH13" s="99">
        <v>666</v>
      </c>
      <c r="RI13" s="99">
        <v>666</v>
      </c>
      <c r="RJ13" s="99">
        <v>666</v>
      </c>
      <c r="RK13" s="99">
        <v>666</v>
      </c>
      <c r="RL13" s="99">
        <v>666</v>
      </c>
      <c r="RM13" s="99">
        <v>666</v>
      </c>
      <c r="RN13" s="99">
        <v>666</v>
      </c>
      <c r="RO13" s="99">
        <v>666</v>
      </c>
      <c r="RP13" s="99">
        <v>666</v>
      </c>
      <c r="RQ13" s="99">
        <v>666</v>
      </c>
      <c r="RR13" s="99">
        <v>666</v>
      </c>
      <c r="RS13" s="99">
        <v>666</v>
      </c>
      <c r="RT13" s="99">
        <v>666</v>
      </c>
      <c r="RU13" s="99">
        <v>666</v>
      </c>
      <c r="RV13" s="99">
        <v>666</v>
      </c>
      <c r="RW13" s="99">
        <v>666</v>
      </c>
      <c r="RX13" s="99">
        <v>666</v>
      </c>
      <c r="RY13" s="99">
        <v>666</v>
      </c>
      <c r="RZ13" s="99">
        <v>666</v>
      </c>
      <c r="SA13" s="99">
        <v>666</v>
      </c>
      <c r="SB13" s="99">
        <v>666</v>
      </c>
      <c r="SC13" s="99">
        <v>666</v>
      </c>
      <c r="SD13" s="99">
        <v>666</v>
      </c>
      <c r="SE13" s="99">
        <v>666</v>
      </c>
      <c r="SF13" s="99">
        <v>666</v>
      </c>
      <c r="SG13" s="99">
        <v>666</v>
      </c>
      <c r="SH13" s="99">
        <v>666</v>
      </c>
      <c r="SI13" s="99">
        <v>666</v>
      </c>
      <c r="SJ13" s="99">
        <v>711</v>
      </c>
      <c r="SK13" s="99">
        <v>711</v>
      </c>
      <c r="SL13" s="99">
        <v>711</v>
      </c>
      <c r="SM13" s="99">
        <v>711</v>
      </c>
      <c r="SN13" s="99">
        <v>711</v>
      </c>
      <c r="SO13" s="99">
        <v>391</v>
      </c>
      <c r="SP13" s="99">
        <v>391</v>
      </c>
      <c r="SQ13" s="99">
        <v>391</v>
      </c>
      <c r="SR13" s="99">
        <v>391</v>
      </c>
      <c r="SS13" s="99">
        <v>391</v>
      </c>
      <c r="ST13" s="99">
        <v>391</v>
      </c>
      <c r="SU13" s="99">
        <v>391</v>
      </c>
      <c r="SV13" s="99">
        <v>391</v>
      </c>
      <c r="SW13" s="99">
        <v>273</v>
      </c>
      <c r="SX13" s="99">
        <v>273</v>
      </c>
      <c r="SY13" s="99">
        <v>273</v>
      </c>
      <c r="SZ13" s="99">
        <v>273</v>
      </c>
      <c r="TA13" s="99">
        <v>273</v>
      </c>
    </row>
    <row r="14" spans="1:521">
      <c r="A14">
        <v>1</v>
      </c>
      <c r="B14">
        <v>0.17004</v>
      </c>
      <c r="C14">
        <v>7.87</v>
      </c>
      <c r="D14">
        <v>0.52400000000000002</v>
      </c>
      <c r="E14">
        <v>6.0039999999999996</v>
      </c>
      <c r="F14">
        <v>85.9</v>
      </c>
      <c r="G14">
        <v>6.5921000000000003</v>
      </c>
      <c r="H14">
        <v>5</v>
      </c>
      <c r="I14">
        <v>311</v>
      </c>
      <c r="J14">
        <v>15.2</v>
      </c>
      <c r="K14">
        <v>386.71</v>
      </c>
      <c r="L14">
        <v>17.100000000000001</v>
      </c>
      <c r="M14">
        <v>18.899999999999999</v>
      </c>
      <c r="N14" s="107">
        <f t="shared" si="0"/>
        <v>20.120157983136096</v>
      </c>
      <c r="O14"/>
      <c r="P14" s="99">
        <v>15.3</v>
      </c>
      <c r="Q14" s="99">
        <v>17.8</v>
      </c>
      <c r="R14" s="99">
        <v>17.8</v>
      </c>
      <c r="S14" s="99">
        <v>18.7</v>
      </c>
      <c r="T14" s="99">
        <v>18.7</v>
      </c>
      <c r="U14" s="99">
        <v>18.7</v>
      </c>
      <c r="V14" s="99">
        <v>15.2</v>
      </c>
      <c r="W14" s="99">
        <v>15.2</v>
      </c>
      <c r="X14" s="99">
        <v>15.2</v>
      </c>
      <c r="Y14" s="99">
        <v>15.2</v>
      </c>
      <c r="Z14" s="99">
        <v>15.2</v>
      </c>
      <c r="AA14" s="99">
        <v>15.2</v>
      </c>
      <c r="AB14" s="99">
        <v>15.2</v>
      </c>
      <c r="AC14" s="99">
        <v>21</v>
      </c>
      <c r="AD14" s="99">
        <v>21</v>
      </c>
      <c r="AE14" s="99">
        <v>21</v>
      </c>
      <c r="AF14" s="99">
        <v>21</v>
      </c>
      <c r="AG14" s="99">
        <v>21</v>
      </c>
      <c r="AH14" s="99">
        <v>21</v>
      </c>
      <c r="AI14" s="99">
        <v>21</v>
      </c>
      <c r="AJ14" s="99">
        <v>21</v>
      </c>
      <c r="AK14" s="99">
        <v>21</v>
      </c>
      <c r="AL14" s="99">
        <v>21</v>
      </c>
      <c r="AM14" s="99">
        <v>21</v>
      </c>
      <c r="AN14" s="99">
        <v>21</v>
      </c>
      <c r="AO14" s="99">
        <v>21</v>
      </c>
      <c r="AP14" s="99">
        <v>21</v>
      </c>
      <c r="AQ14" s="99">
        <v>21</v>
      </c>
      <c r="AR14" s="99">
        <v>21</v>
      </c>
      <c r="AS14" s="99">
        <v>21</v>
      </c>
      <c r="AT14" s="99">
        <v>21</v>
      </c>
      <c r="AU14" s="99">
        <v>21</v>
      </c>
      <c r="AV14" s="99">
        <v>21</v>
      </c>
      <c r="AW14" s="99">
        <v>21</v>
      </c>
      <c r="AX14" s="99">
        <v>21</v>
      </c>
      <c r="AY14" s="99">
        <v>19.2</v>
      </c>
      <c r="AZ14" s="99">
        <v>19.2</v>
      </c>
      <c r="BA14" s="99">
        <v>19.2</v>
      </c>
      <c r="BB14" s="99">
        <v>19.2</v>
      </c>
      <c r="BC14" s="99">
        <v>18.3</v>
      </c>
      <c r="BD14" s="99">
        <v>18.3</v>
      </c>
      <c r="BE14" s="99">
        <v>17.899999999999999</v>
      </c>
      <c r="BF14" s="99">
        <v>17.899999999999999</v>
      </c>
      <c r="BG14" s="99">
        <v>17.899999999999999</v>
      </c>
      <c r="BH14" s="99">
        <v>17.899999999999999</v>
      </c>
      <c r="BI14" s="99">
        <v>17.899999999999999</v>
      </c>
      <c r="BJ14" s="99">
        <v>17.899999999999999</v>
      </c>
      <c r="BK14" s="99">
        <v>17.899999999999999</v>
      </c>
      <c r="BL14" s="99">
        <v>17.899999999999999</v>
      </c>
      <c r="BM14" s="99">
        <v>17.899999999999999</v>
      </c>
      <c r="BN14" s="99">
        <v>16.8</v>
      </c>
      <c r="BO14" s="99">
        <v>16.8</v>
      </c>
      <c r="BP14" s="99">
        <v>16.8</v>
      </c>
      <c r="BQ14" s="99">
        <v>16.8</v>
      </c>
      <c r="BR14" s="99">
        <v>21.1</v>
      </c>
      <c r="BS14" s="99">
        <v>17.899999999999999</v>
      </c>
      <c r="BT14" s="99">
        <v>17.3</v>
      </c>
      <c r="BU14" s="99">
        <v>15.1</v>
      </c>
      <c r="BV14" s="99">
        <v>19.7</v>
      </c>
      <c r="BW14" s="99">
        <v>19.7</v>
      </c>
      <c r="BX14" s="99">
        <v>19.7</v>
      </c>
      <c r="BY14" s="99">
        <v>19.7</v>
      </c>
      <c r="BZ14" s="99">
        <v>19.7</v>
      </c>
      <c r="CA14" s="99">
        <v>19.7</v>
      </c>
      <c r="CB14" s="99">
        <v>18.600000000000001</v>
      </c>
      <c r="CC14" s="99">
        <v>16.100000000000001</v>
      </c>
      <c r="CD14" s="99">
        <v>16.100000000000001</v>
      </c>
      <c r="CE14" s="99">
        <v>18.899999999999999</v>
      </c>
      <c r="CF14" s="99">
        <v>18.899999999999999</v>
      </c>
      <c r="CG14" s="99">
        <v>18.899999999999999</v>
      </c>
      <c r="CH14" s="99">
        <v>19.2</v>
      </c>
      <c r="CI14" s="99">
        <v>19.2</v>
      </c>
      <c r="CJ14" s="99">
        <v>19.2</v>
      </c>
      <c r="CK14" s="99">
        <v>19.2</v>
      </c>
      <c r="CL14" s="99">
        <v>18.7</v>
      </c>
      <c r="CM14" s="99">
        <v>18.7</v>
      </c>
      <c r="CN14" s="99">
        <v>18.7</v>
      </c>
      <c r="CO14" s="99">
        <v>18.7</v>
      </c>
      <c r="CP14" s="99">
        <v>18.7</v>
      </c>
      <c r="CQ14" s="99">
        <v>18.7</v>
      </c>
      <c r="CR14" s="99">
        <v>19</v>
      </c>
      <c r="CS14" s="99">
        <v>19</v>
      </c>
      <c r="CT14" s="99">
        <v>19</v>
      </c>
      <c r="CU14" s="99">
        <v>19</v>
      </c>
      <c r="CV14" s="99">
        <v>18.5</v>
      </c>
      <c r="CW14" s="99">
        <v>18.5</v>
      </c>
      <c r="CX14" s="99">
        <v>18.5</v>
      </c>
      <c r="CY14" s="99">
        <v>18.5</v>
      </c>
      <c r="CZ14" s="99">
        <v>17.8</v>
      </c>
      <c r="DA14" s="99">
        <v>17.8</v>
      </c>
      <c r="DB14" s="99">
        <v>17.8</v>
      </c>
      <c r="DC14" s="99">
        <v>17.8</v>
      </c>
      <c r="DD14" s="99">
        <v>18.2</v>
      </c>
      <c r="DE14" s="99">
        <v>18.2</v>
      </c>
      <c r="DF14" s="99">
        <v>18.2</v>
      </c>
      <c r="DG14" s="99">
        <v>18</v>
      </c>
      <c r="DH14" s="99">
        <v>18</v>
      </c>
      <c r="DI14" s="99">
        <v>18</v>
      </c>
      <c r="DJ14" s="99">
        <v>18</v>
      </c>
      <c r="DK14" s="99">
        <v>18</v>
      </c>
      <c r="DL14" s="99">
        <v>20.9</v>
      </c>
      <c r="DM14" s="99">
        <v>20.9</v>
      </c>
      <c r="DN14" s="99">
        <v>20.9</v>
      </c>
      <c r="DO14" s="99">
        <v>20.9</v>
      </c>
      <c r="DP14" s="99">
        <v>20.9</v>
      </c>
      <c r="DQ14" s="99">
        <v>20.9</v>
      </c>
      <c r="DR14" s="99">
        <v>20.9</v>
      </c>
      <c r="DS14" s="99">
        <v>20.9</v>
      </c>
      <c r="DT14" s="99">
        <v>20.9</v>
      </c>
      <c r="DU14" s="99">
        <v>20.9</v>
      </c>
      <c r="DV14" s="99">
        <v>20.9</v>
      </c>
      <c r="DW14" s="99">
        <v>17.8</v>
      </c>
      <c r="DX14" s="99">
        <v>17.8</v>
      </c>
      <c r="DY14" s="99">
        <v>17.8</v>
      </c>
      <c r="DZ14" s="99">
        <v>17.8</v>
      </c>
      <c r="EA14" s="99">
        <v>17.8</v>
      </c>
      <c r="EB14" s="99">
        <v>17.8</v>
      </c>
      <c r="EC14" s="99">
        <v>17.8</v>
      </c>
      <c r="ED14" s="99">
        <v>17.8</v>
      </c>
      <c r="EE14" s="99">
        <v>17.8</v>
      </c>
      <c r="EF14" s="99">
        <v>19.100000000000001</v>
      </c>
      <c r="EG14" s="99">
        <v>19.100000000000001</v>
      </c>
      <c r="EH14" s="99">
        <v>19.100000000000001</v>
      </c>
      <c r="EI14" s="99">
        <v>19.100000000000001</v>
      </c>
      <c r="EJ14" s="99">
        <v>19.100000000000001</v>
      </c>
      <c r="EK14" s="99">
        <v>19.100000000000001</v>
      </c>
      <c r="EL14" s="99">
        <v>19.100000000000001</v>
      </c>
      <c r="EM14" s="99">
        <v>21.2</v>
      </c>
      <c r="EN14" s="99">
        <v>21.2</v>
      </c>
      <c r="EO14" s="99">
        <v>21.2</v>
      </c>
      <c r="EP14" s="99">
        <v>21.2</v>
      </c>
      <c r="EQ14" s="99">
        <v>21.2</v>
      </c>
      <c r="ER14" s="99">
        <v>21.2</v>
      </c>
      <c r="ES14" s="99">
        <v>21.2</v>
      </c>
      <c r="ET14" s="99">
        <v>21.2</v>
      </c>
      <c r="EU14" s="99">
        <v>21.2</v>
      </c>
      <c r="EV14" s="99">
        <v>21.2</v>
      </c>
      <c r="EW14" s="99">
        <v>21.2</v>
      </c>
      <c r="EX14" s="99">
        <v>21.2</v>
      </c>
      <c r="EY14" s="99">
        <v>21.2</v>
      </c>
      <c r="EZ14" s="99">
        <v>21.2</v>
      </c>
      <c r="FA14" s="99">
        <v>21.2</v>
      </c>
      <c r="FB14" s="99">
        <v>14.7</v>
      </c>
      <c r="FC14" s="99">
        <v>14.7</v>
      </c>
      <c r="FD14" s="99">
        <v>14.7</v>
      </c>
      <c r="FE14" s="99">
        <v>14.7</v>
      </c>
      <c r="FF14" s="99">
        <v>14.7</v>
      </c>
      <c r="FG14" s="99">
        <v>14.7</v>
      </c>
      <c r="FH14" s="99">
        <v>14.7</v>
      </c>
      <c r="FI14" s="99">
        <v>14.7</v>
      </c>
      <c r="FJ14" s="99">
        <v>14.7</v>
      </c>
      <c r="FK14" s="99">
        <v>14.7</v>
      </c>
      <c r="FL14" s="99">
        <v>14.7</v>
      </c>
      <c r="FM14" s="99">
        <v>14.7</v>
      </c>
      <c r="FN14" s="99">
        <v>14.7</v>
      </c>
      <c r="FO14" s="99">
        <v>14.7</v>
      </c>
      <c r="FP14" s="99">
        <v>14.7</v>
      </c>
      <c r="FQ14" s="99">
        <v>14.7</v>
      </c>
      <c r="FR14" s="99">
        <v>14.7</v>
      </c>
      <c r="FS14" s="99">
        <v>14.7</v>
      </c>
      <c r="FT14" s="99">
        <v>14.7</v>
      </c>
      <c r="FU14" s="99">
        <v>14.7</v>
      </c>
      <c r="FV14" s="99">
        <v>14.7</v>
      </c>
      <c r="FW14" s="99">
        <v>14.7</v>
      </c>
      <c r="FX14" s="99">
        <v>14.7</v>
      </c>
      <c r="FY14" s="99">
        <v>14.7</v>
      </c>
      <c r="FZ14" s="99">
        <v>14.7</v>
      </c>
      <c r="GA14" s="99">
        <v>14.7</v>
      </c>
      <c r="GB14" s="99">
        <v>14.7</v>
      </c>
      <c r="GC14" s="99">
        <v>14.7</v>
      </c>
      <c r="GD14" s="99">
        <v>14.7</v>
      </c>
      <c r="GE14" s="99">
        <v>14.7</v>
      </c>
      <c r="GF14" s="99">
        <v>16.600000000000001</v>
      </c>
      <c r="GG14" s="99">
        <v>16.600000000000001</v>
      </c>
      <c r="GH14" s="99">
        <v>16.600000000000001</v>
      </c>
      <c r="GI14" s="99">
        <v>16.600000000000001</v>
      </c>
      <c r="GJ14" s="99">
        <v>16.600000000000001</v>
      </c>
      <c r="GK14" s="99">
        <v>16.600000000000001</v>
      </c>
      <c r="GL14" s="99">
        <v>16.600000000000001</v>
      </c>
      <c r="GM14" s="99">
        <v>17.8</v>
      </c>
      <c r="GN14" s="99">
        <v>17.8</v>
      </c>
      <c r="GO14" s="99">
        <v>17.8</v>
      </c>
      <c r="GP14" s="99">
        <v>17.8</v>
      </c>
      <c r="GQ14" s="99">
        <v>17.8</v>
      </c>
      <c r="GR14" s="99">
        <v>17.8</v>
      </c>
      <c r="GS14" s="99">
        <v>17.8</v>
      </c>
      <c r="GT14" s="99">
        <v>17.8</v>
      </c>
      <c r="GU14" s="99">
        <v>15.2</v>
      </c>
      <c r="GV14" s="99">
        <v>15.2</v>
      </c>
      <c r="GW14" s="99">
        <v>15.2</v>
      </c>
      <c r="GX14" s="99">
        <v>15.2</v>
      </c>
      <c r="GY14" s="99">
        <v>15.2</v>
      </c>
      <c r="GZ14" s="99">
        <v>15.2</v>
      </c>
      <c r="HA14" s="99">
        <v>15.6</v>
      </c>
      <c r="HB14" s="99">
        <v>15.6</v>
      </c>
      <c r="HC14" s="99">
        <v>14.4</v>
      </c>
      <c r="HD14" s="99">
        <v>12.6</v>
      </c>
      <c r="HE14" s="99">
        <v>12.6</v>
      </c>
      <c r="HF14" s="99">
        <v>12.6</v>
      </c>
      <c r="HG14" s="99">
        <v>17</v>
      </c>
      <c r="HH14" s="99">
        <v>17</v>
      </c>
      <c r="HI14" s="99">
        <v>14.7</v>
      </c>
      <c r="HJ14" s="99">
        <v>14.7</v>
      </c>
      <c r="HK14" s="99">
        <v>14.7</v>
      </c>
      <c r="HL14" s="99">
        <v>14.7</v>
      </c>
      <c r="HM14" s="99">
        <v>18.600000000000001</v>
      </c>
      <c r="HN14" s="99">
        <v>18.600000000000001</v>
      </c>
      <c r="HO14" s="99">
        <v>18.600000000000001</v>
      </c>
      <c r="HP14" s="99">
        <v>18.600000000000001</v>
      </c>
      <c r="HQ14" s="99">
        <v>18.600000000000001</v>
      </c>
      <c r="HR14" s="99">
        <v>18.600000000000001</v>
      </c>
      <c r="HS14" s="99">
        <v>18.600000000000001</v>
      </c>
      <c r="HT14" s="99">
        <v>18.600000000000001</v>
      </c>
      <c r="HU14" s="99">
        <v>18.600000000000001</v>
      </c>
      <c r="HV14" s="99">
        <v>18.600000000000001</v>
      </c>
      <c r="HW14" s="99">
        <v>18.600000000000001</v>
      </c>
      <c r="HX14" s="99">
        <v>16.399999999999999</v>
      </c>
      <c r="HY14" s="99">
        <v>16.399999999999999</v>
      </c>
      <c r="HZ14" s="99">
        <v>16.399999999999999</v>
      </c>
      <c r="IA14" s="99">
        <v>16.399999999999999</v>
      </c>
      <c r="IB14" s="99">
        <v>17.399999999999999</v>
      </c>
      <c r="IC14" s="99">
        <v>17.399999999999999</v>
      </c>
      <c r="ID14" s="99">
        <v>17.399999999999999</v>
      </c>
      <c r="IE14" s="99">
        <v>17.399999999999999</v>
      </c>
      <c r="IF14" s="99">
        <v>17.399999999999999</v>
      </c>
      <c r="IG14" s="99">
        <v>17.399999999999999</v>
      </c>
      <c r="IH14" s="99">
        <v>17.399999999999999</v>
      </c>
      <c r="II14" s="99">
        <v>17.399999999999999</v>
      </c>
      <c r="IJ14" s="99">
        <v>17.399999999999999</v>
      </c>
      <c r="IK14" s="99">
        <v>17.399999999999999</v>
      </c>
      <c r="IL14" s="99">
        <v>17.399999999999999</v>
      </c>
      <c r="IM14" s="99">
        <v>17.399999999999999</v>
      </c>
      <c r="IN14" s="99">
        <v>17.399999999999999</v>
      </c>
      <c r="IO14" s="99">
        <v>17.399999999999999</v>
      </c>
      <c r="IP14" s="99">
        <v>17.399999999999999</v>
      </c>
      <c r="IQ14" s="99">
        <v>17.399999999999999</v>
      </c>
      <c r="IR14" s="99">
        <v>17.399999999999999</v>
      </c>
      <c r="IS14" s="99">
        <v>17.399999999999999</v>
      </c>
      <c r="IT14" s="99">
        <v>16.600000000000001</v>
      </c>
      <c r="IU14" s="99">
        <v>16.600000000000001</v>
      </c>
      <c r="IV14" s="99">
        <v>16.600000000000001</v>
      </c>
      <c r="IW14" s="99">
        <v>16.600000000000001</v>
      </c>
      <c r="IX14" s="99">
        <v>16.600000000000001</v>
      </c>
      <c r="IY14" s="99">
        <v>16.600000000000001</v>
      </c>
      <c r="IZ14" s="99">
        <v>19.100000000000001</v>
      </c>
      <c r="JA14" s="99">
        <v>19.100000000000001</v>
      </c>
      <c r="JB14" s="99">
        <v>19.100000000000001</v>
      </c>
      <c r="JC14" s="99">
        <v>19.100000000000001</v>
      </c>
      <c r="JD14" s="99">
        <v>19.100000000000001</v>
      </c>
      <c r="JE14" s="99">
        <v>19.100000000000001</v>
      </c>
      <c r="JF14" s="99">
        <v>19.100000000000001</v>
      </c>
      <c r="JG14" s="99">
        <v>19.100000000000001</v>
      </c>
      <c r="JH14" s="99">
        <v>19.100000000000001</v>
      </c>
      <c r="JI14" s="99">
        <v>19.100000000000001</v>
      </c>
      <c r="JJ14" s="99">
        <v>16.399999999999999</v>
      </c>
      <c r="JK14" s="99">
        <v>16.399999999999999</v>
      </c>
      <c r="JL14" s="99">
        <v>15.9</v>
      </c>
      <c r="JM14" s="99">
        <v>13</v>
      </c>
      <c r="JN14" s="99">
        <v>13</v>
      </c>
      <c r="JO14" s="99">
        <v>13</v>
      </c>
      <c r="JP14" s="99">
        <v>13</v>
      </c>
      <c r="JQ14" s="99">
        <v>13</v>
      </c>
      <c r="JR14" s="99">
        <v>13</v>
      </c>
      <c r="JS14" s="99">
        <v>13</v>
      </c>
      <c r="JT14" s="99">
        <v>13</v>
      </c>
      <c r="JU14" s="99">
        <v>13</v>
      </c>
      <c r="JV14" s="99">
        <v>13</v>
      </c>
      <c r="JW14" s="99">
        <v>13</v>
      </c>
      <c r="JX14" s="99">
        <v>13</v>
      </c>
      <c r="JY14" s="99">
        <v>18.600000000000001</v>
      </c>
      <c r="JZ14" s="99">
        <v>18.600000000000001</v>
      </c>
      <c r="KA14" s="99">
        <v>18.600000000000001</v>
      </c>
      <c r="KB14" s="99">
        <v>18.600000000000001</v>
      </c>
      <c r="KC14" s="99">
        <v>18.600000000000001</v>
      </c>
      <c r="KD14" s="99">
        <v>17.600000000000001</v>
      </c>
      <c r="KE14" s="99">
        <v>17.600000000000001</v>
      </c>
      <c r="KF14" s="99">
        <v>17.600000000000001</v>
      </c>
      <c r="KG14" s="99">
        <v>17.600000000000001</v>
      </c>
      <c r="KH14" s="99">
        <v>17.600000000000001</v>
      </c>
      <c r="KI14" s="99">
        <v>14.9</v>
      </c>
      <c r="KJ14" s="99">
        <v>14.9</v>
      </c>
      <c r="KK14" s="99">
        <v>14.9</v>
      </c>
      <c r="KL14" s="99">
        <v>14.9</v>
      </c>
      <c r="KM14" s="99">
        <v>13.6</v>
      </c>
      <c r="KN14" s="99">
        <v>15.3</v>
      </c>
      <c r="KO14" s="99">
        <v>15.3</v>
      </c>
      <c r="KP14" s="99">
        <v>18.2</v>
      </c>
      <c r="KQ14" s="99">
        <v>16.600000000000001</v>
      </c>
      <c r="KR14" s="99">
        <v>16.600000000000001</v>
      </c>
      <c r="KS14" s="99">
        <v>16.600000000000001</v>
      </c>
      <c r="KT14" s="99">
        <v>19.2</v>
      </c>
      <c r="KU14" s="99">
        <v>19.2</v>
      </c>
      <c r="KV14" s="99">
        <v>19.2</v>
      </c>
      <c r="KW14" s="99">
        <v>16</v>
      </c>
      <c r="KX14" s="99">
        <v>16</v>
      </c>
      <c r="KY14" s="99">
        <v>16</v>
      </c>
      <c r="KZ14" s="99">
        <v>16</v>
      </c>
      <c r="LA14" s="99">
        <v>16</v>
      </c>
      <c r="LB14" s="99">
        <v>14.8</v>
      </c>
      <c r="LC14" s="99">
        <v>14.8</v>
      </c>
      <c r="LD14" s="99">
        <v>14.8</v>
      </c>
      <c r="LE14" s="99">
        <v>16.100000000000001</v>
      </c>
      <c r="LF14" s="99">
        <v>16.100000000000001</v>
      </c>
      <c r="LG14" s="99">
        <v>16.100000000000001</v>
      </c>
      <c r="LH14" s="99">
        <v>18.399999999999999</v>
      </c>
      <c r="LI14" s="99">
        <v>18.399999999999999</v>
      </c>
      <c r="LJ14" s="99">
        <v>18.399999999999999</v>
      </c>
      <c r="LK14" s="99">
        <v>18.399999999999999</v>
      </c>
      <c r="LL14" s="99">
        <v>18.399999999999999</v>
      </c>
      <c r="LM14" s="99">
        <v>18.399999999999999</v>
      </c>
      <c r="LN14" s="99">
        <v>18.399999999999999</v>
      </c>
      <c r="LO14" s="99">
        <v>18.399999999999999</v>
      </c>
      <c r="LP14" s="99">
        <v>18.399999999999999</v>
      </c>
      <c r="LQ14" s="99">
        <v>18.399999999999999</v>
      </c>
      <c r="LR14" s="99">
        <v>18.399999999999999</v>
      </c>
      <c r="LS14" s="99">
        <v>18.399999999999999</v>
      </c>
      <c r="LT14" s="99">
        <v>18.399999999999999</v>
      </c>
      <c r="LU14" s="99">
        <v>18.399999999999999</v>
      </c>
      <c r="LV14" s="99">
        <v>18.399999999999999</v>
      </c>
      <c r="LW14" s="99">
        <v>18.399999999999999</v>
      </c>
      <c r="LX14" s="99">
        <v>19.600000000000001</v>
      </c>
      <c r="LY14" s="99">
        <v>19.600000000000001</v>
      </c>
      <c r="LZ14" s="99">
        <v>19.600000000000001</v>
      </c>
      <c r="MA14" s="99">
        <v>19.600000000000001</v>
      </c>
      <c r="MB14" s="99">
        <v>19.600000000000001</v>
      </c>
      <c r="MC14" s="99">
        <v>19.600000000000001</v>
      </c>
      <c r="MD14" s="99">
        <v>19.600000000000001</v>
      </c>
      <c r="ME14" s="99">
        <v>19.600000000000001</v>
      </c>
      <c r="MF14" s="99">
        <v>16.899999999999999</v>
      </c>
      <c r="MG14" s="99">
        <v>16.899999999999999</v>
      </c>
      <c r="MH14" s="99">
        <v>16.899999999999999</v>
      </c>
      <c r="MI14" s="99">
        <v>16.899999999999999</v>
      </c>
      <c r="MJ14" s="99">
        <v>16.899999999999999</v>
      </c>
      <c r="MK14" s="99">
        <v>20.2</v>
      </c>
      <c r="ML14" s="99">
        <v>20.2</v>
      </c>
      <c r="MM14" s="99">
        <v>20.2</v>
      </c>
      <c r="MN14" s="99">
        <v>20.2</v>
      </c>
      <c r="MO14" s="99">
        <v>20.2</v>
      </c>
      <c r="MP14" s="99">
        <v>20.2</v>
      </c>
      <c r="MQ14" s="99">
        <v>20.2</v>
      </c>
      <c r="MR14" s="99">
        <v>20.2</v>
      </c>
      <c r="MS14" s="99">
        <v>15.5</v>
      </c>
      <c r="MT14" s="99">
        <v>15.9</v>
      </c>
      <c r="MU14" s="99">
        <v>17.600000000000001</v>
      </c>
      <c r="MV14" s="99">
        <v>17.600000000000001</v>
      </c>
      <c r="MW14" s="99">
        <v>18.8</v>
      </c>
      <c r="MX14" s="99">
        <v>18.8</v>
      </c>
      <c r="MY14" s="99">
        <v>17.899999999999999</v>
      </c>
      <c r="MZ14" s="99">
        <v>17</v>
      </c>
      <c r="NA14" s="99">
        <v>19.7</v>
      </c>
      <c r="NB14" s="99">
        <v>19.7</v>
      </c>
      <c r="NC14" s="99">
        <v>18.3</v>
      </c>
      <c r="ND14" s="99">
        <v>18.3</v>
      </c>
      <c r="NE14" s="99">
        <v>17</v>
      </c>
      <c r="NF14" s="99">
        <v>22</v>
      </c>
      <c r="NG14" s="99">
        <v>22</v>
      </c>
      <c r="NH14" s="99">
        <v>20.2</v>
      </c>
      <c r="NI14" s="99">
        <v>20.2</v>
      </c>
      <c r="NJ14" s="99">
        <v>20.2</v>
      </c>
      <c r="NK14" s="99">
        <v>20.2</v>
      </c>
      <c r="NL14" s="99">
        <v>20.2</v>
      </c>
      <c r="NM14" s="99">
        <v>20.2</v>
      </c>
      <c r="NN14" s="99">
        <v>20.2</v>
      </c>
      <c r="NO14" s="99">
        <v>20.2</v>
      </c>
      <c r="NP14" s="99">
        <v>20.2</v>
      </c>
      <c r="NQ14" s="99">
        <v>20.2</v>
      </c>
      <c r="NR14" s="99">
        <v>20.2</v>
      </c>
      <c r="NS14" s="99">
        <v>20.2</v>
      </c>
      <c r="NT14" s="99">
        <v>20.2</v>
      </c>
      <c r="NU14" s="99">
        <v>20.2</v>
      </c>
      <c r="NV14" s="99">
        <v>20.2</v>
      </c>
      <c r="NW14" s="99">
        <v>20.2</v>
      </c>
      <c r="NX14" s="99">
        <v>20.2</v>
      </c>
      <c r="NY14" s="99">
        <v>20.2</v>
      </c>
      <c r="NZ14" s="99">
        <v>20.2</v>
      </c>
      <c r="OA14" s="99">
        <v>20.2</v>
      </c>
      <c r="OB14" s="99">
        <v>20.2</v>
      </c>
      <c r="OC14" s="99">
        <v>20.2</v>
      </c>
      <c r="OD14" s="99">
        <v>20.2</v>
      </c>
      <c r="OE14" s="99">
        <v>20.2</v>
      </c>
      <c r="OF14" s="99">
        <v>20.2</v>
      </c>
      <c r="OG14" s="99">
        <v>20.2</v>
      </c>
      <c r="OH14" s="99">
        <v>20.2</v>
      </c>
      <c r="OI14" s="99">
        <v>20.2</v>
      </c>
      <c r="OJ14" s="99">
        <v>20.2</v>
      </c>
      <c r="OK14" s="99">
        <v>20.2</v>
      </c>
      <c r="OL14" s="99">
        <v>20.2</v>
      </c>
      <c r="OM14" s="99">
        <v>20.2</v>
      </c>
      <c r="ON14" s="99">
        <v>20.2</v>
      </c>
      <c r="OO14" s="99">
        <v>20.2</v>
      </c>
      <c r="OP14" s="99">
        <v>20.2</v>
      </c>
      <c r="OQ14" s="99">
        <v>20.2</v>
      </c>
      <c r="OR14" s="99">
        <v>20.2</v>
      </c>
      <c r="OS14" s="99">
        <v>20.2</v>
      </c>
      <c r="OT14" s="99">
        <v>20.2</v>
      </c>
      <c r="OU14" s="99">
        <v>20.2</v>
      </c>
      <c r="OV14" s="99">
        <v>20.2</v>
      </c>
      <c r="OW14" s="99">
        <v>20.2</v>
      </c>
      <c r="OX14" s="99">
        <v>20.2</v>
      </c>
      <c r="OY14" s="99">
        <v>20.2</v>
      </c>
      <c r="OZ14" s="99">
        <v>20.2</v>
      </c>
      <c r="PA14" s="99">
        <v>20.2</v>
      </c>
      <c r="PB14" s="99">
        <v>20.2</v>
      </c>
      <c r="PC14" s="99">
        <v>20.2</v>
      </c>
      <c r="PD14" s="99">
        <v>20.2</v>
      </c>
      <c r="PE14" s="99">
        <v>20.2</v>
      </c>
      <c r="PF14" s="99">
        <v>20.2</v>
      </c>
      <c r="PG14" s="99">
        <v>20.2</v>
      </c>
      <c r="PH14" s="99">
        <v>20.2</v>
      </c>
      <c r="PI14" s="99">
        <v>20.2</v>
      </c>
      <c r="PJ14" s="99">
        <v>20.2</v>
      </c>
      <c r="PK14" s="99">
        <v>20.2</v>
      </c>
      <c r="PL14" s="99">
        <v>20.2</v>
      </c>
      <c r="PM14" s="99">
        <v>20.2</v>
      </c>
      <c r="PN14" s="99">
        <v>20.2</v>
      </c>
      <c r="PO14" s="99">
        <v>20.2</v>
      </c>
      <c r="PP14" s="99">
        <v>20.2</v>
      </c>
      <c r="PQ14" s="99">
        <v>20.2</v>
      </c>
      <c r="PR14" s="99">
        <v>20.2</v>
      </c>
      <c r="PS14" s="99">
        <v>20.2</v>
      </c>
      <c r="PT14" s="99">
        <v>20.2</v>
      </c>
      <c r="PU14" s="99">
        <v>20.2</v>
      </c>
      <c r="PV14" s="99">
        <v>20.2</v>
      </c>
      <c r="PW14" s="99">
        <v>20.2</v>
      </c>
      <c r="PX14" s="99">
        <v>20.2</v>
      </c>
      <c r="PY14" s="99">
        <v>20.2</v>
      </c>
      <c r="PZ14" s="99">
        <v>20.2</v>
      </c>
      <c r="QA14" s="99">
        <v>20.2</v>
      </c>
      <c r="QB14" s="99">
        <v>20.2</v>
      </c>
      <c r="QC14" s="99">
        <v>20.2</v>
      </c>
      <c r="QD14" s="99">
        <v>20.2</v>
      </c>
      <c r="QE14" s="99">
        <v>20.2</v>
      </c>
      <c r="QF14" s="99">
        <v>20.2</v>
      </c>
      <c r="QG14" s="99">
        <v>20.2</v>
      </c>
      <c r="QH14" s="99">
        <v>20.2</v>
      </c>
      <c r="QI14" s="99">
        <v>20.2</v>
      </c>
      <c r="QJ14" s="99">
        <v>20.2</v>
      </c>
      <c r="QK14" s="99">
        <v>20.2</v>
      </c>
      <c r="QL14" s="99">
        <v>20.2</v>
      </c>
      <c r="QM14" s="99">
        <v>20.2</v>
      </c>
      <c r="QN14" s="99">
        <v>20.2</v>
      </c>
      <c r="QO14" s="99">
        <v>20.2</v>
      </c>
      <c r="QP14" s="99">
        <v>20.2</v>
      </c>
      <c r="QQ14" s="99">
        <v>20.2</v>
      </c>
      <c r="QR14" s="99">
        <v>20.2</v>
      </c>
      <c r="QS14" s="99">
        <v>20.2</v>
      </c>
      <c r="QT14" s="99">
        <v>20.2</v>
      </c>
      <c r="QU14" s="99">
        <v>20.2</v>
      </c>
      <c r="QV14" s="99">
        <v>20.2</v>
      </c>
      <c r="QW14" s="99">
        <v>20.2</v>
      </c>
      <c r="QX14" s="99">
        <v>20.2</v>
      </c>
      <c r="QY14" s="99">
        <v>20.2</v>
      </c>
      <c r="QZ14" s="99">
        <v>20.2</v>
      </c>
      <c r="RA14" s="99">
        <v>20.2</v>
      </c>
      <c r="RB14" s="99">
        <v>20.2</v>
      </c>
      <c r="RC14" s="99">
        <v>20.2</v>
      </c>
      <c r="RD14" s="99">
        <v>20.2</v>
      </c>
      <c r="RE14" s="99">
        <v>20.2</v>
      </c>
      <c r="RF14" s="99">
        <v>20.2</v>
      </c>
      <c r="RG14" s="99">
        <v>20.2</v>
      </c>
      <c r="RH14" s="99">
        <v>20.2</v>
      </c>
      <c r="RI14" s="99">
        <v>20.2</v>
      </c>
      <c r="RJ14" s="99">
        <v>20.2</v>
      </c>
      <c r="RK14" s="99">
        <v>20.2</v>
      </c>
      <c r="RL14" s="99">
        <v>20.2</v>
      </c>
      <c r="RM14" s="99">
        <v>20.2</v>
      </c>
      <c r="RN14" s="99">
        <v>20.2</v>
      </c>
      <c r="RO14" s="99">
        <v>20.2</v>
      </c>
      <c r="RP14" s="99">
        <v>20.2</v>
      </c>
      <c r="RQ14" s="99">
        <v>20.2</v>
      </c>
      <c r="RR14" s="99">
        <v>20.2</v>
      </c>
      <c r="RS14" s="99">
        <v>20.2</v>
      </c>
      <c r="RT14" s="99">
        <v>20.2</v>
      </c>
      <c r="RU14" s="99">
        <v>20.2</v>
      </c>
      <c r="RV14" s="99">
        <v>20.2</v>
      </c>
      <c r="RW14" s="99">
        <v>20.2</v>
      </c>
      <c r="RX14" s="99">
        <v>20.2</v>
      </c>
      <c r="RY14" s="99">
        <v>20.2</v>
      </c>
      <c r="RZ14" s="99">
        <v>20.2</v>
      </c>
      <c r="SA14" s="99">
        <v>20.2</v>
      </c>
      <c r="SB14" s="99">
        <v>20.2</v>
      </c>
      <c r="SC14" s="99">
        <v>20.2</v>
      </c>
      <c r="SD14" s="99">
        <v>20.2</v>
      </c>
      <c r="SE14" s="99">
        <v>20.2</v>
      </c>
      <c r="SF14" s="99">
        <v>20.2</v>
      </c>
      <c r="SG14" s="99">
        <v>20.2</v>
      </c>
      <c r="SH14" s="99">
        <v>20.2</v>
      </c>
      <c r="SI14" s="99">
        <v>20.2</v>
      </c>
      <c r="SJ14" s="99">
        <v>20.100000000000001</v>
      </c>
      <c r="SK14" s="99">
        <v>20.100000000000001</v>
      </c>
      <c r="SL14" s="99">
        <v>20.100000000000001</v>
      </c>
      <c r="SM14" s="99">
        <v>20.100000000000001</v>
      </c>
      <c r="SN14" s="99">
        <v>20.100000000000001</v>
      </c>
      <c r="SO14" s="99">
        <v>19.2</v>
      </c>
      <c r="SP14" s="99">
        <v>19.2</v>
      </c>
      <c r="SQ14" s="99">
        <v>19.2</v>
      </c>
      <c r="SR14" s="99">
        <v>19.2</v>
      </c>
      <c r="SS14" s="99">
        <v>19.2</v>
      </c>
      <c r="ST14" s="99">
        <v>19.2</v>
      </c>
      <c r="SU14" s="99">
        <v>19.2</v>
      </c>
      <c r="SV14" s="99">
        <v>19.2</v>
      </c>
      <c r="SW14" s="99">
        <v>21</v>
      </c>
      <c r="SX14" s="99">
        <v>21</v>
      </c>
      <c r="SY14" s="99">
        <v>21</v>
      </c>
      <c r="SZ14" s="99">
        <v>21</v>
      </c>
      <c r="TA14" s="99">
        <v>21</v>
      </c>
    </row>
    <row r="15" spans="1:521">
      <c r="A15">
        <v>1</v>
      </c>
      <c r="B15">
        <v>0.22489000000000001</v>
      </c>
      <c r="C15">
        <v>7.87</v>
      </c>
      <c r="D15">
        <v>0.52400000000000002</v>
      </c>
      <c r="E15">
        <v>6.3769999999999998</v>
      </c>
      <c r="F15">
        <v>94.3</v>
      </c>
      <c r="G15">
        <v>6.3467000000000002</v>
      </c>
      <c r="H15">
        <v>5</v>
      </c>
      <c r="I15">
        <v>311</v>
      </c>
      <c r="J15">
        <v>15.2</v>
      </c>
      <c r="K15">
        <v>392.52</v>
      </c>
      <c r="L15">
        <v>20.45</v>
      </c>
      <c r="M15">
        <v>15</v>
      </c>
      <c r="N15" s="107">
        <f t="shared" si="0"/>
        <v>20.207232516920008</v>
      </c>
      <c r="O15"/>
      <c r="P15" s="99">
        <v>396.9</v>
      </c>
      <c r="Q15" s="99">
        <v>396.9</v>
      </c>
      <c r="R15" s="99">
        <v>392.83</v>
      </c>
      <c r="S15" s="99">
        <v>394.63</v>
      </c>
      <c r="T15" s="99">
        <v>396.9</v>
      </c>
      <c r="U15" s="99">
        <v>394.12</v>
      </c>
      <c r="V15" s="99">
        <v>395.6</v>
      </c>
      <c r="W15" s="99">
        <v>396.9</v>
      </c>
      <c r="X15" s="99">
        <v>386.63</v>
      </c>
      <c r="Y15" s="99">
        <v>386.71</v>
      </c>
      <c r="Z15" s="99">
        <v>392.52</v>
      </c>
      <c r="AA15" s="99">
        <v>396.9</v>
      </c>
      <c r="AB15" s="99">
        <v>390.5</v>
      </c>
      <c r="AC15" s="99">
        <v>396.9</v>
      </c>
      <c r="AD15" s="99">
        <v>380.02</v>
      </c>
      <c r="AE15" s="99">
        <v>395.62</v>
      </c>
      <c r="AF15" s="99">
        <v>386.85</v>
      </c>
      <c r="AG15" s="99">
        <v>386.75</v>
      </c>
      <c r="AH15" s="99">
        <v>288.99</v>
      </c>
      <c r="AI15" s="99">
        <v>390.95</v>
      </c>
      <c r="AJ15" s="99">
        <v>376.57</v>
      </c>
      <c r="AK15" s="99">
        <v>392.53</v>
      </c>
      <c r="AL15" s="99">
        <v>396.9</v>
      </c>
      <c r="AM15" s="99">
        <v>394.54</v>
      </c>
      <c r="AN15" s="99">
        <v>394.33</v>
      </c>
      <c r="AO15" s="99">
        <v>303.42</v>
      </c>
      <c r="AP15" s="99">
        <v>376.88</v>
      </c>
      <c r="AQ15" s="99">
        <v>306.38</v>
      </c>
      <c r="AR15" s="99">
        <v>387.94</v>
      </c>
      <c r="AS15" s="99">
        <v>380.23</v>
      </c>
      <c r="AT15" s="99">
        <v>360.17</v>
      </c>
      <c r="AU15" s="99">
        <v>376.73</v>
      </c>
      <c r="AV15" s="99">
        <v>232.6</v>
      </c>
      <c r="AW15" s="99">
        <v>358.77</v>
      </c>
      <c r="AX15" s="99">
        <v>248.31</v>
      </c>
      <c r="AY15" s="99">
        <v>396.9</v>
      </c>
      <c r="AZ15" s="99">
        <v>377.56</v>
      </c>
      <c r="BA15" s="99">
        <v>396.9</v>
      </c>
      <c r="BB15" s="99">
        <v>393.43</v>
      </c>
      <c r="BC15" s="99">
        <v>395.63</v>
      </c>
      <c r="BD15" s="99">
        <v>395.62</v>
      </c>
      <c r="BE15" s="99">
        <v>385.41</v>
      </c>
      <c r="BF15" s="99">
        <v>383.37</v>
      </c>
      <c r="BG15" s="99">
        <v>394.46</v>
      </c>
      <c r="BH15" s="99">
        <v>389.39</v>
      </c>
      <c r="BI15" s="99">
        <v>396.9</v>
      </c>
      <c r="BJ15" s="99">
        <v>396.9</v>
      </c>
      <c r="BK15" s="99">
        <v>392.74</v>
      </c>
      <c r="BL15" s="99">
        <v>396.9</v>
      </c>
      <c r="BM15" s="99">
        <v>396.9</v>
      </c>
      <c r="BN15" s="99">
        <v>395.56</v>
      </c>
      <c r="BO15" s="99">
        <v>393.97</v>
      </c>
      <c r="BP15" s="99">
        <v>396.9</v>
      </c>
      <c r="BQ15" s="99">
        <v>396.9</v>
      </c>
      <c r="BR15" s="99">
        <v>396.9</v>
      </c>
      <c r="BS15" s="99">
        <v>395.93</v>
      </c>
      <c r="BT15" s="99">
        <v>396.9</v>
      </c>
      <c r="BU15" s="99">
        <v>392.9</v>
      </c>
      <c r="BV15" s="99">
        <v>390.68</v>
      </c>
      <c r="BW15" s="99">
        <v>396.9</v>
      </c>
      <c r="BX15" s="99">
        <v>395.11</v>
      </c>
      <c r="BY15" s="99">
        <v>378.08</v>
      </c>
      <c r="BZ15" s="99">
        <v>396.9</v>
      </c>
      <c r="CA15" s="99">
        <v>395.58</v>
      </c>
      <c r="CB15" s="99">
        <v>393.24</v>
      </c>
      <c r="CC15" s="99">
        <v>396.9</v>
      </c>
      <c r="CD15" s="99">
        <v>396.9</v>
      </c>
      <c r="CE15" s="99">
        <v>396.21</v>
      </c>
      <c r="CF15" s="99">
        <v>396.9</v>
      </c>
      <c r="CG15" s="99">
        <v>396.9</v>
      </c>
      <c r="CH15" s="99">
        <v>383.73</v>
      </c>
      <c r="CI15" s="99">
        <v>376.94</v>
      </c>
      <c r="CJ15" s="99">
        <v>390.91</v>
      </c>
      <c r="CK15" s="99">
        <v>377.17</v>
      </c>
      <c r="CL15" s="99">
        <v>394.92</v>
      </c>
      <c r="CM15" s="99">
        <v>383.23</v>
      </c>
      <c r="CN15" s="99">
        <v>373.66</v>
      </c>
      <c r="CO15" s="99">
        <v>386.96</v>
      </c>
      <c r="CP15" s="99">
        <v>386.4</v>
      </c>
      <c r="CQ15" s="99">
        <v>396.06</v>
      </c>
      <c r="CR15" s="99">
        <v>396.9</v>
      </c>
      <c r="CS15" s="99">
        <v>395.63</v>
      </c>
      <c r="CT15" s="99">
        <v>396.9</v>
      </c>
      <c r="CU15" s="99">
        <v>390.64</v>
      </c>
      <c r="CV15" s="99">
        <v>396.9</v>
      </c>
      <c r="CW15" s="99">
        <v>392.3</v>
      </c>
      <c r="CX15" s="99">
        <v>395.99</v>
      </c>
      <c r="CY15" s="99">
        <v>395.15</v>
      </c>
      <c r="CZ15" s="99">
        <v>396.9</v>
      </c>
      <c r="DA15" s="99">
        <v>396.06</v>
      </c>
      <c r="DB15" s="99">
        <v>392.18</v>
      </c>
      <c r="DC15" s="99">
        <v>393.55</v>
      </c>
      <c r="DD15" s="99">
        <v>395.01</v>
      </c>
      <c r="DE15" s="99">
        <v>396.33</v>
      </c>
      <c r="DF15" s="99">
        <v>396.9</v>
      </c>
      <c r="DG15" s="99">
        <v>357.98</v>
      </c>
      <c r="DH15" s="99">
        <v>391.83</v>
      </c>
      <c r="DI15" s="99">
        <v>396.9</v>
      </c>
      <c r="DJ15" s="99">
        <v>393.53</v>
      </c>
      <c r="DK15" s="99">
        <v>396.9</v>
      </c>
      <c r="DL15" s="99">
        <v>394.76</v>
      </c>
      <c r="DM15" s="99">
        <v>395.58</v>
      </c>
      <c r="DN15" s="99">
        <v>70.8</v>
      </c>
      <c r="DO15" s="99">
        <v>394.47</v>
      </c>
      <c r="DP15" s="99">
        <v>392.69</v>
      </c>
      <c r="DQ15" s="99">
        <v>394.05</v>
      </c>
      <c r="DR15" s="99">
        <v>395.67</v>
      </c>
      <c r="DS15" s="99">
        <v>387.69</v>
      </c>
      <c r="DT15" s="99">
        <v>395.24</v>
      </c>
      <c r="DU15" s="99">
        <v>391.23</v>
      </c>
      <c r="DV15" s="99">
        <v>393.49</v>
      </c>
      <c r="DW15" s="99">
        <v>395.59</v>
      </c>
      <c r="DX15" s="99">
        <v>394.95</v>
      </c>
      <c r="DY15" s="99">
        <v>396.9</v>
      </c>
      <c r="DZ15" s="99">
        <v>388.74</v>
      </c>
      <c r="EA15" s="99">
        <v>344.91</v>
      </c>
      <c r="EB15" s="99">
        <v>393.3</v>
      </c>
      <c r="EC15" s="99">
        <v>394.51</v>
      </c>
      <c r="ED15" s="99">
        <v>338.63</v>
      </c>
      <c r="EE15" s="99">
        <v>391.5</v>
      </c>
      <c r="EF15" s="99">
        <v>389.15</v>
      </c>
      <c r="EG15" s="99">
        <v>377.67</v>
      </c>
      <c r="EH15" s="99">
        <v>378.09</v>
      </c>
      <c r="EI15" s="99">
        <v>370.31</v>
      </c>
      <c r="EJ15" s="99">
        <v>379.38</v>
      </c>
      <c r="EK15" s="99">
        <v>385.02</v>
      </c>
      <c r="EL15" s="99">
        <v>359.29</v>
      </c>
      <c r="EM15" s="99">
        <v>392.11</v>
      </c>
      <c r="EN15" s="99">
        <v>396.9</v>
      </c>
      <c r="EO15" s="99">
        <v>396.9</v>
      </c>
      <c r="EP15" s="99">
        <v>395.04</v>
      </c>
      <c r="EQ15" s="99">
        <v>396.9</v>
      </c>
      <c r="ER15" s="99">
        <v>385.76</v>
      </c>
      <c r="ES15" s="99">
        <v>388.69</v>
      </c>
      <c r="ET15" s="99">
        <v>262.76</v>
      </c>
      <c r="EU15" s="99">
        <v>394.67</v>
      </c>
      <c r="EV15" s="99">
        <v>378.25</v>
      </c>
      <c r="EW15" s="99">
        <v>394.08</v>
      </c>
      <c r="EX15" s="99">
        <v>392.04</v>
      </c>
      <c r="EY15" s="99">
        <v>396.9</v>
      </c>
      <c r="EZ15" s="99">
        <v>388.08</v>
      </c>
      <c r="FA15" s="99">
        <v>396.9</v>
      </c>
      <c r="FB15" s="99">
        <v>396.9</v>
      </c>
      <c r="FC15" s="99">
        <v>396.9</v>
      </c>
      <c r="FD15" s="99">
        <v>396.9</v>
      </c>
      <c r="FE15" s="99">
        <v>172.91</v>
      </c>
      <c r="FF15" s="99">
        <v>169.27</v>
      </c>
      <c r="FG15" s="99">
        <v>391.71</v>
      </c>
      <c r="FH15" s="99">
        <v>356.99</v>
      </c>
      <c r="FI15" s="99">
        <v>351.85</v>
      </c>
      <c r="FJ15" s="99">
        <v>372.8</v>
      </c>
      <c r="FK15" s="99">
        <v>341.6</v>
      </c>
      <c r="FL15" s="99">
        <v>343.28</v>
      </c>
      <c r="FM15" s="99">
        <v>261.95</v>
      </c>
      <c r="FN15" s="99">
        <v>321.02</v>
      </c>
      <c r="FO15" s="99">
        <v>88.01</v>
      </c>
      <c r="FP15" s="99">
        <v>88.63</v>
      </c>
      <c r="FQ15" s="99">
        <v>363.43</v>
      </c>
      <c r="FR15" s="99">
        <v>353.89</v>
      </c>
      <c r="FS15" s="99">
        <v>364.31</v>
      </c>
      <c r="FT15" s="99">
        <v>338.92</v>
      </c>
      <c r="FU15" s="99">
        <v>374.43</v>
      </c>
      <c r="FV15" s="99">
        <v>389.61</v>
      </c>
      <c r="FW15" s="99">
        <v>388.45</v>
      </c>
      <c r="FX15" s="99">
        <v>395.11</v>
      </c>
      <c r="FY15" s="99">
        <v>240.16</v>
      </c>
      <c r="FZ15" s="99">
        <v>369.3</v>
      </c>
      <c r="GA15" s="99">
        <v>227.61</v>
      </c>
      <c r="GB15" s="99">
        <v>297.08999999999997</v>
      </c>
      <c r="GC15" s="99">
        <v>330.04</v>
      </c>
      <c r="GD15" s="99">
        <v>292.29000000000002</v>
      </c>
      <c r="GE15" s="99">
        <v>348.13</v>
      </c>
      <c r="GF15" s="99">
        <v>396.9</v>
      </c>
      <c r="GG15" s="99">
        <v>395.5</v>
      </c>
      <c r="GH15" s="99">
        <v>393.23</v>
      </c>
      <c r="GI15" s="99">
        <v>390.96</v>
      </c>
      <c r="GJ15" s="99">
        <v>393.23</v>
      </c>
      <c r="GK15" s="99">
        <v>395.6</v>
      </c>
      <c r="GL15" s="99">
        <v>391.27</v>
      </c>
      <c r="GM15" s="99">
        <v>396.9</v>
      </c>
      <c r="GN15" s="99">
        <v>395.56</v>
      </c>
      <c r="GO15" s="99">
        <v>396.9</v>
      </c>
      <c r="GP15" s="99">
        <v>394.12</v>
      </c>
      <c r="GQ15" s="99">
        <v>396.9</v>
      </c>
      <c r="GR15" s="99">
        <v>391</v>
      </c>
      <c r="GS15" s="99">
        <v>387.11</v>
      </c>
      <c r="GT15" s="99">
        <v>392.63</v>
      </c>
      <c r="GU15" s="99">
        <v>393.87</v>
      </c>
      <c r="GV15" s="99">
        <v>382.84</v>
      </c>
      <c r="GW15" s="99">
        <v>396.9</v>
      </c>
      <c r="GX15" s="99">
        <v>377.68</v>
      </c>
      <c r="GY15" s="99">
        <v>389.71</v>
      </c>
      <c r="GZ15" s="99">
        <v>390.49</v>
      </c>
      <c r="HA15" s="99">
        <v>393.37</v>
      </c>
      <c r="HB15" s="99">
        <v>376.7</v>
      </c>
      <c r="HC15" s="99">
        <v>394.23</v>
      </c>
      <c r="HD15" s="99">
        <v>396.9</v>
      </c>
      <c r="HE15" s="99">
        <v>354.31</v>
      </c>
      <c r="HF15" s="99">
        <v>392.2</v>
      </c>
      <c r="HG15" s="99">
        <v>396.9</v>
      </c>
      <c r="HH15" s="99">
        <v>384.3</v>
      </c>
      <c r="HI15" s="99">
        <v>393.77</v>
      </c>
      <c r="HJ15" s="99">
        <v>395.38</v>
      </c>
      <c r="HK15" s="99">
        <v>392.78</v>
      </c>
      <c r="HL15" s="99">
        <v>390.55</v>
      </c>
      <c r="HM15" s="99">
        <v>396.9</v>
      </c>
      <c r="HN15" s="99">
        <v>394.87</v>
      </c>
      <c r="HO15" s="99">
        <v>389.43</v>
      </c>
      <c r="HP15" s="99">
        <v>381.32</v>
      </c>
      <c r="HQ15" s="99">
        <v>396.9</v>
      </c>
      <c r="HR15" s="99">
        <v>393.25</v>
      </c>
      <c r="HS15" s="99">
        <v>395.24</v>
      </c>
      <c r="HT15" s="99">
        <v>390.94</v>
      </c>
      <c r="HU15" s="99">
        <v>385.81</v>
      </c>
      <c r="HV15" s="99">
        <v>348.93</v>
      </c>
      <c r="HW15" s="99">
        <v>393.63</v>
      </c>
      <c r="HX15" s="99">
        <v>392.8</v>
      </c>
      <c r="HY15" s="99">
        <v>392.78</v>
      </c>
      <c r="HZ15" s="99">
        <v>396.9</v>
      </c>
      <c r="IA15" s="99">
        <v>393.74</v>
      </c>
      <c r="IB15" s="99">
        <v>391.7</v>
      </c>
      <c r="IC15" s="99">
        <v>395.24</v>
      </c>
      <c r="ID15" s="99">
        <v>390.39</v>
      </c>
      <c r="IE15" s="99">
        <v>396.9</v>
      </c>
      <c r="IF15" s="99">
        <v>385.05</v>
      </c>
      <c r="IG15" s="99">
        <v>382</v>
      </c>
      <c r="IH15" s="99">
        <v>387.38</v>
      </c>
      <c r="II15" s="99">
        <v>372.08</v>
      </c>
      <c r="IJ15" s="99">
        <v>377.51</v>
      </c>
      <c r="IK15" s="99">
        <v>380.34</v>
      </c>
      <c r="IL15" s="99">
        <v>378.35</v>
      </c>
      <c r="IM15" s="99">
        <v>376.14</v>
      </c>
      <c r="IN15" s="99">
        <v>385.91</v>
      </c>
      <c r="IO15" s="99">
        <v>378.95</v>
      </c>
      <c r="IP15" s="99">
        <v>360.2</v>
      </c>
      <c r="IQ15" s="99">
        <v>376.75</v>
      </c>
      <c r="IR15" s="99">
        <v>388.45</v>
      </c>
      <c r="IS15" s="99">
        <v>390.07</v>
      </c>
      <c r="IT15" s="99">
        <v>379.41</v>
      </c>
      <c r="IU15" s="99">
        <v>383.78</v>
      </c>
      <c r="IV15" s="99">
        <v>391.25</v>
      </c>
      <c r="IW15" s="99">
        <v>394.62</v>
      </c>
      <c r="IX15" s="99">
        <v>372.75</v>
      </c>
      <c r="IY15" s="99">
        <v>374.71</v>
      </c>
      <c r="IZ15" s="99">
        <v>372.49</v>
      </c>
      <c r="JA15" s="99">
        <v>389.13</v>
      </c>
      <c r="JB15" s="99">
        <v>390.18</v>
      </c>
      <c r="JC15" s="99">
        <v>376.14</v>
      </c>
      <c r="JD15" s="99">
        <v>374.71</v>
      </c>
      <c r="JE15" s="99">
        <v>393.74</v>
      </c>
      <c r="JF15" s="99">
        <v>396.28</v>
      </c>
      <c r="JG15" s="99">
        <v>377.07</v>
      </c>
      <c r="JH15" s="99">
        <v>386.09</v>
      </c>
      <c r="JI15" s="99">
        <v>396.9</v>
      </c>
      <c r="JJ15" s="99">
        <v>392.89</v>
      </c>
      <c r="JK15" s="99">
        <v>395.18</v>
      </c>
      <c r="JL15" s="99">
        <v>386.34</v>
      </c>
      <c r="JM15" s="99">
        <v>389.7</v>
      </c>
      <c r="JN15" s="99">
        <v>383.29</v>
      </c>
      <c r="JO15" s="99">
        <v>391.93</v>
      </c>
      <c r="JP15" s="99">
        <v>392.8</v>
      </c>
      <c r="JQ15" s="99">
        <v>388.37</v>
      </c>
      <c r="JR15" s="99">
        <v>386.86</v>
      </c>
      <c r="JS15" s="99">
        <v>393.42</v>
      </c>
      <c r="JT15" s="99">
        <v>387.89</v>
      </c>
      <c r="JU15" s="99">
        <v>392.4</v>
      </c>
      <c r="JV15" s="99">
        <v>384.07</v>
      </c>
      <c r="JW15" s="99">
        <v>384.54</v>
      </c>
      <c r="JX15" s="99">
        <v>390.3</v>
      </c>
      <c r="JY15" s="99">
        <v>391.34</v>
      </c>
      <c r="JZ15" s="99">
        <v>388.65</v>
      </c>
      <c r="KA15" s="99">
        <v>396.9</v>
      </c>
      <c r="KB15" s="99">
        <v>394.96</v>
      </c>
      <c r="KC15" s="99">
        <v>390.77</v>
      </c>
      <c r="KD15" s="99">
        <v>396.9</v>
      </c>
      <c r="KE15" s="99">
        <v>396.9</v>
      </c>
      <c r="KF15" s="99">
        <v>389.25</v>
      </c>
      <c r="KG15" s="99">
        <v>393.45</v>
      </c>
      <c r="KH15" s="99">
        <v>396.9</v>
      </c>
      <c r="KI15" s="99">
        <v>396.9</v>
      </c>
      <c r="KJ15" s="99">
        <v>387.31</v>
      </c>
      <c r="KK15" s="99">
        <v>392.23</v>
      </c>
      <c r="KL15" s="99">
        <v>377.07</v>
      </c>
      <c r="KM15" s="99">
        <v>395.52</v>
      </c>
      <c r="KN15" s="99">
        <v>394.72</v>
      </c>
      <c r="KO15" s="99">
        <v>394.72</v>
      </c>
      <c r="KP15" s="99">
        <v>341.6</v>
      </c>
      <c r="KQ15" s="99">
        <v>396.9</v>
      </c>
      <c r="KR15" s="99">
        <v>396.9</v>
      </c>
      <c r="KS15" s="99">
        <v>371.72</v>
      </c>
      <c r="KT15" s="99">
        <v>396.9</v>
      </c>
      <c r="KU15" s="99">
        <v>396.9</v>
      </c>
      <c r="KV15" s="99">
        <v>396.9</v>
      </c>
      <c r="KW15" s="99">
        <v>396.9</v>
      </c>
      <c r="KX15" s="99">
        <v>396.9</v>
      </c>
      <c r="KY15" s="99">
        <v>396.9</v>
      </c>
      <c r="KZ15" s="99">
        <v>392.85</v>
      </c>
      <c r="LA15" s="99">
        <v>396.9</v>
      </c>
      <c r="LB15" s="99">
        <v>368.24</v>
      </c>
      <c r="LC15" s="99">
        <v>371.58</v>
      </c>
      <c r="LD15" s="99">
        <v>390.86</v>
      </c>
      <c r="LE15" s="99">
        <v>395.75</v>
      </c>
      <c r="LF15" s="99">
        <v>383.61</v>
      </c>
      <c r="LG15" s="99">
        <v>390.43</v>
      </c>
      <c r="LH15" s="99">
        <v>393.68</v>
      </c>
      <c r="LI15" s="99">
        <v>393.36</v>
      </c>
      <c r="LJ15" s="99">
        <v>396.9</v>
      </c>
      <c r="LK15" s="99">
        <v>396.9</v>
      </c>
      <c r="LL15" s="99">
        <v>396.9</v>
      </c>
      <c r="LM15" s="99">
        <v>396.24</v>
      </c>
      <c r="LN15" s="99">
        <v>350.45</v>
      </c>
      <c r="LO15" s="99">
        <v>396.9</v>
      </c>
      <c r="LP15" s="99">
        <v>396.3</v>
      </c>
      <c r="LQ15" s="99">
        <v>393.39</v>
      </c>
      <c r="LR15" s="99">
        <v>395.69</v>
      </c>
      <c r="LS15" s="99">
        <v>396.42</v>
      </c>
      <c r="LT15" s="99">
        <v>390.7</v>
      </c>
      <c r="LU15" s="99">
        <v>396.9</v>
      </c>
      <c r="LV15" s="99">
        <v>395.21</v>
      </c>
      <c r="LW15" s="99">
        <v>396.23</v>
      </c>
      <c r="LX15" s="99">
        <v>396.9</v>
      </c>
      <c r="LY15" s="99">
        <v>396.9</v>
      </c>
      <c r="LZ15" s="99">
        <v>396.9</v>
      </c>
      <c r="MA15" s="99">
        <v>391.13</v>
      </c>
      <c r="MB15" s="99">
        <v>396.9</v>
      </c>
      <c r="MC15" s="99">
        <v>393.68</v>
      </c>
      <c r="MD15" s="99">
        <v>396.9</v>
      </c>
      <c r="ME15" s="99">
        <v>396.9</v>
      </c>
      <c r="MF15" s="99">
        <v>382.44</v>
      </c>
      <c r="MG15" s="99">
        <v>375.21</v>
      </c>
      <c r="MH15" s="99">
        <v>368.57</v>
      </c>
      <c r="MI15" s="99">
        <v>394.02</v>
      </c>
      <c r="MJ15" s="99">
        <v>362.25</v>
      </c>
      <c r="MK15" s="99">
        <v>389.71</v>
      </c>
      <c r="ML15" s="99">
        <v>389.4</v>
      </c>
      <c r="MM15" s="99">
        <v>396.9</v>
      </c>
      <c r="MN15" s="99">
        <v>396.9</v>
      </c>
      <c r="MO15" s="99">
        <v>394.81</v>
      </c>
      <c r="MP15" s="99">
        <v>396.14</v>
      </c>
      <c r="MQ15" s="99">
        <v>396.9</v>
      </c>
      <c r="MR15" s="99">
        <v>396.9</v>
      </c>
      <c r="MS15" s="99">
        <v>394.74</v>
      </c>
      <c r="MT15" s="99">
        <v>389.96</v>
      </c>
      <c r="MU15" s="99">
        <v>396.9</v>
      </c>
      <c r="MV15" s="99">
        <v>387.97</v>
      </c>
      <c r="MW15" s="99">
        <v>385.64</v>
      </c>
      <c r="MX15" s="99">
        <v>364.61</v>
      </c>
      <c r="MY15" s="99">
        <v>392.43</v>
      </c>
      <c r="MZ15" s="99">
        <v>390.94</v>
      </c>
      <c r="NA15" s="99">
        <v>389.85</v>
      </c>
      <c r="NB15" s="99">
        <v>396.9</v>
      </c>
      <c r="NC15" s="99">
        <v>370.78</v>
      </c>
      <c r="ND15" s="99">
        <v>392.33</v>
      </c>
      <c r="NE15" s="99">
        <v>384.46</v>
      </c>
      <c r="NF15" s="99">
        <v>382.8</v>
      </c>
      <c r="NG15" s="99">
        <v>376.04</v>
      </c>
      <c r="NH15" s="99">
        <v>377.73</v>
      </c>
      <c r="NI15" s="99">
        <v>391.34</v>
      </c>
      <c r="NJ15" s="99">
        <v>395.43</v>
      </c>
      <c r="NK15" s="99">
        <v>390.74</v>
      </c>
      <c r="NL15" s="99">
        <v>374.56</v>
      </c>
      <c r="NM15" s="99">
        <v>350.65</v>
      </c>
      <c r="NN15" s="99">
        <v>380.79</v>
      </c>
      <c r="NO15" s="99">
        <v>353.04</v>
      </c>
      <c r="NP15" s="99">
        <v>354.55</v>
      </c>
      <c r="NQ15" s="99">
        <v>354.7</v>
      </c>
      <c r="NR15" s="99">
        <v>316.02999999999997</v>
      </c>
      <c r="NS15" s="99">
        <v>131.41999999999999</v>
      </c>
      <c r="NT15" s="99">
        <v>375.52</v>
      </c>
      <c r="NU15" s="99">
        <v>375.33</v>
      </c>
      <c r="NV15" s="99">
        <v>392.05</v>
      </c>
      <c r="NW15" s="99">
        <v>366.15</v>
      </c>
      <c r="NX15" s="99">
        <v>347.88</v>
      </c>
      <c r="NY15" s="99">
        <v>396.9</v>
      </c>
      <c r="NZ15" s="99">
        <v>396.9</v>
      </c>
      <c r="OA15" s="99">
        <v>396.9</v>
      </c>
      <c r="OB15" s="99">
        <v>363.02</v>
      </c>
      <c r="OC15" s="99">
        <v>396.9</v>
      </c>
      <c r="OD15" s="99">
        <v>396.9</v>
      </c>
      <c r="OE15" s="99">
        <v>393.74</v>
      </c>
      <c r="OF15" s="99">
        <v>396.9</v>
      </c>
      <c r="OG15" s="99">
        <v>396.9</v>
      </c>
      <c r="OH15" s="99">
        <v>396.9</v>
      </c>
      <c r="OI15" s="99">
        <v>396.9</v>
      </c>
      <c r="OJ15" s="99">
        <v>285.83</v>
      </c>
      <c r="OK15" s="99">
        <v>396.9</v>
      </c>
      <c r="OL15" s="99">
        <v>396.9</v>
      </c>
      <c r="OM15" s="99">
        <v>396.9</v>
      </c>
      <c r="ON15" s="99">
        <v>372.92</v>
      </c>
      <c r="OO15" s="99">
        <v>396.9</v>
      </c>
      <c r="OP15" s="99">
        <v>394.43</v>
      </c>
      <c r="OQ15" s="99">
        <v>378.38</v>
      </c>
      <c r="OR15" s="99">
        <v>396.9</v>
      </c>
      <c r="OS15" s="99">
        <v>396.9</v>
      </c>
      <c r="OT15" s="99">
        <v>396.9</v>
      </c>
      <c r="OU15" s="99">
        <v>391.98</v>
      </c>
      <c r="OV15" s="99">
        <v>396.9</v>
      </c>
      <c r="OW15" s="99">
        <v>393.1</v>
      </c>
      <c r="OX15" s="99">
        <v>396.9</v>
      </c>
      <c r="OY15" s="99">
        <v>338.16</v>
      </c>
      <c r="OZ15" s="99">
        <v>396.9</v>
      </c>
      <c r="PA15" s="99">
        <v>396.9</v>
      </c>
      <c r="PB15" s="99">
        <v>376.11</v>
      </c>
      <c r="PC15" s="99">
        <v>396.9</v>
      </c>
      <c r="PD15" s="99">
        <v>329.46</v>
      </c>
      <c r="PE15" s="99">
        <v>384.97</v>
      </c>
      <c r="PF15" s="99">
        <v>370.22</v>
      </c>
      <c r="PG15" s="99">
        <v>332.09</v>
      </c>
      <c r="PH15" s="99">
        <v>314.64</v>
      </c>
      <c r="PI15" s="99">
        <v>179.36</v>
      </c>
      <c r="PJ15" s="99">
        <v>2.6</v>
      </c>
      <c r="PK15" s="99">
        <v>35.049999999999997</v>
      </c>
      <c r="PL15" s="99">
        <v>28.79</v>
      </c>
      <c r="PM15" s="99">
        <v>210.97</v>
      </c>
      <c r="PN15" s="99">
        <v>88.27</v>
      </c>
      <c r="PO15" s="99">
        <v>27.25</v>
      </c>
      <c r="PP15" s="99">
        <v>21.57</v>
      </c>
      <c r="PQ15" s="99">
        <v>127.36</v>
      </c>
      <c r="PR15" s="99">
        <v>16.45</v>
      </c>
      <c r="PS15" s="99">
        <v>48.45</v>
      </c>
      <c r="PT15" s="99">
        <v>318.75</v>
      </c>
      <c r="PU15" s="99">
        <v>319.98</v>
      </c>
      <c r="PV15" s="99">
        <v>291.55</v>
      </c>
      <c r="PW15" s="99">
        <v>2.52</v>
      </c>
      <c r="PX15" s="99">
        <v>3.65</v>
      </c>
      <c r="PY15" s="99">
        <v>7.68</v>
      </c>
      <c r="PZ15" s="99">
        <v>24.65</v>
      </c>
      <c r="QA15" s="99">
        <v>18.82</v>
      </c>
      <c r="QB15" s="99">
        <v>96.73</v>
      </c>
      <c r="QC15" s="99">
        <v>60.72</v>
      </c>
      <c r="QD15" s="99">
        <v>83.45</v>
      </c>
      <c r="QE15" s="99">
        <v>81.33</v>
      </c>
      <c r="QF15" s="99">
        <v>97.95</v>
      </c>
      <c r="QG15" s="99">
        <v>100.19</v>
      </c>
      <c r="QH15" s="99">
        <v>100.63</v>
      </c>
      <c r="QI15" s="99">
        <v>109.85</v>
      </c>
      <c r="QJ15" s="99">
        <v>27.49</v>
      </c>
      <c r="QK15" s="99">
        <v>9.32</v>
      </c>
      <c r="QL15" s="99">
        <v>68.95</v>
      </c>
      <c r="QM15" s="99">
        <v>396.9</v>
      </c>
      <c r="QN15" s="99">
        <v>391.45</v>
      </c>
      <c r="QO15" s="99">
        <v>385.96</v>
      </c>
      <c r="QP15" s="99">
        <v>395.69</v>
      </c>
      <c r="QQ15" s="99">
        <v>386.73</v>
      </c>
      <c r="QR15" s="99">
        <v>240.52</v>
      </c>
      <c r="QS15" s="99">
        <v>43.06</v>
      </c>
      <c r="QT15" s="99">
        <v>318.01</v>
      </c>
      <c r="QU15" s="99">
        <v>388.52</v>
      </c>
      <c r="QV15" s="99">
        <v>396.9</v>
      </c>
      <c r="QW15" s="99">
        <v>304.20999999999998</v>
      </c>
      <c r="QX15" s="99">
        <v>0.32</v>
      </c>
      <c r="QY15" s="99">
        <v>355.29</v>
      </c>
      <c r="QZ15" s="99">
        <v>385.09</v>
      </c>
      <c r="RA15" s="99">
        <v>375.87</v>
      </c>
      <c r="RB15" s="99">
        <v>6.68</v>
      </c>
      <c r="RC15" s="99">
        <v>50.92</v>
      </c>
      <c r="RD15" s="99">
        <v>10.48</v>
      </c>
      <c r="RE15" s="99">
        <v>3.5</v>
      </c>
      <c r="RF15" s="99">
        <v>272.20999999999998</v>
      </c>
      <c r="RG15" s="99">
        <v>396.9</v>
      </c>
      <c r="RH15" s="99">
        <v>255.23</v>
      </c>
      <c r="RI15" s="99">
        <v>391.43</v>
      </c>
      <c r="RJ15" s="99">
        <v>396.9</v>
      </c>
      <c r="RK15" s="99">
        <v>393.82</v>
      </c>
      <c r="RL15" s="99">
        <v>396.9</v>
      </c>
      <c r="RM15" s="99">
        <v>334.4</v>
      </c>
      <c r="RN15" s="99">
        <v>22.01</v>
      </c>
      <c r="RO15" s="99">
        <v>331.29</v>
      </c>
      <c r="RP15" s="99">
        <v>368.74</v>
      </c>
      <c r="RQ15" s="99">
        <v>396.9</v>
      </c>
      <c r="RR15" s="99">
        <v>396.9</v>
      </c>
      <c r="RS15" s="99">
        <v>395.33</v>
      </c>
      <c r="RT15" s="99">
        <v>393.37</v>
      </c>
      <c r="RU15" s="99">
        <v>374.68</v>
      </c>
      <c r="RV15" s="99">
        <v>352.58</v>
      </c>
      <c r="RW15" s="99">
        <v>302.76</v>
      </c>
      <c r="RX15" s="99">
        <v>396.21</v>
      </c>
      <c r="RY15" s="99">
        <v>349.48</v>
      </c>
      <c r="RZ15" s="99">
        <v>379.7</v>
      </c>
      <c r="SA15" s="99">
        <v>383.32</v>
      </c>
      <c r="SB15" s="99">
        <v>396.9</v>
      </c>
      <c r="SC15" s="99">
        <v>393.07</v>
      </c>
      <c r="SD15" s="99">
        <v>395.28</v>
      </c>
      <c r="SE15" s="99">
        <v>392.92</v>
      </c>
      <c r="SF15" s="99">
        <v>370.73</v>
      </c>
      <c r="SG15" s="99">
        <v>388.62</v>
      </c>
      <c r="SH15" s="99">
        <v>392.68</v>
      </c>
      <c r="SI15" s="99">
        <v>388.22</v>
      </c>
      <c r="SJ15" s="99">
        <v>395.09</v>
      </c>
      <c r="SK15" s="99">
        <v>344.05</v>
      </c>
      <c r="SL15" s="99">
        <v>318.43</v>
      </c>
      <c r="SM15" s="99">
        <v>390.11</v>
      </c>
      <c r="SN15" s="99">
        <v>396.9</v>
      </c>
      <c r="SO15" s="99">
        <v>396.9</v>
      </c>
      <c r="SP15" s="99">
        <v>396.9</v>
      </c>
      <c r="SQ15" s="99">
        <v>393.29</v>
      </c>
      <c r="SR15" s="99">
        <v>396.9</v>
      </c>
      <c r="SS15" s="99">
        <v>396.9</v>
      </c>
      <c r="ST15" s="99">
        <v>396.9</v>
      </c>
      <c r="SU15" s="99">
        <v>395.77</v>
      </c>
      <c r="SV15" s="99">
        <v>396.9</v>
      </c>
      <c r="SW15" s="99">
        <v>391.99</v>
      </c>
      <c r="SX15" s="99">
        <v>396.9</v>
      </c>
      <c r="SY15" s="99">
        <v>396.9</v>
      </c>
      <c r="SZ15" s="99">
        <v>393.45</v>
      </c>
      <c r="TA15" s="99">
        <v>396.9</v>
      </c>
    </row>
    <row r="16" spans="1:521">
      <c r="A16">
        <v>1</v>
      </c>
      <c r="B16">
        <v>0.11747</v>
      </c>
      <c r="C16">
        <v>7.87</v>
      </c>
      <c r="D16">
        <v>0.52400000000000002</v>
      </c>
      <c r="E16">
        <v>6.0090000000000003</v>
      </c>
      <c r="F16">
        <v>82.9</v>
      </c>
      <c r="G16">
        <v>6.2267000000000001</v>
      </c>
      <c r="H16">
        <v>5</v>
      </c>
      <c r="I16">
        <v>311</v>
      </c>
      <c r="J16">
        <v>15.2</v>
      </c>
      <c r="K16">
        <v>396.9</v>
      </c>
      <c r="L16">
        <v>13.27</v>
      </c>
      <c r="M16">
        <v>18.899999999999999</v>
      </c>
      <c r="N16" s="107">
        <f t="shared" si="0"/>
        <v>22.707540244844381</v>
      </c>
      <c r="O16"/>
      <c r="P16" s="99">
        <v>4.9800000000000004</v>
      </c>
      <c r="Q16" s="99">
        <v>9.14</v>
      </c>
      <c r="R16" s="99">
        <v>4.03</v>
      </c>
      <c r="S16" s="99">
        <v>2.94</v>
      </c>
      <c r="T16" s="99">
        <v>5.33</v>
      </c>
      <c r="U16" s="99">
        <v>5.21</v>
      </c>
      <c r="V16" s="99">
        <v>12.43</v>
      </c>
      <c r="W16" s="99">
        <v>19.149999999999999</v>
      </c>
      <c r="X16" s="99">
        <v>29.93</v>
      </c>
      <c r="Y16" s="99">
        <v>17.100000000000001</v>
      </c>
      <c r="Z16" s="99">
        <v>20.45</v>
      </c>
      <c r="AA16" s="99">
        <v>13.27</v>
      </c>
      <c r="AB16" s="99">
        <v>15.71</v>
      </c>
      <c r="AC16" s="99">
        <v>8.26</v>
      </c>
      <c r="AD16" s="99">
        <v>10.26</v>
      </c>
      <c r="AE16" s="99">
        <v>8.4700000000000006</v>
      </c>
      <c r="AF16" s="99">
        <v>6.58</v>
      </c>
      <c r="AG16" s="99">
        <v>14.67</v>
      </c>
      <c r="AH16" s="99">
        <v>11.69</v>
      </c>
      <c r="AI16" s="99">
        <v>11.28</v>
      </c>
      <c r="AJ16" s="99">
        <v>21.02</v>
      </c>
      <c r="AK16" s="99">
        <v>13.83</v>
      </c>
      <c r="AL16" s="99">
        <v>18.72</v>
      </c>
      <c r="AM16" s="99">
        <v>19.88</v>
      </c>
      <c r="AN16" s="99">
        <v>16.3</v>
      </c>
      <c r="AO16" s="99">
        <v>16.510000000000002</v>
      </c>
      <c r="AP16" s="99">
        <v>14.81</v>
      </c>
      <c r="AQ16" s="99">
        <v>17.28</v>
      </c>
      <c r="AR16" s="99">
        <v>12.8</v>
      </c>
      <c r="AS16" s="99">
        <v>11.98</v>
      </c>
      <c r="AT16" s="99">
        <v>22.6</v>
      </c>
      <c r="AU16" s="99">
        <v>13.04</v>
      </c>
      <c r="AV16" s="99">
        <v>27.71</v>
      </c>
      <c r="AW16" s="99">
        <v>18.350000000000001</v>
      </c>
      <c r="AX16" s="99">
        <v>20.34</v>
      </c>
      <c r="AY16" s="99">
        <v>9.68</v>
      </c>
      <c r="AZ16" s="99">
        <v>11.41</v>
      </c>
      <c r="BA16" s="99">
        <v>8.77</v>
      </c>
      <c r="BB16" s="99">
        <v>10.130000000000001</v>
      </c>
      <c r="BC16" s="99">
        <v>4.32</v>
      </c>
      <c r="BD16" s="99">
        <v>1.98</v>
      </c>
      <c r="BE16" s="99">
        <v>4.84</v>
      </c>
      <c r="BF16" s="99">
        <v>5.81</v>
      </c>
      <c r="BG16" s="99">
        <v>7.44</v>
      </c>
      <c r="BH16" s="99">
        <v>9.5500000000000007</v>
      </c>
      <c r="BI16" s="99">
        <v>10.210000000000001</v>
      </c>
      <c r="BJ16" s="99">
        <v>14.15</v>
      </c>
      <c r="BK16" s="99">
        <v>18.8</v>
      </c>
      <c r="BL16" s="99">
        <v>30.81</v>
      </c>
      <c r="BM16" s="99">
        <v>16.2</v>
      </c>
      <c r="BN16" s="99">
        <v>13.45</v>
      </c>
      <c r="BO16" s="99">
        <v>9.43</v>
      </c>
      <c r="BP16" s="99">
        <v>5.28</v>
      </c>
      <c r="BQ16" s="99">
        <v>8.43</v>
      </c>
      <c r="BR16" s="99">
        <v>14.8</v>
      </c>
      <c r="BS16" s="99">
        <v>4.8099999999999996</v>
      </c>
      <c r="BT16" s="99">
        <v>5.77</v>
      </c>
      <c r="BU16" s="99">
        <v>3.95</v>
      </c>
      <c r="BV16" s="99">
        <v>6.86</v>
      </c>
      <c r="BW16" s="99">
        <v>9.2200000000000006</v>
      </c>
      <c r="BX16" s="99">
        <v>13.15</v>
      </c>
      <c r="BY16" s="99">
        <v>14.44</v>
      </c>
      <c r="BZ16" s="99">
        <v>6.73</v>
      </c>
      <c r="CA16" s="99">
        <v>9.5</v>
      </c>
      <c r="CB16" s="99">
        <v>8.0500000000000007</v>
      </c>
      <c r="CC16" s="99">
        <v>4.67</v>
      </c>
      <c r="CD16" s="99">
        <v>10.24</v>
      </c>
      <c r="CE16" s="99">
        <v>8.1</v>
      </c>
      <c r="CF16" s="99">
        <v>13.09</v>
      </c>
      <c r="CG16" s="99">
        <v>8.7899999999999991</v>
      </c>
      <c r="CH16" s="99">
        <v>6.72</v>
      </c>
      <c r="CI16" s="99">
        <v>9.8800000000000008</v>
      </c>
      <c r="CJ16" s="99">
        <v>5.52</v>
      </c>
      <c r="CK16" s="99">
        <v>7.54</v>
      </c>
      <c r="CL16" s="99">
        <v>6.78</v>
      </c>
      <c r="CM16" s="99">
        <v>8.94</v>
      </c>
      <c r="CN16" s="99">
        <v>11.97</v>
      </c>
      <c r="CO16" s="99">
        <v>10.27</v>
      </c>
      <c r="CP16" s="99">
        <v>12.34</v>
      </c>
      <c r="CQ16" s="99">
        <v>9.1</v>
      </c>
      <c r="CR16" s="99">
        <v>5.29</v>
      </c>
      <c r="CS16" s="99">
        <v>7.22</v>
      </c>
      <c r="CT16" s="99">
        <v>6.72</v>
      </c>
      <c r="CU16" s="99">
        <v>7.51</v>
      </c>
      <c r="CV16" s="99">
        <v>9.6199999999999992</v>
      </c>
      <c r="CW16" s="99">
        <v>6.53</v>
      </c>
      <c r="CX16" s="99">
        <v>12.86</v>
      </c>
      <c r="CY16" s="99">
        <v>8.44</v>
      </c>
      <c r="CZ16" s="99">
        <v>5.5</v>
      </c>
      <c r="DA16" s="99">
        <v>5.7</v>
      </c>
      <c r="DB16" s="99">
        <v>8.81</v>
      </c>
      <c r="DC16" s="99">
        <v>8.1999999999999993</v>
      </c>
      <c r="DD16" s="99">
        <v>8.16</v>
      </c>
      <c r="DE16" s="99">
        <v>6.21</v>
      </c>
      <c r="DF16" s="99">
        <v>10.59</v>
      </c>
      <c r="DG16" s="99">
        <v>6.65</v>
      </c>
      <c r="DH16" s="99">
        <v>11.34</v>
      </c>
      <c r="DI16" s="99">
        <v>4.21</v>
      </c>
      <c r="DJ16" s="99">
        <v>3.57</v>
      </c>
      <c r="DK16" s="99">
        <v>6.19</v>
      </c>
      <c r="DL16" s="99">
        <v>9.42</v>
      </c>
      <c r="DM16" s="99">
        <v>7.67</v>
      </c>
      <c r="DN16" s="99">
        <v>10.63</v>
      </c>
      <c r="DO16" s="99">
        <v>13.44</v>
      </c>
      <c r="DP16" s="99">
        <v>12.33</v>
      </c>
      <c r="DQ16" s="99">
        <v>16.47</v>
      </c>
      <c r="DR16" s="99">
        <v>18.66</v>
      </c>
      <c r="DS16" s="99">
        <v>14.09</v>
      </c>
      <c r="DT16" s="99">
        <v>12.27</v>
      </c>
      <c r="DU16" s="99">
        <v>15.55</v>
      </c>
      <c r="DV16" s="99">
        <v>13</v>
      </c>
      <c r="DW16" s="99">
        <v>10.16</v>
      </c>
      <c r="DX16" s="99">
        <v>16.21</v>
      </c>
      <c r="DY16" s="99">
        <v>17.09</v>
      </c>
      <c r="DZ16" s="99">
        <v>10.45</v>
      </c>
      <c r="EA16" s="99">
        <v>15.76</v>
      </c>
      <c r="EB16" s="99">
        <v>12.04</v>
      </c>
      <c r="EC16" s="99">
        <v>10.3</v>
      </c>
      <c r="ED16" s="99">
        <v>15.37</v>
      </c>
      <c r="EE16" s="99">
        <v>13.61</v>
      </c>
      <c r="EF16" s="99">
        <v>14.37</v>
      </c>
      <c r="EG16" s="99">
        <v>14.27</v>
      </c>
      <c r="EH16" s="99">
        <v>17.93</v>
      </c>
      <c r="EI16" s="99">
        <v>25.41</v>
      </c>
      <c r="EJ16" s="99">
        <v>17.579999999999998</v>
      </c>
      <c r="EK16" s="99">
        <v>14.81</v>
      </c>
      <c r="EL16" s="99">
        <v>27.26</v>
      </c>
      <c r="EM16" s="99">
        <v>17.190000000000001</v>
      </c>
      <c r="EN16" s="99">
        <v>15.39</v>
      </c>
      <c r="EO16" s="99">
        <v>18.34</v>
      </c>
      <c r="EP16" s="99">
        <v>12.6</v>
      </c>
      <c r="EQ16" s="99">
        <v>12.26</v>
      </c>
      <c r="ER16" s="99">
        <v>11.12</v>
      </c>
      <c r="ES16" s="99">
        <v>15.03</v>
      </c>
      <c r="ET16" s="99">
        <v>17.309999999999999</v>
      </c>
      <c r="EU16" s="99">
        <v>16.96</v>
      </c>
      <c r="EV16" s="99">
        <v>16.899999999999999</v>
      </c>
      <c r="EW16" s="99">
        <v>14.59</v>
      </c>
      <c r="EX16" s="99">
        <v>21.32</v>
      </c>
      <c r="EY16" s="99">
        <v>18.46</v>
      </c>
      <c r="EZ16" s="99">
        <v>24.16</v>
      </c>
      <c r="FA16" s="99">
        <v>34.409999999999997</v>
      </c>
      <c r="FB16" s="99">
        <v>26.82</v>
      </c>
      <c r="FC16" s="99">
        <v>26.42</v>
      </c>
      <c r="FD16" s="99">
        <v>29.29</v>
      </c>
      <c r="FE16" s="99">
        <v>27.8</v>
      </c>
      <c r="FF16" s="99">
        <v>16.649999999999999</v>
      </c>
      <c r="FG16" s="99">
        <v>29.53</v>
      </c>
      <c r="FH16" s="99">
        <v>28.32</v>
      </c>
      <c r="FI16" s="99">
        <v>21.45</v>
      </c>
      <c r="FJ16" s="99">
        <v>14.1</v>
      </c>
      <c r="FK16" s="99">
        <v>13.28</v>
      </c>
      <c r="FL16" s="99">
        <v>12.12</v>
      </c>
      <c r="FM16" s="99">
        <v>15.79</v>
      </c>
      <c r="FN16" s="99">
        <v>15.12</v>
      </c>
      <c r="FO16" s="99">
        <v>15.02</v>
      </c>
      <c r="FP16" s="99">
        <v>16.14</v>
      </c>
      <c r="FQ16" s="99">
        <v>4.59</v>
      </c>
      <c r="FR16" s="99">
        <v>6.43</v>
      </c>
      <c r="FS16" s="99">
        <v>7.39</v>
      </c>
      <c r="FT16" s="99">
        <v>5.5</v>
      </c>
      <c r="FU16" s="99">
        <v>1.73</v>
      </c>
      <c r="FV16" s="99">
        <v>1.92</v>
      </c>
      <c r="FW16" s="99">
        <v>3.32</v>
      </c>
      <c r="FX16" s="99">
        <v>11.64</v>
      </c>
      <c r="FY16" s="99">
        <v>9.81</v>
      </c>
      <c r="FZ16" s="99">
        <v>3.7</v>
      </c>
      <c r="GA16" s="99">
        <v>12.14</v>
      </c>
      <c r="GB16" s="99">
        <v>11.1</v>
      </c>
      <c r="GC16" s="99">
        <v>11.32</v>
      </c>
      <c r="GD16" s="99">
        <v>14.43</v>
      </c>
      <c r="GE16" s="99">
        <v>12.03</v>
      </c>
      <c r="GF16" s="99">
        <v>14.69</v>
      </c>
      <c r="GG16" s="99">
        <v>9.0399999999999991</v>
      </c>
      <c r="GH16" s="99">
        <v>9.64</v>
      </c>
      <c r="GI16" s="99">
        <v>5.33</v>
      </c>
      <c r="GJ16" s="99">
        <v>10.11</v>
      </c>
      <c r="GK16" s="99">
        <v>6.29</v>
      </c>
      <c r="GL16" s="99">
        <v>6.92</v>
      </c>
      <c r="GM16" s="99">
        <v>5.04</v>
      </c>
      <c r="GN16" s="99">
        <v>7.56</v>
      </c>
      <c r="GO16" s="99">
        <v>9.4499999999999993</v>
      </c>
      <c r="GP16" s="99">
        <v>4.82</v>
      </c>
      <c r="GQ16" s="99">
        <v>5.68</v>
      </c>
      <c r="GR16" s="99">
        <v>13.98</v>
      </c>
      <c r="GS16" s="99">
        <v>13.15</v>
      </c>
      <c r="GT16" s="99">
        <v>4.45</v>
      </c>
      <c r="GU16" s="99">
        <v>6.68</v>
      </c>
      <c r="GV16" s="99">
        <v>4.5599999999999996</v>
      </c>
      <c r="GW16" s="99">
        <v>5.39</v>
      </c>
      <c r="GX16" s="99">
        <v>5.0999999999999996</v>
      </c>
      <c r="GY16" s="99">
        <v>4.6900000000000004</v>
      </c>
      <c r="GZ16" s="99">
        <v>2.87</v>
      </c>
      <c r="HA16" s="99">
        <v>5.03</v>
      </c>
      <c r="HB16" s="99">
        <v>4.38</v>
      </c>
      <c r="HC16" s="99">
        <v>2.97</v>
      </c>
      <c r="HD16" s="99">
        <v>4.08</v>
      </c>
      <c r="HE16" s="99">
        <v>8.61</v>
      </c>
      <c r="HF16" s="99">
        <v>6.62</v>
      </c>
      <c r="HG16" s="99">
        <v>4.5599999999999996</v>
      </c>
      <c r="HH16" s="99">
        <v>4.45</v>
      </c>
      <c r="HI16" s="99">
        <v>7.43</v>
      </c>
      <c r="HJ16" s="99">
        <v>3.11</v>
      </c>
      <c r="HK16" s="99">
        <v>3.81</v>
      </c>
      <c r="HL16" s="99">
        <v>2.88</v>
      </c>
      <c r="HM16" s="99">
        <v>10.87</v>
      </c>
      <c r="HN16" s="99">
        <v>10.97</v>
      </c>
      <c r="HO16" s="99">
        <v>18.059999999999999</v>
      </c>
      <c r="HP16" s="99">
        <v>14.66</v>
      </c>
      <c r="HQ16" s="99">
        <v>23.09</v>
      </c>
      <c r="HR16" s="99">
        <v>17.27</v>
      </c>
      <c r="HS16" s="99">
        <v>23.98</v>
      </c>
      <c r="HT16" s="99">
        <v>16.03</v>
      </c>
      <c r="HU16" s="99">
        <v>9.3800000000000008</v>
      </c>
      <c r="HV16" s="99">
        <v>29.55</v>
      </c>
      <c r="HW16" s="99">
        <v>9.4700000000000006</v>
      </c>
      <c r="HX16" s="99">
        <v>13.51</v>
      </c>
      <c r="HY16" s="99">
        <v>9.69</v>
      </c>
      <c r="HZ16" s="99">
        <v>17.920000000000002</v>
      </c>
      <c r="IA16" s="99">
        <v>10.5</v>
      </c>
      <c r="IB16" s="99">
        <v>9.7100000000000009</v>
      </c>
      <c r="IC16" s="99">
        <v>21.46</v>
      </c>
      <c r="ID16" s="99">
        <v>9.93</v>
      </c>
      <c r="IE16" s="99">
        <v>7.6</v>
      </c>
      <c r="IF16" s="99">
        <v>4.1399999999999997</v>
      </c>
      <c r="IG16" s="99">
        <v>4.63</v>
      </c>
      <c r="IH16" s="99">
        <v>3.13</v>
      </c>
      <c r="II16" s="99">
        <v>6.36</v>
      </c>
      <c r="IJ16" s="99">
        <v>3.92</v>
      </c>
      <c r="IK16" s="99">
        <v>3.76</v>
      </c>
      <c r="IL16" s="99">
        <v>11.65</v>
      </c>
      <c r="IM16" s="99">
        <v>5.25</v>
      </c>
      <c r="IN16" s="99">
        <v>2.4700000000000002</v>
      </c>
      <c r="IO16" s="99">
        <v>3.95</v>
      </c>
      <c r="IP16" s="99">
        <v>8.0500000000000007</v>
      </c>
      <c r="IQ16" s="99">
        <v>10.88</v>
      </c>
      <c r="IR16" s="99">
        <v>9.5399999999999991</v>
      </c>
      <c r="IS16" s="99">
        <v>4.7300000000000004</v>
      </c>
      <c r="IT16" s="99">
        <v>6.36</v>
      </c>
      <c r="IU16" s="99">
        <v>7.37</v>
      </c>
      <c r="IV16" s="99">
        <v>11.38</v>
      </c>
      <c r="IW16" s="99">
        <v>12.4</v>
      </c>
      <c r="IX16" s="99">
        <v>11.22</v>
      </c>
      <c r="IY16" s="99">
        <v>5.19</v>
      </c>
      <c r="IZ16" s="99">
        <v>12.5</v>
      </c>
      <c r="JA16" s="99">
        <v>18.46</v>
      </c>
      <c r="JB16" s="99">
        <v>9.16</v>
      </c>
      <c r="JC16" s="99">
        <v>10.15</v>
      </c>
      <c r="JD16" s="99">
        <v>9.52</v>
      </c>
      <c r="JE16" s="99">
        <v>6.56</v>
      </c>
      <c r="JF16" s="99">
        <v>5.9</v>
      </c>
      <c r="JG16" s="99">
        <v>3.59</v>
      </c>
      <c r="JH16" s="99">
        <v>3.53</v>
      </c>
      <c r="JI16" s="99">
        <v>3.54</v>
      </c>
      <c r="JJ16" s="99">
        <v>6.57</v>
      </c>
      <c r="JK16" s="99">
        <v>9.25</v>
      </c>
      <c r="JL16" s="99">
        <v>3.11</v>
      </c>
      <c r="JM16" s="99">
        <v>5.12</v>
      </c>
      <c r="JN16" s="99">
        <v>7.79</v>
      </c>
      <c r="JO16" s="99">
        <v>6.9</v>
      </c>
      <c r="JP16" s="99">
        <v>9.59</v>
      </c>
      <c r="JQ16" s="99">
        <v>7.26</v>
      </c>
      <c r="JR16" s="99">
        <v>5.91</v>
      </c>
      <c r="JS16" s="99">
        <v>11.25</v>
      </c>
      <c r="JT16" s="99">
        <v>8.1</v>
      </c>
      <c r="JU16" s="99">
        <v>10.45</v>
      </c>
      <c r="JV16" s="99">
        <v>14.79</v>
      </c>
      <c r="JW16" s="99">
        <v>7.44</v>
      </c>
      <c r="JX16" s="99">
        <v>3.16</v>
      </c>
      <c r="JY16" s="99">
        <v>13.65</v>
      </c>
      <c r="JZ16" s="99">
        <v>13</v>
      </c>
      <c r="KA16" s="99">
        <v>6.59</v>
      </c>
      <c r="KB16" s="99">
        <v>7.73</v>
      </c>
      <c r="KC16" s="99">
        <v>6.58</v>
      </c>
      <c r="KD16" s="99">
        <v>3.53</v>
      </c>
      <c r="KE16" s="99">
        <v>2.98</v>
      </c>
      <c r="KF16" s="99">
        <v>6.05</v>
      </c>
      <c r="KG16" s="99">
        <v>4.16</v>
      </c>
      <c r="KH16" s="99">
        <v>7.19</v>
      </c>
      <c r="KI16" s="99">
        <v>4.8499999999999996</v>
      </c>
      <c r="KJ16" s="99">
        <v>3.76</v>
      </c>
      <c r="KK16" s="99">
        <v>4.59</v>
      </c>
      <c r="KL16" s="99">
        <v>3.01</v>
      </c>
      <c r="KM16" s="99">
        <v>3.16</v>
      </c>
      <c r="KN16" s="99">
        <v>7.85</v>
      </c>
      <c r="KO16" s="99">
        <v>8.23</v>
      </c>
      <c r="KP16" s="99">
        <v>12.93</v>
      </c>
      <c r="KQ16" s="99">
        <v>7.14</v>
      </c>
      <c r="KR16" s="99">
        <v>7.6</v>
      </c>
      <c r="KS16" s="99">
        <v>9.51</v>
      </c>
      <c r="KT16" s="99">
        <v>3.33</v>
      </c>
      <c r="KU16" s="99">
        <v>3.56</v>
      </c>
      <c r="KV16" s="99">
        <v>4.7</v>
      </c>
      <c r="KW16" s="99">
        <v>8.58</v>
      </c>
      <c r="KX16" s="99">
        <v>10.4</v>
      </c>
      <c r="KY16" s="99">
        <v>6.27</v>
      </c>
      <c r="KZ16" s="99">
        <v>7.39</v>
      </c>
      <c r="LA16" s="99">
        <v>15.84</v>
      </c>
      <c r="LB16" s="99">
        <v>4.97</v>
      </c>
      <c r="LC16" s="99">
        <v>4.74</v>
      </c>
      <c r="LD16" s="99">
        <v>6.07</v>
      </c>
      <c r="LE16" s="99">
        <v>9.5</v>
      </c>
      <c r="LF16" s="99">
        <v>8.67</v>
      </c>
      <c r="LG16" s="99">
        <v>4.8600000000000003</v>
      </c>
      <c r="LH16" s="99">
        <v>6.93</v>
      </c>
      <c r="LI16" s="99">
        <v>8.93</v>
      </c>
      <c r="LJ16" s="99">
        <v>6.47</v>
      </c>
      <c r="LK16" s="99">
        <v>7.53</v>
      </c>
      <c r="LL16" s="99">
        <v>4.54</v>
      </c>
      <c r="LM16" s="99">
        <v>9.9700000000000006</v>
      </c>
      <c r="LN16" s="99">
        <v>12.64</v>
      </c>
      <c r="LO16" s="99">
        <v>5.98</v>
      </c>
      <c r="LP16" s="99">
        <v>11.72</v>
      </c>
      <c r="LQ16" s="99">
        <v>7.9</v>
      </c>
      <c r="LR16" s="99">
        <v>9.2799999999999994</v>
      </c>
      <c r="LS16" s="99">
        <v>11.5</v>
      </c>
      <c r="LT16" s="99">
        <v>18.329999999999998</v>
      </c>
      <c r="LU16" s="99">
        <v>15.94</v>
      </c>
      <c r="LV16" s="99">
        <v>10.36</v>
      </c>
      <c r="LW16" s="99">
        <v>12.73</v>
      </c>
      <c r="LX16" s="99">
        <v>7.2</v>
      </c>
      <c r="LY16" s="99">
        <v>6.87</v>
      </c>
      <c r="LZ16" s="99">
        <v>7.7</v>
      </c>
      <c r="MA16" s="99">
        <v>11.74</v>
      </c>
      <c r="MB16" s="99">
        <v>6.12</v>
      </c>
      <c r="MC16" s="99">
        <v>5.08</v>
      </c>
      <c r="MD16" s="99">
        <v>6.15</v>
      </c>
      <c r="ME16" s="99">
        <v>12.79</v>
      </c>
      <c r="MF16" s="99">
        <v>9.9700000000000006</v>
      </c>
      <c r="MG16" s="99">
        <v>7.34</v>
      </c>
      <c r="MH16" s="99">
        <v>9.09</v>
      </c>
      <c r="MI16" s="99">
        <v>12.43</v>
      </c>
      <c r="MJ16" s="99">
        <v>7.83</v>
      </c>
      <c r="MK16" s="99">
        <v>5.68</v>
      </c>
      <c r="ML16" s="99">
        <v>6.75</v>
      </c>
      <c r="MM16" s="99">
        <v>8.01</v>
      </c>
      <c r="MN16" s="99">
        <v>9.8000000000000007</v>
      </c>
      <c r="MO16" s="99">
        <v>10.56</v>
      </c>
      <c r="MP16" s="99">
        <v>8.51</v>
      </c>
      <c r="MQ16" s="99">
        <v>9.74</v>
      </c>
      <c r="MR16" s="99">
        <v>9.2899999999999991</v>
      </c>
      <c r="MS16" s="99">
        <v>5.49</v>
      </c>
      <c r="MT16" s="99">
        <v>8.65</v>
      </c>
      <c r="MU16" s="99">
        <v>7.18</v>
      </c>
      <c r="MV16" s="99">
        <v>4.6100000000000003</v>
      </c>
      <c r="MW16" s="99">
        <v>10.53</v>
      </c>
      <c r="MX16" s="99">
        <v>12.67</v>
      </c>
      <c r="MY16" s="99">
        <v>6.36</v>
      </c>
      <c r="MZ16" s="99">
        <v>5.99</v>
      </c>
      <c r="NA16" s="99">
        <v>5.89</v>
      </c>
      <c r="NB16" s="99">
        <v>5.98</v>
      </c>
      <c r="NC16" s="99">
        <v>5.49</v>
      </c>
      <c r="ND16" s="99">
        <v>7.79</v>
      </c>
      <c r="NE16" s="99">
        <v>4.5</v>
      </c>
      <c r="NF16" s="99">
        <v>8.0500000000000007</v>
      </c>
      <c r="NG16" s="99">
        <v>5.57</v>
      </c>
      <c r="NH16" s="99">
        <v>17.600000000000001</v>
      </c>
      <c r="NI16" s="99">
        <v>13.27</v>
      </c>
      <c r="NJ16" s="99">
        <v>11.48</v>
      </c>
      <c r="NK16" s="99">
        <v>12.67</v>
      </c>
      <c r="NL16" s="99">
        <v>7.79</v>
      </c>
      <c r="NM16" s="99">
        <v>14.19</v>
      </c>
      <c r="NN16" s="99">
        <v>10.19</v>
      </c>
      <c r="NO16" s="99">
        <v>14.64</v>
      </c>
      <c r="NP16" s="99">
        <v>5.29</v>
      </c>
      <c r="NQ16" s="99">
        <v>7.12</v>
      </c>
      <c r="NR16" s="99">
        <v>14</v>
      </c>
      <c r="NS16" s="99">
        <v>13.33</v>
      </c>
      <c r="NT16" s="99">
        <v>3.26</v>
      </c>
      <c r="NU16" s="99">
        <v>3.73</v>
      </c>
      <c r="NV16" s="99">
        <v>2.96</v>
      </c>
      <c r="NW16" s="99">
        <v>9.5299999999999994</v>
      </c>
      <c r="NX16" s="99">
        <v>8.8800000000000008</v>
      </c>
      <c r="NY16" s="99">
        <v>34.770000000000003</v>
      </c>
      <c r="NZ16" s="99">
        <v>37.97</v>
      </c>
      <c r="OA16" s="99">
        <v>13.44</v>
      </c>
      <c r="OB16" s="99">
        <v>23.24</v>
      </c>
      <c r="OC16" s="99">
        <v>21.24</v>
      </c>
      <c r="OD16" s="99">
        <v>23.69</v>
      </c>
      <c r="OE16" s="99">
        <v>21.78</v>
      </c>
      <c r="OF16" s="99">
        <v>17.21</v>
      </c>
      <c r="OG16" s="99">
        <v>21.08</v>
      </c>
      <c r="OH16" s="99">
        <v>23.6</v>
      </c>
      <c r="OI16" s="99">
        <v>24.56</v>
      </c>
      <c r="OJ16" s="99">
        <v>30.63</v>
      </c>
      <c r="OK16" s="99">
        <v>30.81</v>
      </c>
      <c r="OL16" s="99">
        <v>28.28</v>
      </c>
      <c r="OM16" s="99">
        <v>31.99</v>
      </c>
      <c r="ON16" s="99">
        <v>30.62</v>
      </c>
      <c r="OO16" s="99">
        <v>20.85</v>
      </c>
      <c r="OP16" s="99">
        <v>17.11</v>
      </c>
      <c r="OQ16" s="99">
        <v>18.760000000000002</v>
      </c>
      <c r="OR16" s="99">
        <v>25.68</v>
      </c>
      <c r="OS16" s="99">
        <v>15.17</v>
      </c>
      <c r="OT16" s="99">
        <v>16.350000000000001</v>
      </c>
      <c r="OU16" s="99">
        <v>17.12</v>
      </c>
      <c r="OV16" s="99">
        <v>19.37</v>
      </c>
      <c r="OW16" s="99">
        <v>19.920000000000002</v>
      </c>
      <c r="OX16" s="99">
        <v>30.59</v>
      </c>
      <c r="OY16" s="99">
        <v>29.97</v>
      </c>
      <c r="OZ16" s="99">
        <v>26.77</v>
      </c>
      <c r="PA16" s="99">
        <v>20.32</v>
      </c>
      <c r="PB16" s="99">
        <v>20.309999999999999</v>
      </c>
      <c r="PC16" s="99">
        <v>19.77</v>
      </c>
      <c r="PD16" s="99">
        <v>27.38</v>
      </c>
      <c r="PE16" s="99">
        <v>22.98</v>
      </c>
      <c r="PF16" s="99">
        <v>23.34</v>
      </c>
      <c r="PG16" s="99">
        <v>12.13</v>
      </c>
      <c r="PH16" s="99">
        <v>26.4</v>
      </c>
      <c r="PI16" s="99">
        <v>19.78</v>
      </c>
      <c r="PJ16" s="99">
        <v>10.11</v>
      </c>
      <c r="PK16" s="99">
        <v>21.22</v>
      </c>
      <c r="PL16" s="99">
        <v>34.369999999999997</v>
      </c>
      <c r="PM16" s="99">
        <v>20.079999999999998</v>
      </c>
      <c r="PN16" s="99">
        <v>36.979999999999997</v>
      </c>
      <c r="PO16" s="99">
        <v>29.05</v>
      </c>
      <c r="PP16" s="99">
        <v>25.79</v>
      </c>
      <c r="PQ16" s="99">
        <v>26.64</v>
      </c>
      <c r="PR16" s="99">
        <v>20.62</v>
      </c>
      <c r="PS16" s="99">
        <v>22.74</v>
      </c>
      <c r="PT16" s="99">
        <v>15.02</v>
      </c>
      <c r="PU16" s="99">
        <v>15.7</v>
      </c>
      <c r="PV16" s="99">
        <v>14.1</v>
      </c>
      <c r="PW16" s="99">
        <v>23.29</v>
      </c>
      <c r="PX16" s="99">
        <v>17.16</v>
      </c>
      <c r="PY16" s="99">
        <v>24.39</v>
      </c>
      <c r="PZ16" s="99">
        <v>15.69</v>
      </c>
      <c r="QA16" s="99">
        <v>14.52</v>
      </c>
      <c r="QB16" s="99">
        <v>21.52</v>
      </c>
      <c r="QC16" s="99">
        <v>24.08</v>
      </c>
      <c r="QD16" s="99">
        <v>17.64</v>
      </c>
      <c r="QE16" s="99">
        <v>19.690000000000001</v>
      </c>
      <c r="QF16" s="99">
        <v>12.03</v>
      </c>
      <c r="QG16" s="99">
        <v>16.22</v>
      </c>
      <c r="QH16" s="99">
        <v>15.17</v>
      </c>
      <c r="QI16" s="99">
        <v>23.27</v>
      </c>
      <c r="QJ16" s="99">
        <v>18.05</v>
      </c>
      <c r="QK16" s="99">
        <v>26.45</v>
      </c>
      <c r="QL16" s="99">
        <v>34.020000000000003</v>
      </c>
      <c r="QM16" s="99">
        <v>22.88</v>
      </c>
      <c r="QN16" s="99">
        <v>22.11</v>
      </c>
      <c r="QO16" s="99">
        <v>19.52</v>
      </c>
      <c r="QP16" s="99">
        <v>16.59</v>
      </c>
      <c r="QQ16" s="99">
        <v>18.850000000000001</v>
      </c>
      <c r="QR16" s="99">
        <v>23.79</v>
      </c>
      <c r="QS16" s="99">
        <v>23.98</v>
      </c>
      <c r="QT16" s="99">
        <v>17.79</v>
      </c>
      <c r="QU16" s="99">
        <v>16.440000000000001</v>
      </c>
      <c r="QV16" s="99">
        <v>18.13</v>
      </c>
      <c r="QW16" s="99">
        <v>19.309999999999999</v>
      </c>
      <c r="QX16" s="99">
        <v>17.440000000000001</v>
      </c>
      <c r="QY16" s="99">
        <v>17.73</v>
      </c>
      <c r="QZ16" s="99">
        <v>17.27</v>
      </c>
      <c r="RA16" s="99">
        <v>16.739999999999998</v>
      </c>
      <c r="RB16" s="99">
        <v>18.71</v>
      </c>
      <c r="RC16" s="99">
        <v>18.13</v>
      </c>
      <c r="RD16" s="99">
        <v>19.010000000000002</v>
      </c>
      <c r="RE16" s="99">
        <v>16.940000000000001</v>
      </c>
      <c r="RF16" s="99">
        <v>16.23</v>
      </c>
      <c r="RG16" s="99">
        <v>14.7</v>
      </c>
      <c r="RH16" s="99">
        <v>16.420000000000002</v>
      </c>
      <c r="RI16" s="99">
        <v>14.65</v>
      </c>
      <c r="RJ16" s="99">
        <v>13.99</v>
      </c>
      <c r="RK16" s="99">
        <v>10.29</v>
      </c>
      <c r="RL16" s="99">
        <v>13.22</v>
      </c>
      <c r="RM16" s="99">
        <v>14.13</v>
      </c>
      <c r="RN16" s="99">
        <v>17.149999999999999</v>
      </c>
      <c r="RO16" s="99">
        <v>21.32</v>
      </c>
      <c r="RP16" s="99">
        <v>18.13</v>
      </c>
      <c r="RQ16" s="99">
        <v>14.76</v>
      </c>
      <c r="RR16" s="99">
        <v>16.29</v>
      </c>
      <c r="RS16" s="99">
        <v>12.87</v>
      </c>
      <c r="RT16" s="99">
        <v>14.36</v>
      </c>
      <c r="RU16" s="99">
        <v>11.66</v>
      </c>
      <c r="RV16" s="99">
        <v>18.14</v>
      </c>
      <c r="RW16" s="99">
        <v>24.1</v>
      </c>
      <c r="RX16" s="99">
        <v>18.68</v>
      </c>
      <c r="RY16" s="99">
        <v>24.91</v>
      </c>
      <c r="RZ16" s="99">
        <v>18.03</v>
      </c>
      <c r="SA16" s="99">
        <v>13.11</v>
      </c>
      <c r="SB16" s="99">
        <v>10.74</v>
      </c>
      <c r="SC16" s="99">
        <v>7.74</v>
      </c>
      <c r="SD16" s="99">
        <v>7.01</v>
      </c>
      <c r="SE16" s="99">
        <v>10.42</v>
      </c>
      <c r="SF16" s="99">
        <v>13.34</v>
      </c>
      <c r="SG16" s="99">
        <v>10.58</v>
      </c>
      <c r="SH16" s="99">
        <v>14.98</v>
      </c>
      <c r="SI16" s="99">
        <v>11.45</v>
      </c>
      <c r="SJ16" s="99">
        <v>18.059999999999999</v>
      </c>
      <c r="SK16" s="99">
        <v>23.97</v>
      </c>
      <c r="SL16" s="99">
        <v>29.68</v>
      </c>
      <c r="SM16" s="99">
        <v>18.07</v>
      </c>
      <c r="SN16" s="99">
        <v>13.35</v>
      </c>
      <c r="SO16" s="99">
        <v>12.01</v>
      </c>
      <c r="SP16" s="99">
        <v>13.59</v>
      </c>
      <c r="SQ16" s="99">
        <v>17.600000000000001</v>
      </c>
      <c r="SR16" s="99">
        <v>21.14</v>
      </c>
      <c r="SS16" s="99">
        <v>14.1</v>
      </c>
      <c r="ST16" s="99">
        <v>12.92</v>
      </c>
      <c r="SU16" s="99">
        <v>15.1</v>
      </c>
      <c r="SV16" s="99">
        <v>14.33</v>
      </c>
      <c r="SW16" s="99">
        <v>9.67</v>
      </c>
      <c r="SX16" s="99">
        <v>9.08</v>
      </c>
      <c r="SY16" s="99">
        <v>5.64</v>
      </c>
      <c r="SZ16" s="99">
        <v>6.48</v>
      </c>
      <c r="TA16" s="99">
        <v>7.88</v>
      </c>
    </row>
    <row r="17" spans="1:27">
      <c r="A17">
        <v>1</v>
      </c>
      <c r="B17">
        <v>9.3780000000000002E-2</v>
      </c>
      <c r="C17">
        <v>7.87</v>
      </c>
      <c r="D17">
        <v>0.52400000000000002</v>
      </c>
      <c r="E17">
        <v>5.8890000000000002</v>
      </c>
      <c r="F17">
        <v>39</v>
      </c>
      <c r="G17">
        <v>5.4508999999999999</v>
      </c>
      <c r="H17">
        <v>5</v>
      </c>
      <c r="I17">
        <v>311</v>
      </c>
      <c r="J17">
        <v>15.2</v>
      </c>
      <c r="K17">
        <v>390.5</v>
      </c>
      <c r="L17">
        <v>15.71</v>
      </c>
      <c r="M17">
        <v>21.7</v>
      </c>
      <c r="N17" s="107">
        <f t="shared" si="0"/>
        <v>21.931878752377518</v>
      </c>
      <c r="O17"/>
    </row>
    <row r="18" spans="1:27">
      <c r="A18">
        <v>1</v>
      </c>
      <c r="B18">
        <v>0.62975999999999999</v>
      </c>
      <c r="C18">
        <v>8.14</v>
      </c>
      <c r="D18">
        <v>0.53800000000000003</v>
      </c>
      <c r="E18">
        <v>5.9489999999999998</v>
      </c>
      <c r="F18">
        <v>61.8</v>
      </c>
      <c r="G18">
        <v>4.7074999999999996</v>
      </c>
      <c r="H18">
        <v>4</v>
      </c>
      <c r="I18">
        <v>307</v>
      </c>
      <c r="J18">
        <v>21</v>
      </c>
      <c r="K18">
        <v>396.9</v>
      </c>
      <c r="L18">
        <v>8.26</v>
      </c>
      <c r="M18">
        <v>20.399999999999999</v>
      </c>
      <c r="N18" s="107">
        <f t="shared" si="0"/>
        <v>19.868737307106905</v>
      </c>
      <c r="O18"/>
      <c r="P18" s="128" t="s">
        <v>566</v>
      </c>
      <c r="Q18" s="128"/>
      <c r="R18" s="128"/>
      <c r="S18" s="128"/>
      <c r="T18" s="128"/>
      <c r="U18" s="128"/>
      <c r="V18" s="128"/>
      <c r="W18" s="128"/>
      <c r="X18" s="128"/>
      <c r="Y18" s="128"/>
      <c r="Z18" s="128"/>
      <c r="AA18" s="128"/>
    </row>
    <row r="19" spans="1:27">
      <c r="A19">
        <v>1</v>
      </c>
      <c r="B19">
        <v>0.63795999999999997</v>
      </c>
      <c r="C19">
        <v>8.14</v>
      </c>
      <c r="D19">
        <v>0.53800000000000003</v>
      </c>
      <c r="E19">
        <v>6.0960000000000001</v>
      </c>
      <c r="F19">
        <v>84.5</v>
      </c>
      <c r="G19">
        <v>4.4619</v>
      </c>
      <c r="H19">
        <v>4</v>
      </c>
      <c r="I19">
        <v>307</v>
      </c>
      <c r="J19">
        <v>21</v>
      </c>
      <c r="K19">
        <v>380.02</v>
      </c>
      <c r="L19">
        <v>10.26</v>
      </c>
      <c r="M19">
        <v>18.2</v>
      </c>
      <c r="N19" s="107">
        <f t="shared" si="0"/>
        <v>19.487490710136964</v>
      </c>
      <c r="O19"/>
      <c r="P19" s="99">
        <f t="array" ref="P19:AA30">MMULT(P5:TA16,A5:L510)</f>
        <v>506</v>
      </c>
      <c r="Q19" s="99">
        <v>1828.4429200000002</v>
      </c>
      <c r="R19" s="99">
        <v>5635.210000000011</v>
      </c>
      <c r="S19" s="99">
        <v>280.67569999999984</v>
      </c>
      <c r="T19" s="99">
        <v>3180.0250000000042</v>
      </c>
      <c r="U19" s="99">
        <v>34698.900000000016</v>
      </c>
      <c r="V19" s="99">
        <v>1920.2915999999991</v>
      </c>
      <c r="W19" s="99">
        <v>4832</v>
      </c>
      <c r="X19" s="99">
        <v>206568</v>
      </c>
      <c r="Y19" s="99">
        <v>9338.5000000000109</v>
      </c>
      <c r="Z19" s="99">
        <v>180477.05999999959</v>
      </c>
      <c r="AA19" s="99">
        <v>6402.4500000000016</v>
      </c>
    </row>
    <row r="20" spans="1:27">
      <c r="A20">
        <v>1</v>
      </c>
      <c r="B20">
        <v>0.62739</v>
      </c>
      <c r="C20">
        <v>8.14</v>
      </c>
      <c r="D20">
        <v>0.53800000000000003</v>
      </c>
      <c r="E20">
        <v>5.8339999999999996</v>
      </c>
      <c r="F20">
        <v>56.5</v>
      </c>
      <c r="G20">
        <v>4.4985999999999997</v>
      </c>
      <c r="H20">
        <v>4</v>
      </c>
      <c r="I20">
        <v>307</v>
      </c>
      <c r="J20">
        <v>21</v>
      </c>
      <c r="K20">
        <v>395.62</v>
      </c>
      <c r="L20">
        <v>8.4700000000000006</v>
      </c>
      <c r="M20">
        <v>19.899999999999999</v>
      </c>
      <c r="N20" s="107">
        <f t="shared" si="0"/>
        <v>19.544386160634531</v>
      </c>
      <c r="O20" s="92"/>
      <c r="P20" s="99">
        <v>1828.4429200000002</v>
      </c>
      <c r="Q20" s="99">
        <v>43970.343555150794</v>
      </c>
      <c r="R20" s="99">
        <v>32479.095184299997</v>
      </c>
      <c r="S20" s="99">
        <v>1226.1231702309992</v>
      </c>
      <c r="T20" s="99">
        <v>10821.951136170004</v>
      </c>
      <c r="U20" s="99">
        <v>168514.98033299987</v>
      </c>
      <c r="V20" s="99">
        <v>3466.2745576280004</v>
      </c>
      <c r="W20" s="99">
        <v>41118.665140000005</v>
      </c>
      <c r="X20" s="99">
        <v>1173073.2109100001</v>
      </c>
      <c r="Y20" s="99">
        <v>36471.55178899999</v>
      </c>
      <c r="Z20" s="99">
        <v>499455.29062459996</v>
      </c>
      <c r="AA20" s="99">
        <v>37268.418678199996</v>
      </c>
    </row>
    <row r="21" spans="1:27">
      <c r="A21">
        <v>1</v>
      </c>
      <c r="B21">
        <v>1.05393</v>
      </c>
      <c r="C21">
        <v>8.14</v>
      </c>
      <c r="D21">
        <v>0.53800000000000003</v>
      </c>
      <c r="E21">
        <v>5.9349999999999996</v>
      </c>
      <c r="F21">
        <v>29.3</v>
      </c>
      <c r="G21">
        <v>4.4985999999999997</v>
      </c>
      <c r="H21">
        <v>4</v>
      </c>
      <c r="I21">
        <v>307</v>
      </c>
      <c r="J21">
        <v>21</v>
      </c>
      <c r="K21">
        <v>386.85</v>
      </c>
      <c r="L21">
        <v>6.58</v>
      </c>
      <c r="M21">
        <v>23.1</v>
      </c>
      <c r="N21" s="107">
        <f t="shared" si="0"/>
        <v>20.889756882690705</v>
      </c>
      <c r="O21" s="92"/>
      <c r="P21" s="99">
        <v>5635.210000000011</v>
      </c>
      <c r="Q21" s="99">
        <v>32479.095184299997</v>
      </c>
      <c r="R21" s="99">
        <v>86525.629900000175</v>
      </c>
      <c r="S21" s="99">
        <v>3432.395359999995</v>
      </c>
      <c r="T21" s="99">
        <v>34461.816480000001</v>
      </c>
      <c r="U21" s="99">
        <v>449313.48999999982</v>
      </c>
      <c r="V21" s="99">
        <v>16220.673289000011</v>
      </c>
      <c r="W21" s="99">
        <v>71765.650000000096</v>
      </c>
      <c r="X21" s="99">
        <v>2721349.0400000145</v>
      </c>
      <c r="Y21" s="99">
        <v>106875.31999999969</v>
      </c>
      <c r="Z21" s="99">
        <v>1897025.2931999965</v>
      </c>
      <c r="AA21" s="99">
        <v>86240.705000000045</v>
      </c>
    </row>
    <row r="22" spans="1:27">
      <c r="A22">
        <v>1</v>
      </c>
      <c r="B22">
        <v>0.78420000000000001</v>
      </c>
      <c r="C22">
        <v>8.14</v>
      </c>
      <c r="D22">
        <v>0.53800000000000003</v>
      </c>
      <c r="E22">
        <v>5.99</v>
      </c>
      <c r="F22">
        <v>81.7</v>
      </c>
      <c r="G22">
        <v>4.2579000000000002</v>
      </c>
      <c r="H22">
        <v>4</v>
      </c>
      <c r="I22">
        <v>307</v>
      </c>
      <c r="J22">
        <v>21</v>
      </c>
      <c r="K22">
        <v>386.75</v>
      </c>
      <c r="L22">
        <v>14.67</v>
      </c>
      <c r="M22">
        <v>17.5</v>
      </c>
      <c r="N22" s="107">
        <f t="shared" si="0"/>
        <v>17.045518887468521</v>
      </c>
      <c r="O22" s="92"/>
      <c r="P22" s="99">
        <v>280.67569999999984</v>
      </c>
      <c r="Q22" s="99">
        <v>1226.1231702309992</v>
      </c>
      <c r="R22" s="99">
        <v>3432.395359999995</v>
      </c>
      <c r="S22" s="99">
        <v>162.47038008999957</v>
      </c>
      <c r="T22" s="99">
        <v>1751.5194138999989</v>
      </c>
      <c r="U22" s="99">
        <v>20452.201629999981</v>
      </c>
      <c r="V22" s="99">
        <v>970.38986564999993</v>
      </c>
      <c r="W22" s="99">
        <v>2991.83590000001</v>
      </c>
      <c r="X22" s="99">
        <v>121170.62319999987</v>
      </c>
      <c r="Y22" s="99">
        <v>5203.9554600000101</v>
      </c>
      <c r="Z22" s="99">
        <v>98079.345828999998</v>
      </c>
      <c r="AA22" s="99">
        <v>3798.3251970000024</v>
      </c>
    </row>
    <row r="23" spans="1:27">
      <c r="A23">
        <v>1</v>
      </c>
      <c r="B23">
        <v>0.80271000000000003</v>
      </c>
      <c r="C23">
        <v>8.14</v>
      </c>
      <c r="D23">
        <v>0.53800000000000003</v>
      </c>
      <c r="E23">
        <v>5.4560000000000004</v>
      </c>
      <c r="F23">
        <v>36.6</v>
      </c>
      <c r="G23">
        <v>3.7965</v>
      </c>
      <c r="H23">
        <v>4</v>
      </c>
      <c r="I23">
        <v>307</v>
      </c>
      <c r="J23">
        <v>21</v>
      </c>
      <c r="K23">
        <v>288.99</v>
      </c>
      <c r="L23">
        <v>11.69</v>
      </c>
      <c r="M23">
        <v>20.2</v>
      </c>
      <c r="N23" s="107">
        <f t="shared" si="0"/>
        <v>16.147071700988082</v>
      </c>
      <c r="O23" s="92"/>
      <c r="P23" s="99">
        <v>3180.0250000000042</v>
      </c>
      <c r="Q23" s="99">
        <v>10821.951136170004</v>
      </c>
      <c r="R23" s="99">
        <v>34461.816480000001</v>
      </c>
      <c r="S23" s="99">
        <v>1751.5194138999989</v>
      </c>
      <c r="T23" s="99">
        <v>20234.598247000024</v>
      </c>
      <c r="U23" s="99">
        <v>215670.17590000018</v>
      </c>
      <c r="V23" s="99">
        <v>12221.680650699996</v>
      </c>
      <c r="W23" s="99">
        <v>29719.027000000016</v>
      </c>
      <c r="X23" s="99">
        <v>1280739.7149999982</v>
      </c>
      <c r="Y23" s="99">
        <v>58415.972799999894</v>
      </c>
      <c r="Z23" s="99">
        <v>1138380.9153000005</v>
      </c>
      <c r="AA23" s="99">
        <v>38681.788020000015</v>
      </c>
    </row>
    <row r="24" spans="1:27">
      <c r="A24">
        <v>1</v>
      </c>
      <c r="B24">
        <v>0.7258</v>
      </c>
      <c r="C24">
        <v>8.14</v>
      </c>
      <c r="D24">
        <v>0.53800000000000003</v>
      </c>
      <c r="E24">
        <v>5.7270000000000003</v>
      </c>
      <c r="F24">
        <v>69.5</v>
      </c>
      <c r="G24">
        <v>3.7965</v>
      </c>
      <c r="H24">
        <v>4</v>
      </c>
      <c r="I24">
        <v>307</v>
      </c>
      <c r="J24">
        <v>21</v>
      </c>
      <c r="K24">
        <v>390.95</v>
      </c>
      <c r="L24">
        <v>11.28</v>
      </c>
      <c r="M24">
        <v>18.2</v>
      </c>
      <c r="N24" s="107">
        <f t="shared" si="0"/>
        <v>18.392044082941617</v>
      </c>
      <c r="O24" s="92"/>
      <c r="P24" s="99">
        <v>34698.900000000016</v>
      </c>
      <c r="Q24" s="99">
        <v>168514.98033299987</v>
      </c>
      <c r="R24" s="99">
        <v>449313.48999999982</v>
      </c>
      <c r="S24" s="99">
        <v>20452.201629999981</v>
      </c>
      <c r="T24" s="99">
        <v>215670.17590000018</v>
      </c>
      <c r="U24" s="99">
        <v>2779614.6300000008</v>
      </c>
      <c r="V24" s="99">
        <v>109297.47009000006</v>
      </c>
      <c r="W24" s="99">
        <v>387798.19999999984</v>
      </c>
      <c r="X24" s="99">
        <v>15378738.700000005</v>
      </c>
      <c r="Y24" s="99">
        <v>648434.86000000034</v>
      </c>
      <c r="Z24" s="99">
        <v>12021211.689999996</v>
      </c>
      <c r="AA24" s="99">
        <v>500191.62699999969</v>
      </c>
    </row>
    <row r="25" spans="1:27">
      <c r="A25">
        <v>1</v>
      </c>
      <c r="B25">
        <v>1.25179</v>
      </c>
      <c r="C25">
        <v>8.14</v>
      </c>
      <c r="D25">
        <v>0.53800000000000003</v>
      </c>
      <c r="E25">
        <v>5.57</v>
      </c>
      <c r="F25">
        <v>98.1</v>
      </c>
      <c r="G25">
        <v>3.7978999999999998</v>
      </c>
      <c r="H25">
        <v>4</v>
      </c>
      <c r="I25">
        <v>307</v>
      </c>
      <c r="J25">
        <v>21</v>
      </c>
      <c r="K25">
        <v>376.57</v>
      </c>
      <c r="L25">
        <v>21.02</v>
      </c>
      <c r="M25">
        <v>13.6</v>
      </c>
      <c r="N25" s="107">
        <f t="shared" si="0"/>
        <v>12.364689790277589</v>
      </c>
      <c r="O25" s="92"/>
      <c r="P25" s="99">
        <v>1920.2915999999991</v>
      </c>
      <c r="Q25" s="99">
        <v>3466.2745576280004</v>
      </c>
      <c r="R25" s="99">
        <v>16220.673289000011</v>
      </c>
      <c r="S25" s="99">
        <v>970.38986564999993</v>
      </c>
      <c r="T25" s="99">
        <v>12221.680650699996</v>
      </c>
      <c r="U25" s="99">
        <v>109297.47009000006</v>
      </c>
      <c r="V25" s="99">
        <v>9526.7662392999955</v>
      </c>
      <c r="W25" s="99">
        <v>13758.179000000004</v>
      </c>
      <c r="X25" s="99">
        <v>688153.75910000037</v>
      </c>
      <c r="Y25" s="99">
        <v>34904.819989999996</v>
      </c>
      <c r="Z25" s="99">
        <v>713218.526516999</v>
      </c>
      <c r="AA25" s="99">
        <v>20523.539880000008</v>
      </c>
    </row>
    <row r="26" spans="1:27">
      <c r="A26">
        <v>1</v>
      </c>
      <c r="B26">
        <v>0.85204000000000002</v>
      </c>
      <c r="C26">
        <v>8.14</v>
      </c>
      <c r="D26">
        <v>0.53800000000000003</v>
      </c>
      <c r="E26">
        <v>5.9649999999999999</v>
      </c>
      <c r="F26">
        <v>89.2</v>
      </c>
      <c r="G26">
        <v>4.0122999999999998</v>
      </c>
      <c r="H26">
        <v>4</v>
      </c>
      <c r="I26">
        <v>307</v>
      </c>
      <c r="J26">
        <v>21</v>
      </c>
      <c r="K26">
        <v>392.53</v>
      </c>
      <c r="L26">
        <v>13.83</v>
      </c>
      <c r="M26">
        <v>19.600000000000001</v>
      </c>
      <c r="N26" s="107">
        <f t="shared" si="0"/>
        <v>17.71202841592358</v>
      </c>
      <c r="O26" s="92"/>
      <c r="P26" s="99">
        <v>4832</v>
      </c>
      <c r="Q26" s="99">
        <v>41118.665140000005</v>
      </c>
      <c r="R26" s="99">
        <v>71765.650000000096</v>
      </c>
      <c r="S26" s="99">
        <v>2991.83590000001</v>
      </c>
      <c r="T26" s="99">
        <v>29719.027000000016</v>
      </c>
      <c r="U26" s="99">
        <v>387798.19999999984</v>
      </c>
      <c r="V26" s="99">
        <v>13758.179000000004</v>
      </c>
      <c r="W26" s="99">
        <v>84430</v>
      </c>
      <c r="X26" s="99">
        <v>2647159</v>
      </c>
      <c r="Y26" s="99">
        <v>93601.300000000279</v>
      </c>
      <c r="Z26" s="99">
        <v>1545044.429999999</v>
      </c>
      <c r="AA26" s="99">
        <v>76484.250000000058</v>
      </c>
    </row>
    <row r="27" spans="1:27">
      <c r="A27">
        <v>1</v>
      </c>
      <c r="B27">
        <v>1.23247</v>
      </c>
      <c r="C27">
        <v>8.14</v>
      </c>
      <c r="D27">
        <v>0.53800000000000003</v>
      </c>
      <c r="E27">
        <v>6.1420000000000003</v>
      </c>
      <c r="F27">
        <v>91.7</v>
      </c>
      <c r="G27">
        <v>3.9769000000000001</v>
      </c>
      <c r="H27">
        <v>4</v>
      </c>
      <c r="I27">
        <v>307</v>
      </c>
      <c r="J27">
        <v>21</v>
      </c>
      <c r="K27">
        <v>396.9</v>
      </c>
      <c r="L27">
        <v>18.72</v>
      </c>
      <c r="M27">
        <v>15.2</v>
      </c>
      <c r="N27" s="107">
        <f t="shared" si="0"/>
        <v>15.905536544868225</v>
      </c>
      <c r="O27" s="92"/>
      <c r="P27" s="99">
        <v>206568</v>
      </c>
      <c r="Q27" s="99">
        <v>1173073.2109100001</v>
      </c>
      <c r="R27" s="99">
        <v>2721349.0400000145</v>
      </c>
      <c r="S27" s="99">
        <v>121170.62319999987</v>
      </c>
      <c r="T27" s="99">
        <v>1280739.7149999982</v>
      </c>
      <c r="U27" s="99">
        <v>15378738.700000005</v>
      </c>
      <c r="V27" s="99">
        <v>688153.75910000037</v>
      </c>
      <c r="W27" s="99">
        <v>2647159</v>
      </c>
      <c r="X27" s="99">
        <v>98673136</v>
      </c>
      <c r="Y27" s="99">
        <v>3897240.0000000247</v>
      </c>
      <c r="Z27" s="99">
        <v>70244496.199999973</v>
      </c>
      <c r="AA27" s="99">
        <v>2944348.8000000017</v>
      </c>
    </row>
    <row r="28" spans="1:27">
      <c r="A28">
        <v>1</v>
      </c>
      <c r="B28">
        <v>0.98843000000000003</v>
      </c>
      <c r="C28">
        <v>8.14</v>
      </c>
      <c r="D28">
        <v>0.53800000000000003</v>
      </c>
      <c r="E28">
        <v>5.8129999999999997</v>
      </c>
      <c r="F28">
        <v>100</v>
      </c>
      <c r="G28">
        <v>4.0952000000000002</v>
      </c>
      <c r="H28">
        <v>4</v>
      </c>
      <c r="I28">
        <v>307</v>
      </c>
      <c r="J28">
        <v>21</v>
      </c>
      <c r="K28">
        <v>394.54</v>
      </c>
      <c r="L28">
        <v>19.88</v>
      </c>
      <c r="M28">
        <v>14.5</v>
      </c>
      <c r="N28" s="107">
        <f t="shared" si="0"/>
        <v>13.792829346414088</v>
      </c>
      <c r="O28" s="92"/>
      <c r="P28" s="99">
        <v>9338.5000000000109</v>
      </c>
      <c r="Q28" s="99">
        <v>36471.55178899999</v>
      </c>
      <c r="R28" s="99">
        <v>106875.31999999969</v>
      </c>
      <c r="S28" s="99">
        <v>5203.9554600000101</v>
      </c>
      <c r="T28" s="99">
        <v>58415.972799999894</v>
      </c>
      <c r="U28" s="99">
        <v>648434.86000000034</v>
      </c>
      <c r="V28" s="99">
        <v>34904.819989999996</v>
      </c>
      <c r="W28" s="99">
        <v>93601.300000000279</v>
      </c>
      <c r="X28" s="99">
        <v>3897240.0000000247</v>
      </c>
      <c r="Y28" s="99">
        <v>174713.93000000028</v>
      </c>
      <c r="Z28" s="99">
        <v>3313095.3829999981</v>
      </c>
      <c r="AA28" s="99">
        <v>121080.90899999997</v>
      </c>
    </row>
    <row r="29" spans="1:27">
      <c r="A29">
        <v>1</v>
      </c>
      <c r="B29">
        <v>0.75026000000000004</v>
      </c>
      <c r="C29">
        <v>8.14</v>
      </c>
      <c r="D29">
        <v>0.53800000000000003</v>
      </c>
      <c r="E29">
        <v>5.9240000000000004</v>
      </c>
      <c r="F29">
        <v>94.1</v>
      </c>
      <c r="G29">
        <v>4.3996000000000004</v>
      </c>
      <c r="H29">
        <v>4</v>
      </c>
      <c r="I29">
        <v>307</v>
      </c>
      <c r="J29">
        <v>21</v>
      </c>
      <c r="K29">
        <v>394.33</v>
      </c>
      <c r="L29">
        <v>16.3</v>
      </c>
      <c r="M29">
        <v>15.6</v>
      </c>
      <c r="N29" s="107">
        <f t="shared" si="0"/>
        <v>15.794638332987104</v>
      </c>
      <c r="O29" s="92"/>
      <c r="P29" s="99">
        <v>180477.05999999959</v>
      </c>
      <c r="Q29" s="99">
        <v>499455.29062459996</v>
      </c>
      <c r="R29" s="99">
        <v>1897025.2931999965</v>
      </c>
      <c r="S29" s="99">
        <v>98079.345828999998</v>
      </c>
      <c r="T29" s="99">
        <v>1138380.9153000005</v>
      </c>
      <c r="U29" s="99">
        <v>12021211.689999996</v>
      </c>
      <c r="V29" s="99">
        <v>713218.526516999</v>
      </c>
      <c r="W29" s="99">
        <v>1545044.429999999</v>
      </c>
      <c r="X29" s="99">
        <v>70244496.199999973</v>
      </c>
      <c r="Y29" s="99">
        <v>3313095.3829999981</v>
      </c>
      <c r="Z29" s="99">
        <v>68580530.497999966</v>
      </c>
      <c r="AA29" s="99">
        <v>2163060.5584</v>
      </c>
    </row>
    <row r="30" spans="1:27">
      <c r="A30">
        <v>1</v>
      </c>
      <c r="B30">
        <v>0.84053999999999995</v>
      </c>
      <c r="C30">
        <v>8.14</v>
      </c>
      <c r="D30">
        <v>0.53800000000000003</v>
      </c>
      <c r="E30">
        <v>5.5990000000000002</v>
      </c>
      <c r="F30">
        <v>85.7</v>
      </c>
      <c r="G30">
        <v>4.4546000000000001</v>
      </c>
      <c r="H30">
        <v>4</v>
      </c>
      <c r="I30">
        <v>307</v>
      </c>
      <c r="J30">
        <v>21</v>
      </c>
      <c r="K30">
        <v>303.42</v>
      </c>
      <c r="L30">
        <v>16.510000000000002</v>
      </c>
      <c r="M30">
        <v>13.9</v>
      </c>
      <c r="N30" s="107">
        <f t="shared" si="0"/>
        <v>13.410756539900142</v>
      </c>
      <c r="O30" s="92"/>
      <c r="P30" s="99">
        <v>6402.4500000000016</v>
      </c>
      <c r="Q30" s="99">
        <v>37268.418678199996</v>
      </c>
      <c r="R30" s="99">
        <v>86240.705000000045</v>
      </c>
      <c r="S30" s="99">
        <v>3798.3251970000024</v>
      </c>
      <c r="T30" s="99">
        <v>38681.788020000015</v>
      </c>
      <c r="U30" s="99">
        <v>500191.62699999969</v>
      </c>
      <c r="V30" s="99">
        <v>20523.539880000008</v>
      </c>
      <c r="W30" s="99">
        <v>76484.250000000058</v>
      </c>
      <c r="X30" s="99">
        <v>2944348.8000000017</v>
      </c>
      <c r="Y30" s="99">
        <v>121080.90899999997</v>
      </c>
      <c r="Z30" s="99">
        <v>2163060.5584</v>
      </c>
      <c r="AA30" s="99">
        <v>106762.9582999999</v>
      </c>
    </row>
    <row r="31" spans="1:27">
      <c r="A31">
        <v>1</v>
      </c>
      <c r="B31">
        <v>0.67191000000000001</v>
      </c>
      <c r="C31">
        <v>8.14</v>
      </c>
      <c r="D31">
        <v>0.53800000000000003</v>
      </c>
      <c r="E31">
        <v>5.8129999999999997</v>
      </c>
      <c r="F31">
        <v>90.3</v>
      </c>
      <c r="G31">
        <v>4.6820000000000004</v>
      </c>
      <c r="H31">
        <v>4</v>
      </c>
      <c r="I31">
        <v>307</v>
      </c>
      <c r="J31">
        <v>21</v>
      </c>
      <c r="K31">
        <v>376.88</v>
      </c>
      <c r="L31">
        <v>14.81</v>
      </c>
      <c r="M31">
        <v>16.600000000000001</v>
      </c>
      <c r="N31" s="107">
        <f t="shared" si="0"/>
        <v>15.629200154159065</v>
      </c>
      <c r="O31" s="92"/>
    </row>
    <row r="32" spans="1:27">
      <c r="A32">
        <v>1</v>
      </c>
      <c r="B32">
        <v>0.95577000000000001</v>
      </c>
      <c r="C32">
        <v>8.14</v>
      </c>
      <c r="D32">
        <v>0.53800000000000003</v>
      </c>
      <c r="E32">
        <v>6.0469999999999997</v>
      </c>
      <c r="F32">
        <v>88.8</v>
      </c>
      <c r="G32">
        <v>4.4534000000000002</v>
      </c>
      <c r="H32">
        <v>4</v>
      </c>
      <c r="I32">
        <v>307</v>
      </c>
      <c r="J32">
        <v>21</v>
      </c>
      <c r="K32">
        <v>306.38</v>
      </c>
      <c r="L32">
        <v>17.28</v>
      </c>
      <c r="M32">
        <v>14.8</v>
      </c>
      <c r="N32" s="107">
        <f t="shared" si="0"/>
        <v>14.842271236852836</v>
      </c>
      <c r="O32" s="92"/>
      <c r="P32" s="128" t="s">
        <v>567</v>
      </c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</row>
    <row r="33" spans="1:27">
      <c r="A33">
        <v>1</v>
      </c>
      <c r="B33">
        <v>0.77298999999999995</v>
      </c>
      <c r="C33">
        <v>8.14</v>
      </c>
      <c r="D33">
        <v>0.53800000000000003</v>
      </c>
      <c r="E33">
        <v>6.4950000000000001</v>
      </c>
      <c r="F33">
        <v>94.4</v>
      </c>
      <c r="G33">
        <v>4.4546999999999999</v>
      </c>
      <c r="H33">
        <v>4</v>
      </c>
      <c r="I33">
        <v>307</v>
      </c>
      <c r="J33">
        <v>21</v>
      </c>
      <c r="K33">
        <v>387.94</v>
      </c>
      <c r="L33">
        <v>12.8</v>
      </c>
      <c r="M33">
        <v>18.399999999999999</v>
      </c>
      <c r="N33" s="107">
        <f t="shared" si="0"/>
        <v>19.826072073313366</v>
      </c>
      <c r="O33" s="92"/>
      <c r="P33" s="99">
        <f t="array" ref="P33:AA44">MINVERSE(P19:AA30)</f>
        <v>1.1551413365441678</v>
      </c>
      <c r="Q33" s="99">
        <v>-4.8470164359173978E-4</v>
      </c>
      <c r="R33" s="99">
        <v>7.7677021756189523E-4</v>
      </c>
      <c r="S33" s="99">
        <v>-0.47269571111656705</v>
      </c>
      <c r="T33" s="99">
        <v>-6.7633505257760379E-2</v>
      </c>
      <c r="U33" s="99">
        <v>2.5698905451554567E-4</v>
      </c>
      <c r="V33" s="99">
        <v>-1.6499535486234927E-2</v>
      </c>
      <c r="W33" s="99">
        <v>4.2728901965825399E-3</v>
      </c>
      <c r="X33" s="99">
        <v>-9.4902655144998345E-5</v>
      </c>
      <c r="Y33" s="99">
        <v>-1.7487179688766383E-2</v>
      </c>
      <c r="Z33" s="99">
        <v>-1.7848835951794569E-4</v>
      </c>
      <c r="AA33" s="99">
        <v>-3.4363537571565996E-3</v>
      </c>
    </row>
    <row r="34" spans="1:27">
      <c r="A34">
        <v>1</v>
      </c>
      <c r="B34">
        <v>1.0024500000000001</v>
      </c>
      <c r="C34">
        <v>8.14</v>
      </c>
      <c r="D34">
        <v>0.53800000000000003</v>
      </c>
      <c r="E34">
        <v>6.6740000000000004</v>
      </c>
      <c r="F34">
        <v>87.3</v>
      </c>
      <c r="G34">
        <v>4.2389999999999999</v>
      </c>
      <c r="H34">
        <v>4</v>
      </c>
      <c r="I34">
        <v>307</v>
      </c>
      <c r="J34">
        <v>21</v>
      </c>
      <c r="K34">
        <v>380.23</v>
      </c>
      <c r="L34">
        <v>11.98</v>
      </c>
      <c r="M34">
        <v>21</v>
      </c>
      <c r="N34" s="107">
        <f t="shared" si="0"/>
        <v>21.166076429270547</v>
      </c>
      <c r="O34" s="92"/>
      <c r="P34" s="99">
        <v>-4.8470164359177008E-4</v>
      </c>
      <c r="Q34" s="99">
        <v>4.7488351046264089E-5</v>
      </c>
      <c r="R34" s="99">
        <v>4.6063652299220856E-6</v>
      </c>
      <c r="S34" s="99">
        <v>3.5871849343897642E-4</v>
      </c>
      <c r="T34" s="99">
        <v>8.7717867927204608E-6</v>
      </c>
      <c r="U34" s="99">
        <v>1.8439882887395464E-7</v>
      </c>
      <c r="V34" s="99">
        <v>2.3649188265604617E-5</v>
      </c>
      <c r="W34" s="99">
        <v>-2.44563564925616E-5</v>
      </c>
      <c r="X34" s="99">
        <v>-7.3280062609708416E-8</v>
      </c>
      <c r="Y34" s="99">
        <v>8.2634005086299588E-6</v>
      </c>
      <c r="Z34" s="99">
        <v>4.6621106544556256E-7</v>
      </c>
      <c r="AA34" s="99">
        <v>-1.1857354634478371E-5</v>
      </c>
    </row>
    <row r="35" spans="1:27">
      <c r="A35">
        <v>1</v>
      </c>
      <c r="B35">
        <v>1.1308100000000001</v>
      </c>
      <c r="C35">
        <v>8.14</v>
      </c>
      <c r="D35">
        <v>0.53800000000000003</v>
      </c>
      <c r="E35">
        <v>5.7130000000000001</v>
      </c>
      <c r="F35">
        <v>94.1</v>
      </c>
      <c r="G35">
        <v>4.2329999999999997</v>
      </c>
      <c r="H35">
        <v>4</v>
      </c>
      <c r="I35">
        <v>307</v>
      </c>
      <c r="J35">
        <v>21</v>
      </c>
      <c r="K35">
        <v>360.17</v>
      </c>
      <c r="L35">
        <v>22.6</v>
      </c>
      <c r="M35">
        <v>12.7</v>
      </c>
      <c r="N35" s="107">
        <f t="shared" si="0"/>
        <v>11.452660957691249</v>
      </c>
      <c r="O35" s="92"/>
      <c r="P35" s="99">
        <v>7.7677021756230626E-4</v>
      </c>
      <c r="Q35" s="99">
        <v>4.6063652299219086E-6</v>
      </c>
      <c r="R35" s="99">
        <v>1.6431556078084358E-4</v>
      </c>
      <c r="S35" s="99">
        <v>-2.8282886714704036E-3</v>
      </c>
      <c r="T35" s="99">
        <v>1.1995906615705852E-4</v>
      </c>
      <c r="U35" s="99">
        <v>-6.8197512906340654E-7</v>
      </c>
      <c r="V35" s="99">
        <v>1.3885533885510585E-4</v>
      </c>
      <c r="W35" s="99">
        <v>4.6451688904179639E-5</v>
      </c>
      <c r="X35" s="99">
        <v>-4.1310823184053524E-6</v>
      </c>
      <c r="Y35" s="99">
        <v>-5.4676304296371219E-5</v>
      </c>
      <c r="Z35" s="99">
        <v>2.1456632411073362E-7</v>
      </c>
      <c r="AA35" s="99">
        <v>-8.9458813521778832E-6</v>
      </c>
    </row>
    <row r="36" spans="1:27">
      <c r="A36">
        <v>1</v>
      </c>
      <c r="B36">
        <v>1.3547199999999999</v>
      </c>
      <c r="C36">
        <v>8.14</v>
      </c>
      <c r="D36">
        <v>0.53800000000000003</v>
      </c>
      <c r="E36">
        <v>6.0720000000000001</v>
      </c>
      <c r="F36">
        <v>100</v>
      </c>
      <c r="G36">
        <v>4.1749999999999998</v>
      </c>
      <c r="H36">
        <v>4</v>
      </c>
      <c r="I36">
        <v>307</v>
      </c>
      <c r="J36">
        <v>21</v>
      </c>
      <c r="K36">
        <v>376.73</v>
      </c>
      <c r="L36">
        <v>13.04</v>
      </c>
      <c r="M36">
        <v>14.5</v>
      </c>
      <c r="N36" s="107">
        <f t="shared" si="0"/>
        <v>18.129648777255277</v>
      </c>
      <c r="O36" s="92"/>
      <c r="P36" s="99">
        <v>-0.47269571111659592</v>
      </c>
      <c r="Q36" s="99">
        <v>3.5871849343898022E-4</v>
      </c>
      <c r="R36" s="99">
        <v>-2.8282886714703056E-3</v>
      </c>
      <c r="S36" s="99">
        <v>0.64641337955525435</v>
      </c>
      <c r="T36" s="99">
        <v>6.9429896480582703E-3</v>
      </c>
      <c r="U36" s="99">
        <v>-6.0742669538400406E-4</v>
      </c>
      <c r="V36" s="99">
        <v>1.003744741825285E-2</v>
      </c>
      <c r="W36" s="99">
        <v>-1.6819320091308572E-3</v>
      </c>
      <c r="X36" s="99">
        <v>-4.0005964015614006E-5</v>
      </c>
      <c r="Y36" s="99">
        <v>7.1397120723969672E-3</v>
      </c>
      <c r="Z36" s="99">
        <v>3.3522757804422785E-5</v>
      </c>
      <c r="AA36" s="99">
        <v>-5.5858376573327743E-4</v>
      </c>
    </row>
    <row r="37" spans="1:27">
      <c r="A37">
        <v>1</v>
      </c>
      <c r="B37">
        <v>1.3879900000000001</v>
      </c>
      <c r="C37">
        <v>8.14</v>
      </c>
      <c r="D37">
        <v>0.53800000000000003</v>
      </c>
      <c r="E37">
        <v>5.95</v>
      </c>
      <c r="F37">
        <v>82</v>
      </c>
      <c r="G37">
        <v>3.99</v>
      </c>
      <c r="H37">
        <v>4</v>
      </c>
      <c r="I37">
        <v>307</v>
      </c>
      <c r="J37">
        <v>21</v>
      </c>
      <c r="K37">
        <v>232.6</v>
      </c>
      <c r="L37">
        <v>27.71</v>
      </c>
      <c r="M37">
        <v>13.2</v>
      </c>
      <c r="N37" s="107">
        <f t="shared" si="0"/>
        <v>8.7776668516744998</v>
      </c>
      <c r="O37" s="92"/>
      <c r="P37" s="99">
        <v>-6.7633505257758339E-2</v>
      </c>
      <c r="Q37" s="99">
        <v>8.7717867927174013E-6</v>
      </c>
      <c r="R37" s="99">
        <v>1.1995906615708539E-4</v>
      </c>
      <c r="S37" s="99">
        <v>6.942989648056062E-3</v>
      </c>
      <c r="T37" s="99">
        <v>7.5596096192197112E-3</v>
      </c>
      <c r="U37" s="99">
        <v>-4.648741576492242E-5</v>
      </c>
      <c r="V37" s="99">
        <v>2.6339579793811319E-4</v>
      </c>
      <c r="W37" s="99">
        <v>-1.7872018673613092E-4</v>
      </c>
      <c r="X37" s="99">
        <v>3.0329258668057526E-6</v>
      </c>
      <c r="Y37" s="99">
        <v>5.1292617852055861E-4</v>
      </c>
      <c r="Z37" s="99">
        <v>5.0465765926336678E-6</v>
      </c>
      <c r="AA37" s="99">
        <v>4.9756388581189521E-4</v>
      </c>
    </row>
    <row r="38" spans="1:27">
      <c r="A38">
        <v>1</v>
      </c>
      <c r="B38">
        <v>1.1517200000000001</v>
      </c>
      <c r="C38">
        <v>8.14</v>
      </c>
      <c r="D38">
        <v>0.53800000000000003</v>
      </c>
      <c r="E38">
        <v>5.7009999999999996</v>
      </c>
      <c r="F38">
        <v>95</v>
      </c>
      <c r="G38">
        <v>3.7871999999999999</v>
      </c>
      <c r="H38">
        <v>4</v>
      </c>
      <c r="I38">
        <v>307</v>
      </c>
      <c r="J38">
        <v>21</v>
      </c>
      <c r="K38">
        <v>358.77</v>
      </c>
      <c r="L38">
        <v>18.350000000000001</v>
      </c>
      <c r="M38">
        <v>13.1</v>
      </c>
      <c r="N38" s="107">
        <f t="shared" si="0"/>
        <v>14.15648533674648</v>
      </c>
      <c r="O38" s="92"/>
      <c r="P38" s="99">
        <v>2.5698905451560373E-4</v>
      </c>
      <c r="Q38" s="99">
        <v>1.8439882887393645E-7</v>
      </c>
      <c r="R38" s="99">
        <v>-6.8197512906342189E-7</v>
      </c>
      <c r="S38" s="99">
        <v>-6.0742669538403052E-4</v>
      </c>
      <c r="T38" s="99">
        <v>-4.6487415764925523E-5</v>
      </c>
      <c r="U38" s="99">
        <v>7.6179049971111195E-6</v>
      </c>
      <c r="V38" s="99">
        <v>3.9826352876181463E-5</v>
      </c>
      <c r="W38" s="99">
        <v>2.251092231966738E-6</v>
      </c>
      <c r="X38" s="99">
        <v>6.0885190968023196E-9</v>
      </c>
      <c r="Y38" s="99">
        <v>-8.5131508922433257E-6</v>
      </c>
      <c r="Z38" s="99">
        <v>-1.0222157093436303E-7</v>
      </c>
      <c r="AA38" s="99">
        <v>-9.8722975233150479E-6</v>
      </c>
    </row>
    <row r="39" spans="1:27">
      <c r="A39">
        <v>1</v>
      </c>
      <c r="B39">
        <v>1.6128199999999999</v>
      </c>
      <c r="C39">
        <v>8.14</v>
      </c>
      <c r="D39">
        <v>0.53800000000000003</v>
      </c>
      <c r="E39">
        <v>6.0960000000000001</v>
      </c>
      <c r="F39">
        <v>96.9</v>
      </c>
      <c r="G39">
        <v>3.7597999999999998</v>
      </c>
      <c r="H39">
        <v>4</v>
      </c>
      <c r="I39">
        <v>307</v>
      </c>
      <c r="J39">
        <v>21</v>
      </c>
      <c r="K39">
        <v>248.31</v>
      </c>
      <c r="L39">
        <v>20.34</v>
      </c>
      <c r="M39">
        <v>13.5</v>
      </c>
      <c r="N39" s="107">
        <f t="shared" si="0"/>
        <v>13.613005701704848</v>
      </c>
      <c r="O39" s="92"/>
      <c r="P39" s="99">
        <v>-1.6499535486234701E-2</v>
      </c>
      <c r="Q39" s="99">
        <v>2.3649188265604146E-5</v>
      </c>
      <c r="R39" s="99">
        <v>1.3885533885511046E-4</v>
      </c>
      <c r="S39" s="99">
        <v>1.0037447418252406E-2</v>
      </c>
      <c r="T39" s="99">
        <v>2.6339579793812132E-4</v>
      </c>
      <c r="U39" s="99">
        <v>3.9826352876182465E-5</v>
      </c>
      <c r="V39" s="99">
        <v>1.4800595951808806E-3</v>
      </c>
      <c r="W39" s="99">
        <v>3.4969779973512179E-5</v>
      </c>
      <c r="X39" s="99">
        <v>-3.6807603957410314E-6</v>
      </c>
      <c r="Y39" s="99">
        <v>3.5601667975707563E-5</v>
      </c>
      <c r="Z39" s="99">
        <v>4.2525386628740846E-7</v>
      </c>
      <c r="AA39" s="99">
        <v>-2.7140560696267167E-5</v>
      </c>
    </row>
    <row r="40" spans="1:27">
      <c r="A40">
        <v>1</v>
      </c>
      <c r="B40">
        <v>6.4170000000000005E-2</v>
      </c>
      <c r="C40">
        <v>5.96</v>
      </c>
      <c r="D40">
        <v>0.499</v>
      </c>
      <c r="E40">
        <v>5.9329999999999998</v>
      </c>
      <c r="F40">
        <v>68.2</v>
      </c>
      <c r="G40">
        <v>3.3603000000000001</v>
      </c>
      <c r="H40">
        <v>5</v>
      </c>
      <c r="I40">
        <v>279</v>
      </c>
      <c r="J40">
        <v>19.2</v>
      </c>
      <c r="K40">
        <v>396.9</v>
      </c>
      <c r="L40">
        <v>9.68</v>
      </c>
      <c r="M40">
        <v>18.899999999999999</v>
      </c>
      <c r="N40" s="107">
        <f t="shared" si="0"/>
        <v>24.031385639560131</v>
      </c>
      <c r="O40" s="92"/>
      <c r="P40" s="99">
        <v>4.2728901965828998E-3</v>
      </c>
      <c r="Q40" s="99">
        <v>-2.4456356492561637E-5</v>
      </c>
      <c r="R40" s="99">
        <v>4.6451688904178548E-5</v>
      </c>
      <c r="S40" s="99">
        <v>-1.6819320091309136E-3</v>
      </c>
      <c r="T40" s="99">
        <v>-1.7872018673615789E-4</v>
      </c>
      <c r="U40" s="99">
        <v>2.2510922319667071E-6</v>
      </c>
      <c r="V40" s="99">
        <v>3.4969779973507185E-5</v>
      </c>
      <c r="W40" s="99">
        <v>1.9109533678425032E-4</v>
      </c>
      <c r="X40" s="99">
        <v>-8.3303897060890456E-6</v>
      </c>
      <c r="Y40" s="99">
        <v>-8.1498049361034924E-5</v>
      </c>
      <c r="Z40" s="99">
        <v>5.3904781706789326E-7</v>
      </c>
      <c r="AA40" s="99">
        <v>-3.5576787583867807E-6</v>
      </c>
    </row>
    <row r="41" spans="1:27">
      <c r="A41">
        <v>1</v>
      </c>
      <c r="B41">
        <v>9.7439999999999999E-2</v>
      </c>
      <c r="C41">
        <v>5.96</v>
      </c>
      <c r="D41">
        <v>0.499</v>
      </c>
      <c r="E41">
        <v>5.8410000000000002</v>
      </c>
      <c r="F41">
        <v>61.4</v>
      </c>
      <c r="G41">
        <v>3.3778999999999999</v>
      </c>
      <c r="H41">
        <v>5</v>
      </c>
      <c r="I41">
        <v>279</v>
      </c>
      <c r="J41">
        <v>19.2</v>
      </c>
      <c r="K41">
        <v>377.56</v>
      </c>
      <c r="L41">
        <v>11.41</v>
      </c>
      <c r="M41">
        <v>20</v>
      </c>
      <c r="N41" s="107">
        <f t="shared" si="0"/>
        <v>22.550859985836894</v>
      </c>
      <c r="O41" s="92"/>
      <c r="P41" s="99">
        <v>-9.4902655145019365E-5</v>
      </c>
      <c r="Q41" s="99">
        <v>-7.3280062609704789E-8</v>
      </c>
      <c r="R41" s="99">
        <v>-4.1310823184053482E-6</v>
      </c>
      <c r="S41" s="99">
        <v>-4.0005964015605902E-5</v>
      </c>
      <c r="T41" s="99">
        <v>3.0329258668070803E-6</v>
      </c>
      <c r="U41" s="99">
        <v>6.0885190967928633E-9</v>
      </c>
      <c r="V41" s="99">
        <v>-3.6807603957407739E-6</v>
      </c>
      <c r="W41" s="99">
        <v>-8.3303897060890948E-6</v>
      </c>
      <c r="X41" s="99">
        <v>5.8800085005488671E-7</v>
      </c>
      <c r="Y41" s="99">
        <v>-3.8441987736400047E-7</v>
      </c>
      <c r="Z41" s="99">
        <v>1.3533252169146794E-8</v>
      </c>
      <c r="AA41" s="99">
        <v>-2.9241077683284804E-8</v>
      </c>
    </row>
    <row r="42" spans="1:27">
      <c r="A42">
        <v>1</v>
      </c>
      <c r="B42">
        <v>8.0140000000000003E-2</v>
      </c>
      <c r="C42">
        <v>5.96</v>
      </c>
      <c r="D42">
        <v>0.499</v>
      </c>
      <c r="E42">
        <v>5.85</v>
      </c>
      <c r="F42">
        <v>41.5</v>
      </c>
      <c r="G42">
        <v>3.9342000000000001</v>
      </c>
      <c r="H42">
        <v>5</v>
      </c>
      <c r="I42">
        <v>279</v>
      </c>
      <c r="J42">
        <v>19.2</v>
      </c>
      <c r="K42">
        <v>396.9</v>
      </c>
      <c r="L42">
        <v>8.77</v>
      </c>
      <c r="M42">
        <v>21</v>
      </c>
      <c r="N42" s="107">
        <f t="shared" si="0"/>
        <v>23.545521827840346</v>
      </c>
      <c r="O42" s="92"/>
      <c r="P42" s="99">
        <v>-1.7487179688766417E-2</v>
      </c>
      <c r="Q42" s="99">
        <v>8.2634005086293947E-6</v>
      </c>
      <c r="R42" s="99">
        <v>-5.4676304296363867E-5</v>
      </c>
      <c r="S42" s="99">
        <v>7.1397120723963687E-3</v>
      </c>
      <c r="T42" s="99">
        <v>5.1292617852060067E-4</v>
      </c>
      <c r="U42" s="99">
        <v>-8.513150892242294E-6</v>
      </c>
      <c r="V42" s="99">
        <v>3.5601667975709759E-5</v>
      </c>
      <c r="W42" s="99">
        <v>-8.1498049361029205E-5</v>
      </c>
      <c r="X42" s="99">
        <v>-3.8441987736432123E-7</v>
      </c>
      <c r="Y42" s="99">
        <v>6.7915371385177516E-4</v>
      </c>
      <c r="Z42" s="99">
        <v>-3.8912243447365444E-7</v>
      </c>
      <c r="AA42" s="99">
        <v>-1.0207968519812267E-5</v>
      </c>
    </row>
    <row r="43" spans="1:27">
      <c r="A43">
        <v>1</v>
      </c>
      <c r="B43">
        <v>0.17505000000000001</v>
      </c>
      <c r="C43">
        <v>5.96</v>
      </c>
      <c r="D43">
        <v>0.499</v>
      </c>
      <c r="E43">
        <v>5.9660000000000002</v>
      </c>
      <c r="F43">
        <v>30.2</v>
      </c>
      <c r="G43">
        <v>3.8473000000000002</v>
      </c>
      <c r="H43">
        <v>5</v>
      </c>
      <c r="I43">
        <v>279</v>
      </c>
      <c r="J43">
        <v>19.2</v>
      </c>
      <c r="K43">
        <v>393.43</v>
      </c>
      <c r="L43">
        <v>10.130000000000001</v>
      </c>
      <c r="M43">
        <v>24.7</v>
      </c>
      <c r="N43" s="107">
        <f t="shared" si="0"/>
        <v>23.395119495351832</v>
      </c>
      <c r="O43" s="92"/>
      <c r="P43" s="99">
        <v>-1.7848835951794902E-4</v>
      </c>
      <c r="Q43" s="99">
        <v>4.6621106544556134E-7</v>
      </c>
      <c r="R43" s="99">
        <v>2.145663241108101E-7</v>
      </c>
      <c r="S43" s="99">
        <v>3.3522757804418719E-5</v>
      </c>
      <c r="T43" s="99">
        <v>5.0465765926342531E-6</v>
      </c>
      <c r="U43" s="99">
        <v>-1.0222157093435225E-7</v>
      </c>
      <c r="V43" s="99">
        <v>4.252538662875145E-7</v>
      </c>
      <c r="W43" s="99">
        <v>5.3904781706795636E-7</v>
      </c>
      <c r="X43" s="99">
        <v>1.353325216914305E-8</v>
      </c>
      <c r="Y43" s="99">
        <v>-3.8912243447362591E-7</v>
      </c>
      <c r="Z43" s="99">
        <v>3.194951617418594E-7</v>
      </c>
      <c r="AA43" s="99">
        <v>9.5255741012521474E-7</v>
      </c>
    </row>
    <row r="44" spans="1:27">
      <c r="A44">
        <v>1</v>
      </c>
      <c r="B44">
        <v>2.7629999999999998E-2</v>
      </c>
      <c r="C44">
        <v>2.95</v>
      </c>
      <c r="D44">
        <v>0.42799999999999999</v>
      </c>
      <c r="E44">
        <v>6.5949999999999998</v>
      </c>
      <c r="F44">
        <v>21.8</v>
      </c>
      <c r="G44">
        <v>5.4010999999999996</v>
      </c>
      <c r="H44">
        <v>3</v>
      </c>
      <c r="I44">
        <v>252</v>
      </c>
      <c r="J44">
        <v>18.3</v>
      </c>
      <c r="K44">
        <v>395.63</v>
      </c>
      <c r="L44">
        <v>4.32</v>
      </c>
      <c r="M44">
        <v>30.8</v>
      </c>
      <c r="N44" s="107">
        <f t="shared" si="0"/>
        <v>29.101561253849667</v>
      </c>
      <c r="O44" s="92"/>
      <c r="P44" s="99">
        <v>-3.436353757156476E-3</v>
      </c>
      <c r="Q44" s="99">
        <v>-1.1857354634478539E-5</v>
      </c>
      <c r="R44" s="99">
        <v>-8.9458813521763941E-6</v>
      </c>
      <c r="S44" s="99">
        <v>-5.585837657333723E-4</v>
      </c>
      <c r="T44" s="99">
        <v>4.9756388581189315E-4</v>
      </c>
      <c r="U44" s="99">
        <v>-9.8722975233148971E-6</v>
      </c>
      <c r="V44" s="99">
        <v>-2.7140560696266944E-5</v>
      </c>
      <c r="W44" s="99">
        <v>-3.5576787583851362E-6</v>
      </c>
      <c r="X44" s="99">
        <v>-2.9241077683365415E-8</v>
      </c>
      <c r="Y44" s="99">
        <v>-1.0207968519815394E-5</v>
      </c>
      <c r="Z44" s="99">
        <v>9.525574101251871E-7</v>
      </c>
      <c r="AA44" s="99">
        <v>1.1350681284464306E-4</v>
      </c>
    </row>
    <row r="45" spans="1:27">
      <c r="A45">
        <v>1</v>
      </c>
      <c r="B45">
        <v>3.3590000000000002E-2</v>
      </c>
      <c r="C45">
        <v>2.95</v>
      </c>
      <c r="D45">
        <v>0.42799999999999999</v>
      </c>
      <c r="E45">
        <v>7.024</v>
      </c>
      <c r="F45">
        <v>15.8</v>
      </c>
      <c r="G45">
        <v>5.4010999999999996</v>
      </c>
      <c r="H45">
        <v>3</v>
      </c>
      <c r="I45">
        <v>252</v>
      </c>
      <c r="J45">
        <v>18.3</v>
      </c>
      <c r="K45">
        <v>395.62</v>
      </c>
      <c r="L45">
        <v>1.98</v>
      </c>
      <c r="M45">
        <v>34.9</v>
      </c>
      <c r="N45" s="107">
        <f t="shared" si="0"/>
        <v>32.093304542942654</v>
      </c>
      <c r="O45" s="92"/>
    </row>
    <row r="46" spans="1:27">
      <c r="A46">
        <v>1</v>
      </c>
      <c r="B46">
        <v>0.12744</v>
      </c>
      <c r="C46">
        <v>6.91</v>
      </c>
      <c r="D46">
        <v>0.44800000000000001</v>
      </c>
      <c r="E46">
        <v>6.77</v>
      </c>
      <c r="F46">
        <v>2.9</v>
      </c>
      <c r="G46">
        <v>5.7209000000000003</v>
      </c>
      <c r="H46">
        <v>3</v>
      </c>
      <c r="I46">
        <v>233</v>
      </c>
      <c r="J46">
        <v>17.899999999999999</v>
      </c>
      <c r="K46">
        <v>385.41</v>
      </c>
      <c r="L46">
        <v>4.84</v>
      </c>
      <c r="M46">
        <v>26.6</v>
      </c>
      <c r="N46" s="107">
        <f t="shared" si="0"/>
        <v>29.468642592599089</v>
      </c>
      <c r="O46" s="92"/>
      <c r="P46" s="97" t="s">
        <v>568</v>
      </c>
      <c r="R46" s="120" t="s">
        <v>267</v>
      </c>
      <c r="S46" s="120"/>
    </row>
    <row r="47" spans="1:27">
      <c r="A47">
        <v>1</v>
      </c>
      <c r="B47">
        <v>0.14149999999999999</v>
      </c>
      <c r="C47">
        <v>6.91</v>
      </c>
      <c r="D47">
        <v>0.44800000000000001</v>
      </c>
      <c r="E47">
        <v>6.1689999999999996</v>
      </c>
      <c r="F47">
        <v>6.6</v>
      </c>
      <c r="G47">
        <v>5.7209000000000003</v>
      </c>
      <c r="H47">
        <v>3</v>
      </c>
      <c r="I47">
        <v>233</v>
      </c>
      <c r="J47">
        <v>17.899999999999999</v>
      </c>
      <c r="K47">
        <v>383.37</v>
      </c>
      <c r="L47">
        <v>5.81</v>
      </c>
      <c r="M47">
        <v>25.3</v>
      </c>
      <c r="N47" s="107">
        <f t="shared" si="0"/>
        <v>26.479272838058996</v>
      </c>
      <c r="O47" s="92"/>
      <c r="P47" s="100">
        <f t="array" ref="P47:P58">MMULT(P5:TA16,M5:M510)</f>
        <v>11401.600000000013</v>
      </c>
      <c r="R47" s="101">
        <f t="array" ref="R47:R58">MMULT(P33:AA44,P47:P58)</f>
        <v>37.308336783538152</v>
      </c>
    </row>
    <row r="48" spans="1:27">
      <c r="A48">
        <v>1</v>
      </c>
      <c r="B48">
        <v>0.15936</v>
      </c>
      <c r="C48">
        <v>6.91</v>
      </c>
      <c r="D48">
        <v>0.44800000000000001</v>
      </c>
      <c r="E48">
        <v>6.2110000000000003</v>
      </c>
      <c r="F48">
        <v>6.5</v>
      </c>
      <c r="G48">
        <v>5.7209000000000003</v>
      </c>
      <c r="H48">
        <v>3</v>
      </c>
      <c r="I48">
        <v>233</v>
      </c>
      <c r="J48">
        <v>17.899999999999999</v>
      </c>
      <c r="K48">
        <v>394.46</v>
      </c>
      <c r="L48">
        <v>7.44</v>
      </c>
      <c r="M48">
        <v>24.7</v>
      </c>
      <c r="N48" s="107">
        <f t="shared" si="0"/>
        <v>25.902222270024886</v>
      </c>
      <c r="O48" s="92"/>
      <c r="P48" s="100">
        <v>25687.103669</v>
      </c>
      <c r="R48" s="101">
        <v>-0.10340205104754774</v>
      </c>
    </row>
    <row r="49" spans="1:18">
      <c r="A49">
        <v>1</v>
      </c>
      <c r="B49">
        <v>0.12268999999999999</v>
      </c>
      <c r="C49">
        <v>6.91</v>
      </c>
      <c r="D49">
        <v>0.44800000000000001</v>
      </c>
      <c r="E49">
        <v>6.069</v>
      </c>
      <c r="F49">
        <v>40</v>
      </c>
      <c r="G49">
        <v>5.7209000000000003</v>
      </c>
      <c r="H49">
        <v>3</v>
      </c>
      <c r="I49">
        <v>233</v>
      </c>
      <c r="J49">
        <v>17.899999999999999</v>
      </c>
      <c r="K49">
        <v>389.39</v>
      </c>
      <c r="L49">
        <v>9.5500000000000007</v>
      </c>
      <c r="M49">
        <v>21.2</v>
      </c>
      <c r="N49" s="107">
        <f t="shared" si="0"/>
        <v>24.080925716962724</v>
      </c>
      <c r="O49" s="92"/>
      <c r="P49" s="100">
        <v>111564.08000000007</v>
      </c>
      <c r="R49" s="101">
        <v>1.8211640583899236E-2</v>
      </c>
    </row>
    <row r="50" spans="1:18">
      <c r="A50">
        <v>1</v>
      </c>
      <c r="B50">
        <v>0.17141999999999999</v>
      </c>
      <c r="C50">
        <v>6.91</v>
      </c>
      <c r="D50">
        <v>0.44800000000000001</v>
      </c>
      <c r="E50">
        <v>5.6820000000000004</v>
      </c>
      <c r="F50">
        <v>33.799999999999997</v>
      </c>
      <c r="G50">
        <v>5.1003999999999996</v>
      </c>
      <c r="H50">
        <v>3</v>
      </c>
      <c r="I50">
        <v>233</v>
      </c>
      <c r="J50">
        <v>17.899999999999999</v>
      </c>
      <c r="K50">
        <v>396.9</v>
      </c>
      <c r="L50">
        <v>10.210000000000001</v>
      </c>
      <c r="M50">
        <v>19.3</v>
      </c>
      <c r="N50" s="107">
        <f t="shared" si="0"/>
        <v>22.993882547270541</v>
      </c>
      <c r="O50" s="92"/>
      <c r="P50" s="100">
        <v>6094.4279099999976</v>
      </c>
      <c r="R50" s="101">
        <v>-17.829176184825542</v>
      </c>
    </row>
    <row r="51" spans="1:18">
      <c r="A51">
        <v>1</v>
      </c>
      <c r="B51">
        <v>0.18836</v>
      </c>
      <c r="C51">
        <v>6.91</v>
      </c>
      <c r="D51">
        <v>0.44800000000000001</v>
      </c>
      <c r="E51">
        <v>5.7859999999999996</v>
      </c>
      <c r="F51">
        <v>33.299999999999997</v>
      </c>
      <c r="G51">
        <v>5.1003999999999996</v>
      </c>
      <c r="H51">
        <v>3</v>
      </c>
      <c r="I51">
        <v>233</v>
      </c>
      <c r="J51">
        <v>17.899999999999999</v>
      </c>
      <c r="K51">
        <v>396.9</v>
      </c>
      <c r="L51">
        <v>14.15</v>
      </c>
      <c r="M51">
        <v>20</v>
      </c>
      <c r="N51" s="107">
        <f t="shared" si="0"/>
        <v>21.34840530306834</v>
      </c>
      <c r="O51" s="92"/>
      <c r="P51" s="100">
        <v>73924.077600000019</v>
      </c>
      <c r="R51" s="101">
        <v>4.0743788752525631</v>
      </c>
    </row>
    <row r="52" spans="1:18">
      <c r="A52">
        <v>1</v>
      </c>
      <c r="B52">
        <v>0.22927</v>
      </c>
      <c r="C52">
        <v>6.91</v>
      </c>
      <c r="D52">
        <v>0.44800000000000001</v>
      </c>
      <c r="E52">
        <v>6.03</v>
      </c>
      <c r="F52">
        <v>85.5</v>
      </c>
      <c r="G52">
        <v>5.6894</v>
      </c>
      <c r="H52">
        <v>3</v>
      </c>
      <c r="I52">
        <v>233</v>
      </c>
      <c r="J52">
        <v>17.899999999999999</v>
      </c>
      <c r="K52">
        <v>392.74</v>
      </c>
      <c r="L52">
        <v>18.8</v>
      </c>
      <c r="M52">
        <v>16.600000000000001</v>
      </c>
      <c r="N52" s="107">
        <f t="shared" si="0"/>
        <v>19.004788318852427</v>
      </c>
      <c r="O52" s="92"/>
      <c r="P52" s="100">
        <v>732581.14000000025</v>
      </c>
      <c r="R52" s="101">
        <v>-2.6467754455836712E-3</v>
      </c>
    </row>
    <row r="53" spans="1:18">
      <c r="A53">
        <v>1</v>
      </c>
      <c r="B53">
        <v>0.25386999999999998</v>
      </c>
      <c r="C53">
        <v>6.91</v>
      </c>
      <c r="D53">
        <v>0.44800000000000001</v>
      </c>
      <c r="E53">
        <v>5.399</v>
      </c>
      <c r="F53">
        <v>95.3</v>
      </c>
      <c r="G53">
        <v>5.87</v>
      </c>
      <c r="H53">
        <v>3</v>
      </c>
      <c r="I53">
        <v>233</v>
      </c>
      <c r="J53">
        <v>17.899999999999999</v>
      </c>
      <c r="K53">
        <v>396.9</v>
      </c>
      <c r="L53">
        <v>30.81</v>
      </c>
      <c r="M53">
        <v>14.4</v>
      </c>
      <c r="N53" s="107">
        <f t="shared" si="0"/>
        <v>9.9216878466417207</v>
      </c>
      <c r="O53" s="92"/>
      <c r="P53" s="100">
        <v>45713.874170000017</v>
      </c>
      <c r="R53" s="101">
        <v>-1.2101823069901618</v>
      </c>
    </row>
    <row r="54" spans="1:18">
      <c r="A54">
        <v>1</v>
      </c>
      <c r="B54">
        <v>0.21976999999999999</v>
      </c>
      <c r="C54">
        <v>6.91</v>
      </c>
      <c r="D54">
        <v>0.44800000000000001</v>
      </c>
      <c r="E54">
        <v>5.6020000000000003</v>
      </c>
      <c r="F54">
        <v>62</v>
      </c>
      <c r="G54">
        <v>6.0876999999999999</v>
      </c>
      <c r="H54">
        <v>3</v>
      </c>
      <c r="I54">
        <v>233</v>
      </c>
      <c r="J54">
        <v>17.899999999999999</v>
      </c>
      <c r="K54">
        <v>396.9</v>
      </c>
      <c r="L54">
        <v>16.2</v>
      </c>
      <c r="M54">
        <v>19.399999999999999</v>
      </c>
      <c r="N54" s="107">
        <f t="shared" si="0"/>
        <v>18.24829830781087</v>
      </c>
      <c r="O54" s="92"/>
      <c r="P54" s="100">
        <v>93445.099999999962</v>
      </c>
      <c r="R54" s="101">
        <v>0.30460318752618892</v>
      </c>
    </row>
    <row r="55" spans="1:18">
      <c r="A55">
        <v>1</v>
      </c>
      <c r="B55">
        <v>8.8730000000000003E-2</v>
      </c>
      <c r="C55">
        <v>5.64</v>
      </c>
      <c r="D55">
        <v>0.439</v>
      </c>
      <c r="E55">
        <v>5.9630000000000001</v>
      </c>
      <c r="F55">
        <v>45.7</v>
      </c>
      <c r="G55">
        <v>6.8147000000000002</v>
      </c>
      <c r="H55">
        <v>4</v>
      </c>
      <c r="I55">
        <v>243</v>
      </c>
      <c r="J55">
        <v>16.8</v>
      </c>
      <c r="K55">
        <v>395.56</v>
      </c>
      <c r="L55">
        <v>13.45</v>
      </c>
      <c r="M55">
        <v>19.7</v>
      </c>
      <c r="N55" s="107">
        <f t="shared" si="0"/>
        <v>21.903967957604255</v>
      </c>
      <c r="O55" s="92"/>
      <c r="P55" s="100">
        <v>4287797.5999999978</v>
      </c>
      <c r="R55" s="101">
        <v>-1.0901322625818367E-2</v>
      </c>
    </row>
    <row r="56" spans="1:18">
      <c r="A56">
        <v>1</v>
      </c>
      <c r="B56">
        <v>4.3369999999999999E-2</v>
      </c>
      <c r="C56">
        <v>5.64</v>
      </c>
      <c r="D56">
        <v>0.439</v>
      </c>
      <c r="E56">
        <v>6.1150000000000002</v>
      </c>
      <c r="F56">
        <v>63</v>
      </c>
      <c r="G56">
        <v>6.8147000000000002</v>
      </c>
      <c r="H56">
        <v>4</v>
      </c>
      <c r="I56">
        <v>243</v>
      </c>
      <c r="J56">
        <v>16.8</v>
      </c>
      <c r="K56">
        <v>393.97</v>
      </c>
      <c r="L56">
        <v>9.43</v>
      </c>
      <c r="M56">
        <v>20.5</v>
      </c>
      <c r="N56" s="107">
        <f t="shared" si="0"/>
        <v>24.577297769993759</v>
      </c>
      <c r="O56" s="92"/>
      <c r="P56" s="100">
        <v>205316.73000000016</v>
      </c>
      <c r="R56" s="101">
        <v>-1.131145984724399</v>
      </c>
    </row>
    <row r="57" spans="1:18">
      <c r="A57">
        <v>1</v>
      </c>
      <c r="B57">
        <v>5.3600000000000002E-2</v>
      </c>
      <c r="C57">
        <v>5.64</v>
      </c>
      <c r="D57">
        <v>0.439</v>
      </c>
      <c r="E57">
        <v>6.5110000000000001</v>
      </c>
      <c r="F57">
        <v>21.1</v>
      </c>
      <c r="G57">
        <v>6.8147000000000002</v>
      </c>
      <c r="H57">
        <v>4</v>
      </c>
      <c r="I57">
        <v>243</v>
      </c>
      <c r="J57">
        <v>16.8</v>
      </c>
      <c r="K57">
        <v>396.9</v>
      </c>
      <c r="L57">
        <v>5.28</v>
      </c>
      <c r="M57">
        <v>25</v>
      </c>
      <c r="N57" s="107">
        <f t="shared" si="0"/>
        <v>28.508514196558927</v>
      </c>
      <c r="O57" s="92"/>
      <c r="P57" s="100">
        <v>4208049.5050000018</v>
      </c>
      <c r="R57" s="101">
        <v>9.8534952119668368E-3</v>
      </c>
    </row>
    <row r="58" spans="1:18">
      <c r="A58">
        <v>1</v>
      </c>
      <c r="B58">
        <v>4.981E-2</v>
      </c>
      <c r="C58">
        <v>5.64</v>
      </c>
      <c r="D58">
        <v>0.439</v>
      </c>
      <c r="E58">
        <v>5.9980000000000002</v>
      </c>
      <c r="F58">
        <v>21.4</v>
      </c>
      <c r="G58">
        <v>6.8147000000000002</v>
      </c>
      <c r="H58">
        <v>4</v>
      </c>
      <c r="I58">
        <v>243</v>
      </c>
      <c r="J58">
        <v>16.8</v>
      </c>
      <c r="K58">
        <v>396.9</v>
      </c>
      <c r="L58">
        <v>8.43</v>
      </c>
      <c r="M58">
        <v>23.4</v>
      </c>
      <c r="N58" s="107">
        <f t="shared" si="0"/>
        <v>24.763978315696555</v>
      </c>
      <c r="O58" s="92"/>
      <c r="P58" s="100">
        <v>119799.15899999997</v>
      </c>
      <c r="R58" s="101">
        <v>-0.52507218380875997</v>
      </c>
    </row>
    <row r="59" spans="1:18">
      <c r="A59">
        <v>1</v>
      </c>
      <c r="B59">
        <v>1.3599999999999999E-2</v>
      </c>
      <c r="C59">
        <v>4</v>
      </c>
      <c r="D59">
        <v>0.41</v>
      </c>
      <c r="E59">
        <v>5.8879999999999999</v>
      </c>
      <c r="F59">
        <v>47.6</v>
      </c>
      <c r="G59">
        <v>7.3197000000000001</v>
      </c>
      <c r="H59">
        <v>3</v>
      </c>
      <c r="I59">
        <v>469</v>
      </c>
      <c r="J59">
        <v>21.1</v>
      </c>
      <c r="K59">
        <v>396.9</v>
      </c>
      <c r="L59">
        <v>14.8</v>
      </c>
      <c r="M59">
        <v>18.899999999999999</v>
      </c>
      <c r="N59" s="107">
        <f t="shared" si="0"/>
        <v>13.149292618647376</v>
      </c>
      <c r="O59" s="92"/>
    </row>
    <row r="60" spans="1:18">
      <c r="A60">
        <v>1</v>
      </c>
      <c r="B60">
        <v>1.311E-2</v>
      </c>
      <c r="C60">
        <v>1.22</v>
      </c>
      <c r="D60">
        <v>0.40300000000000002</v>
      </c>
      <c r="E60">
        <v>7.2489999999999997</v>
      </c>
      <c r="F60">
        <v>21.9</v>
      </c>
      <c r="G60">
        <v>8.6966000000000001</v>
      </c>
      <c r="H60">
        <v>5</v>
      </c>
      <c r="I60">
        <v>226</v>
      </c>
      <c r="J60">
        <v>17.899999999999999</v>
      </c>
      <c r="K60">
        <v>395.93</v>
      </c>
      <c r="L60">
        <v>4.8099999999999996</v>
      </c>
      <c r="M60">
        <v>35.4</v>
      </c>
      <c r="N60" s="107">
        <f t="shared" si="0"/>
        <v>29.284279067936634</v>
      </c>
      <c r="O60" s="92"/>
    </row>
    <row r="61" spans="1:18">
      <c r="A61">
        <v>1</v>
      </c>
      <c r="B61">
        <v>2.0549999999999999E-2</v>
      </c>
      <c r="C61">
        <v>0.74</v>
      </c>
      <c r="D61">
        <v>0.41</v>
      </c>
      <c r="E61">
        <v>6.383</v>
      </c>
      <c r="F61">
        <v>35.700000000000003</v>
      </c>
      <c r="G61">
        <v>9.1875999999999998</v>
      </c>
      <c r="H61">
        <v>2</v>
      </c>
      <c r="I61">
        <v>313</v>
      </c>
      <c r="J61">
        <v>17.3</v>
      </c>
      <c r="K61">
        <v>396.9</v>
      </c>
      <c r="L61">
        <v>5.77</v>
      </c>
      <c r="M61">
        <v>24.7</v>
      </c>
      <c r="N61" s="107">
        <f t="shared" si="0"/>
        <v>23.312778369761926</v>
      </c>
      <c r="O61" s="92"/>
    </row>
    <row r="62" spans="1:18">
      <c r="A62">
        <v>1</v>
      </c>
      <c r="B62">
        <v>1.4319999999999999E-2</v>
      </c>
      <c r="C62">
        <v>1.32</v>
      </c>
      <c r="D62">
        <v>0.41099999999999998</v>
      </c>
      <c r="E62">
        <v>6.8159999999999998</v>
      </c>
      <c r="F62">
        <v>40.5</v>
      </c>
      <c r="G62">
        <v>8.3247999999999998</v>
      </c>
      <c r="H62">
        <v>5</v>
      </c>
      <c r="I62">
        <v>256</v>
      </c>
      <c r="J62">
        <v>15.1</v>
      </c>
      <c r="K62">
        <v>392.9</v>
      </c>
      <c r="L62">
        <v>3.95</v>
      </c>
      <c r="M62">
        <v>31.6</v>
      </c>
      <c r="N62" s="107">
        <f t="shared" si="0"/>
        <v>31.041726477538415</v>
      </c>
      <c r="O62" s="92"/>
    </row>
    <row r="63" spans="1:18">
      <c r="A63">
        <v>1</v>
      </c>
      <c r="B63">
        <v>0.15445</v>
      </c>
      <c r="C63">
        <v>5.13</v>
      </c>
      <c r="D63">
        <v>0.45300000000000001</v>
      </c>
      <c r="E63">
        <v>6.1449999999999996</v>
      </c>
      <c r="F63">
        <v>29.2</v>
      </c>
      <c r="G63">
        <v>7.8148</v>
      </c>
      <c r="H63">
        <v>8</v>
      </c>
      <c r="I63">
        <v>284</v>
      </c>
      <c r="J63">
        <v>19.7</v>
      </c>
      <c r="K63">
        <v>390.68</v>
      </c>
      <c r="L63">
        <v>6.86</v>
      </c>
      <c r="M63">
        <v>23.3</v>
      </c>
      <c r="N63" s="107">
        <f t="shared" si="0"/>
        <v>22.116457197862086</v>
      </c>
      <c r="O63" s="92"/>
    </row>
    <row r="64" spans="1:18">
      <c r="A64">
        <v>1</v>
      </c>
      <c r="B64">
        <v>0.10328</v>
      </c>
      <c r="C64">
        <v>5.13</v>
      </c>
      <c r="D64">
        <v>0.45300000000000001</v>
      </c>
      <c r="E64">
        <v>5.9269999999999996</v>
      </c>
      <c r="F64">
        <v>47.2</v>
      </c>
      <c r="G64">
        <v>6.9320000000000004</v>
      </c>
      <c r="H64">
        <v>8</v>
      </c>
      <c r="I64">
        <v>284</v>
      </c>
      <c r="J64">
        <v>19.7</v>
      </c>
      <c r="K64">
        <v>396.9</v>
      </c>
      <c r="L64">
        <v>9.2200000000000006</v>
      </c>
      <c r="M64">
        <v>19.600000000000001</v>
      </c>
      <c r="N64" s="107">
        <f t="shared" si="0"/>
        <v>21.0763590550293</v>
      </c>
      <c r="O64" s="92"/>
    </row>
    <row r="65" spans="1:15">
      <c r="A65">
        <v>1</v>
      </c>
      <c r="B65">
        <v>0.14932000000000001</v>
      </c>
      <c r="C65">
        <v>5.13</v>
      </c>
      <c r="D65">
        <v>0.45300000000000001</v>
      </c>
      <c r="E65">
        <v>5.7409999999999997</v>
      </c>
      <c r="F65">
        <v>66.2</v>
      </c>
      <c r="G65">
        <v>7.2253999999999996</v>
      </c>
      <c r="H65">
        <v>8</v>
      </c>
      <c r="I65">
        <v>284</v>
      </c>
      <c r="J65">
        <v>19.7</v>
      </c>
      <c r="K65">
        <v>395.11</v>
      </c>
      <c r="L65">
        <v>13.15</v>
      </c>
      <c r="M65">
        <v>18.7</v>
      </c>
      <c r="N65" s="107">
        <f t="shared" si="0"/>
        <v>17.82723629266723</v>
      </c>
      <c r="O65" s="92"/>
    </row>
    <row r="66" spans="1:15">
      <c r="A66">
        <v>1</v>
      </c>
      <c r="B66">
        <v>0.17171</v>
      </c>
      <c r="C66">
        <v>5.13</v>
      </c>
      <c r="D66">
        <v>0.45300000000000001</v>
      </c>
      <c r="E66">
        <v>5.9660000000000002</v>
      </c>
      <c r="F66">
        <v>93.4</v>
      </c>
      <c r="G66">
        <v>6.8185000000000002</v>
      </c>
      <c r="H66">
        <v>8</v>
      </c>
      <c r="I66">
        <v>284</v>
      </c>
      <c r="J66">
        <v>19.7</v>
      </c>
      <c r="K66">
        <v>378.08</v>
      </c>
      <c r="L66">
        <v>14.44</v>
      </c>
      <c r="M66">
        <v>16</v>
      </c>
      <c r="N66" s="107">
        <f t="shared" si="0"/>
        <v>18.316939115697433</v>
      </c>
      <c r="O66" s="92"/>
    </row>
    <row r="67" spans="1:15">
      <c r="A67">
        <v>1</v>
      </c>
      <c r="B67">
        <v>0.11027000000000001</v>
      </c>
      <c r="C67">
        <v>5.13</v>
      </c>
      <c r="D67">
        <v>0.45300000000000001</v>
      </c>
      <c r="E67">
        <v>6.4560000000000004</v>
      </c>
      <c r="F67">
        <v>67.8</v>
      </c>
      <c r="G67">
        <v>7.2255000000000003</v>
      </c>
      <c r="H67">
        <v>8</v>
      </c>
      <c r="I67">
        <v>284</v>
      </c>
      <c r="J67">
        <v>19.7</v>
      </c>
      <c r="K67">
        <v>396.9</v>
      </c>
      <c r="L67">
        <v>6.73</v>
      </c>
      <c r="M67">
        <v>22.2</v>
      </c>
      <c r="N67" s="107">
        <f t="shared" si="0"/>
        <v>24.128700356104254</v>
      </c>
      <c r="O67" s="92"/>
    </row>
    <row r="68" spans="1:15">
      <c r="A68">
        <v>1</v>
      </c>
      <c r="B68">
        <v>0.1265</v>
      </c>
      <c r="C68">
        <v>5.13</v>
      </c>
      <c r="D68">
        <v>0.45300000000000001</v>
      </c>
      <c r="E68">
        <v>6.7619999999999996</v>
      </c>
      <c r="F68">
        <v>43.4</v>
      </c>
      <c r="G68">
        <v>7.9809000000000001</v>
      </c>
      <c r="H68">
        <v>8</v>
      </c>
      <c r="I68">
        <v>284</v>
      </c>
      <c r="J68">
        <v>19.7</v>
      </c>
      <c r="K68">
        <v>395.58</v>
      </c>
      <c r="L68">
        <v>9.5</v>
      </c>
      <c r="M68">
        <v>25</v>
      </c>
      <c r="N68" s="107">
        <f t="shared" si="0"/>
        <v>23.056735119984854</v>
      </c>
      <c r="O68" s="92"/>
    </row>
    <row r="69" spans="1:15">
      <c r="A69">
        <v>1</v>
      </c>
      <c r="B69">
        <v>1.951E-2</v>
      </c>
      <c r="C69">
        <v>1.38</v>
      </c>
      <c r="D69">
        <v>0.41610000000000003</v>
      </c>
      <c r="E69">
        <v>7.1040000000000001</v>
      </c>
      <c r="F69">
        <v>59.5</v>
      </c>
      <c r="G69">
        <v>9.2228999999999992</v>
      </c>
      <c r="H69">
        <v>3</v>
      </c>
      <c r="I69">
        <v>216</v>
      </c>
      <c r="J69">
        <v>18.600000000000001</v>
      </c>
      <c r="K69">
        <v>393.24</v>
      </c>
      <c r="L69">
        <v>8.0500000000000007</v>
      </c>
      <c r="M69">
        <v>33</v>
      </c>
      <c r="N69" s="107">
        <f t="shared" ref="N69:N132" si="1">SUMPRODUCT($A$2:$L$2,A69:L69)</f>
        <v>24.7060111916858</v>
      </c>
      <c r="O69" s="92"/>
    </row>
    <row r="70" spans="1:15">
      <c r="A70">
        <v>1</v>
      </c>
      <c r="B70">
        <v>3.5839999999999997E-2</v>
      </c>
      <c r="C70">
        <v>3.37</v>
      </c>
      <c r="D70">
        <v>0.39800000000000002</v>
      </c>
      <c r="E70">
        <v>6.29</v>
      </c>
      <c r="F70">
        <v>17.8</v>
      </c>
      <c r="G70">
        <v>6.6115000000000004</v>
      </c>
      <c r="H70">
        <v>4</v>
      </c>
      <c r="I70">
        <v>337</v>
      </c>
      <c r="J70">
        <v>16.100000000000001</v>
      </c>
      <c r="K70">
        <v>396.9</v>
      </c>
      <c r="L70">
        <v>4.67</v>
      </c>
      <c r="M70">
        <v>23.5</v>
      </c>
      <c r="N70" s="107">
        <f t="shared" si="1"/>
        <v>28.641583983361421</v>
      </c>
      <c r="O70" s="92"/>
    </row>
    <row r="71" spans="1:15">
      <c r="A71">
        <v>1</v>
      </c>
      <c r="B71">
        <v>4.3790000000000003E-2</v>
      </c>
      <c r="C71">
        <v>3.37</v>
      </c>
      <c r="D71">
        <v>0.39800000000000002</v>
      </c>
      <c r="E71">
        <v>5.7869999999999999</v>
      </c>
      <c r="F71">
        <v>31.1</v>
      </c>
      <c r="G71">
        <v>6.6115000000000004</v>
      </c>
      <c r="H71">
        <v>4</v>
      </c>
      <c r="I71">
        <v>337</v>
      </c>
      <c r="J71">
        <v>16.100000000000001</v>
      </c>
      <c r="K71">
        <v>396.9</v>
      </c>
      <c r="L71">
        <v>10.24</v>
      </c>
      <c r="M71">
        <v>19.399999999999999</v>
      </c>
      <c r="N71" s="107">
        <f t="shared" si="1"/>
        <v>23.63149518556251</v>
      </c>
      <c r="O71" s="92"/>
    </row>
    <row r="72" spans="1:15">
      <c r="A72">
        <v>1</v>
      </c>
      <c r="B72">
        <v>5.7889999999999997E-2</v>
      </c>
      <c r="C72">
        <v>6.07</v>
      </c>
      <c r="D72">
        <v>0.40899999999999997</v>
      </c>
      <c r="E72">
        <v>5.8780000000000001</v>
      </c>
      <c r="F72">
        <v>21.4</v>
      </c>
      <c r="G72">
        <v>6.4980000000000002</v>
      </c>
      <c r="H72">
        <v>4</v>
      </c>
      <c r="I72">
        <v>345</v>
      </c>
      <c r="J72">
        <v>18.899999999999999</v>
      </c>
      <c r="K72">
        <v>396.21</v>
      </c>
      <c r="L72">
        <v>8.1</v>
      </c>
      <c r="M72">
        <v>22</v>
      </c>
      <c r="N72" s="107">
        <f t="shared" si="1"/>
        <v>21.879321822919337</v>
      </c>
      <c r="O72" s="92"/>
    </row>
    <row r="73" spans="1:15">
      <c r="A73">
        <v>1</v>
      </c>
      <c r="B73">
        <v>0.13553999999999999</v>
      </c>
      <c r="C73">
        <v>6.07</v>
      </c>
      <c r="D73">
        <v>0.40899999999999997</v>
      </c>
      <c r="E73">
        <v>5.5940000000000003</v>
      </c>
      <c r="F73">
        <v>36.799999999999997</v>
      </c>
      <c r="G73">
        <v>6.4980000000000002</v>
      </c>
      <c r="H73">
        <v>4</v>
      </c>
      <c r="I73">
        <v>345</v>
      </c>
      <c r="J73">
        <v>18.899999999999999</v>
      </c>
      <c r="K73">
        <v>396.9</v>
      </c>
      <c r="L73">
        <v>13.09</v>
      </c>
      <c r="M73">
        <v>17.399999999999999</v>
      </c>
      <c r="N73" s="107">
        <f t="shared" si="1"/>
        <v>18.060097425712328</v>
      </c>
      <c r="O73" s="92"/>
    </row>
    <row r="74" spans="1:15">
      <c r="A74">
        <v>1</v>
      </c>
      <c r="B74">
        <v>0.12816</v>
      </c>
      <c r="C74">
        <v>6.07</v>
      </c>
      <c r="D74">
        <v>0.40899999999999997</v>
      </c>
      <c r="E74">
        <v>5.8849999999999998</v>
      </c>
      <c r="F74">
        <v>33</v>
      </c>
      <c r="G74">
        <v>6.4980000000000002</v>
      </c>
      <c r="H74">
        <v>4</v>
      </c>
      <c r="I74">
        <v>345</v>
      </c>
      <c r="J74">
        <v>18.899999999999999</v>
      </c>
      <c r="K74">
        <v>396.9</v>
      </c>
      <c r="L74">
        <v>8.7899999999999991</v>
      </c>
      <c r="M74">
        <v>20.9</v>
      </c>
      <c r="N74" s="107">
        <f t="shared" si="1"/>
        <v>21.514372922618445</v>
      </c>
      <c r="O74" s="92"/>
    </row>
    <row r="75" spans="1:15">
      <c r="A75">
        <v>1</v>
      </c>
      <c r="B75">
        <v>8.8260000000000005E-2</v>
      </c>
      <c r="C75">
        <v>10.81</v>
      </c>
      <c r="D75">
        <v>0.41299999999999998</v>
      </c>
      <c r="E75">
        <v>6.4169999999999998</v>
      </c>
      <c r="F75">
        <v>6.6</v>
      </c>
      <c r="G75">
        <v>5.2873000000000001</v>
      </c>
      <c r="H75">
        <v>4</v>
      </c>
      <c r="I75">
        <v>305</v>
      </c>
      <c r="J75">
        <v>19.2</v>
      </c>
      <c r="K75">
        <v>383.73</v>
      </c>
      <c r="L75">
        <v>6.72</v>
      </c>
      <c r="M75">
        <v>24.2</v>
      </c>
      <c r="N75" s="107">
        <f t="shared" si="1"/>
        <v>26.289955286712328</v>
      </c>
      <c r="O75" s="92"/>
    </row>
    <row r="76" spans="1:15">
      <c r="A76">
        <v>1</v>
      </c>
      <c r="B76">
        <v>0.15876000000000001</v>
      </c>
      <c r="C76">
        <v>10.81</v>
      </c>
      <c r="D76">
        <v>0.41299999999999998</v>
      </c>
      <c r="E76">
        <v>5.9610000000000003</v>
      </c>
      <c r="F76">
        <v>17.5</v>
      </c>
      <c r="G76">
        <v>5.2873000000000001</v>
      </c>
      <c r="H76">
        <v>4</v>
      </c>
      <c r="I76">
        <v>305</v>
      </c>
      <c r="J76">
        <v>19.2</v>
      </c>
      <c r="K76">
        <v>376.94</v>
      </c>
      <c r="L76">
        <v>9.8800000000000008</v>
      </c>
      <c r="M76">
        <v>21.7</v>
      </c>
      <c r="N76" s="107">
        <f t="shared" si="1"/>
        <v>22.669765489316504</v>
      </c>
      <c r="O76" s="92"/>
    </row>
    <row r="77" spans="1:15">
      <c r="A77">
        <v>1</v>
      </c>
      <c r="B77">
        <v>9.1639999999999999E-2</v>
      </c>
      <c r="C77">
        <v>10.81</v>
      </c>
      <c r="D77">
        <v>0.41299999999999998</v>
      </c>
      <c r="E77">
        <v>6.0650000000000004</v>
      </c>
      <c r="F77">
        <v>7.8</v>
      </c>
      <c r="G77">
        <v>5.2873000000000001</v>
      </c>
      <c r="H77">
        <v>4</v>
      </c>
      <c r="I77">
        <v>305</v>
      </c>
      <c r="J77">
        <v>19.2</v>
      </c>
      <c r="K77">
        <v>390.91</v>
      </c>
      <c r="L77">
        <v>5.52</v>
      </c>
      <c r="M77">
        <v>22.8</v>
      </c>
      <c r="N77" s="107">
        <f t="shared" si="1"/>
        <v>25.553083009348615</v>
      </c>
      <c r="O77" s="92"/>
    </row>
    <row r="78" spans="1:15">
      <c r="A78">
        <v>1</v>
      </c>
      <c r="B78">
        <v>0.19539000000000001</v>
      </c>
      <c r="C78">
        <v>10.81</v>
      </c>
      <c r="D78">
        <v>0.41299999999999998</v>
      </c>
      <c r="E78">
        <v>6.2450000000000001</v>
      </c>
      <c r="F78">
        <v>6.2</v>
      </c>
      <c r="G78">
        <v>5.2873000000000001</v>
      </c>
      <c r="H78">
        <v>4</v>
      </c>
      <c r="I78">
        <v>305</v>
      </c>
      <c r="J78">
        <v>19.2</v>
      </c>
      <c r="K78">
        <v>377.17</v>
      </c>
      <c r="L78">
        <v>7.54</v>
      </c>
      <c r="M78">
        <v>23.4</v>
      </c>
      <c r="N78" s="107">
        <f t="shared" si="1"/>
        <v>25.083945249304708</v>
      </c>
      <c r="O78" s="92"/>
    </row>
    <row r="79" spans="1:15">
      <c r="A79">
        <v>1</v>
      </c>
      <c r="B79">
        <v>7.8960000000000002E-2</v>
      </c>
      <c r="C79">
        <v>12.83</v>
      </c>
      <c r="D79">
        <v>0.437</v>
      </c>
      <c r="E79">
        <v>6.2729999999999997</v>
      </c>
      <c r="F79">
        <v>6</v>
      </c>
      <c r="G79">
        <v>4.2515000000000001</v>
      </c>
      <c r="H79">
        <v>5</v>
      </c>
      <c r="I79">
        <v>398</v>
      </c>
      <c r="J79">
        <v>18.7</v>
      </c>
      <c r="K79">
        <v>394.92</v>
      </c>
      <c r="L79">
        <v>6.78</v>
      </c>
      <c r="M79">
        <v>24.1</v>
      </c>
      <c r="N79" s="107">
        <f t="shared" si="1"/>
        <v>26.503298008222778</v>
      </c>
      <c r="O79" s="92"/>
    </row>
    <row r="80" spans="1:15">
      <c r="A80">
        <v>1</v>
      </c>
      <c r="B80">
        <v>9.5119999999999996E-2</v>
      </c>
      <c r="C80">
        <v>12.83</v>
      </c>
      <c r="D80">
        <v>0.437</v>
      </c>
      <c r="E80">
        <v>6.2859999999999996</v>
      </c>
      <c r="F80">
        <v>45</v>
      </c>
      <c r="G80">
        <v>4.5026000000000002</v>
      </c>
      <c r="H80">
        <v>5</v>
      </c>
      <c r="I80">
        <v>398</v>
      </c>
      <c r="J80">
        <v>18.7</v>
      </c>
      <c r="K80">
        <v>383.23</v>
      </c>
      <c r="L80">
        <v>8.94</v>
      </c>
      <c r="M80">
        <v>21.4</v>
      </c>
      <c r="N80" s="107">
        <f t="shared" si="1"/>
        <v>24.898149660738323</v>
      </c>
      <c r="O80" s="92"/>
    </row>
    <row r="81" spans="1:15">
      <c r="A81">
        <v>1</v>
      </c>
      <c r="B81">
        <v>0.10153</v>
      </c>
      <c r="C81">
        <v>12.83</v>
      </c>
      <c r="D81">
        <v>0.437</v>
      </c>
      <c r="E81">
        <v>6.2789999999999999</v>
      </c>
      <c r="F81">
        <v>74.5</v>
      </c>
      <c r="G81">
        <v>4.0522</v>
      </c>
      <c r="H81">
        <v>5</v>
      </c>
      <c r="I81">
        <v>398</v>
      </c>
      <c r="J81">
        <v>18.7</v>
      </c>
      <c r="K81">
        <v>373.66</v>
      </c>
      <c r="L81">
        <v>11.97</v>
      </c>
      <c r="M81">
        <v>20</v>
      </c>
      <c r="N81" s="107">
        <f t="shared" si="1"/>
        <v>23.650685770768931</v>
      </c>
      <c r="O81" s="92"/>
    </row>
    <row r="82" spans="1:15">
      <c r="A82">
        <v>1</v>
      </c>
      <c r="B82">
        <v>8.7069999999999995E-2</v>
      </c>
      <c r="C82">
        <v>12.83</v>
      </c>
      <c r="D82">
        <v>0.437</v>
      </c>
      <c r="E82">
        <v>6.14</v>
      </c>
      <c r="F82">
        <v>45.8</v>
      </c>
      <c r="G82">
        <v>4.0904999999999996</v>
      </c>
      <c r="H82">
        <v>5</v>
      </c>
      <c r="I82">
        <v>398</v>
      </c>
      <c r="J82">
        <v>18.7</v>
      </c>
      <c r="K82">
        <v>386.96</v>
      </c>
      <c r="L82">
        <v>10.27</v>
      </c>
      <c r="M82">
        <v>20.8</v>
      </c>
      <c r="N82" s="107">
        <f t="shared" si="1"/>
        <v>24.139128972491555</v>
      </c>
      <c r="O82" s="92"/>
    </row>
    <row r="83" spans="1:15">
      <c r="A83">
        <v>1</v>
      </c>
      <c r="B83">
        <v>5.6460000000000003E-2</v>
      </c>
      <c r="C83">
        <v>12.83</v>
      </c>
      <c r="D83">
        <v>0.437</v>
      </c>
      <c r="E83">
        <v>6.2320000000000002</v>
      </c>
      <c r="F83">
        <v>53.7</v>
      </c>
      <c r="G83">
        <v>5.0141</v>
      </c>
      <c r="H83">
        <v>5</v>
      </c>
      <c r="I83">
        <v>398</v>
      </c>
      <c r="J83">
        <v>18.7</v>
      </c>
      <c r="K83">
        <v>386.4</v>
      </c>
      <c r="L83">
        <v>12.34</v>
      </c>
      <c r="M83">
        <v>21.2</v>
      </c>
      <c r="N83" s="107">
        <f t="shared" si="1"/>
        <v>22.286085683238298</v>
      </c>
      <c r="O83" s="92"/>
    </row>
    <row r="84" spans="1:15">
      <c r="A84">
        <v>1</v>
      </c>
      <c r="B84">
        <v>8.387E-2</v>
      </c>
      <c r="C84">
        <v>12.83</v>
      </c>
      <c r="D84">
        <v>0.437</v>
      </c>
      <c r="E84">
        <v>5.8739999999999997</v>
      </c>
      <c r="F84">
        <v>36.6</v>
      </c>
      <c r="G84">
        <v>4.5026000000000002</v>
      </c>
      <c r="H84">
        <v>5</v>
      </c>
      <c r="I84">
        <v>398</v>
      </c>
      <c r="J84">
        <v>18.7</v>
      </c>
      <c r="K84">
        <v>396.06</v>
      </c>
      <c r="L84">
        <v>9.1</v>
      </c>
      <c r="M84">
        <v>20.3</v>
      </c>
      <c r="N84" s="107">
        <f t="shared" si="1"/>
        <v>23.285310545111599</v>
      </c>
      <c r="O84" s="92"/>
    </row>
    <row r="85" spans="1:15">
      <c r="A85">
        <v>1</v>
      </c>
      <c r="B85">
        <v>4.113E-2</v>
      </c>
      <c r="C85">
        <v>4.8600000000000003</v>
      </c>
      <c r="D85">
        <v>0.42599999999999999</v>
      </c>
      <c r="E85">
        <v>6.7270000000000003</v>
      </c>
      <c r="F85">
        <v>33.5</v>
      </c>
      <c r="G85">
        <v>5.4006999999999996</v>
      </c>
      <c r="H85">
        <v>4</v>
      </c>
      <c r="I85">
        <v>281</v>
      </c>
      <c r="J85">
        <v>19</v>
      </c>
      <c r="K85">
        <v>396.9</v>
      </c>
      <c r="L85">
        <v>5.29</v>
      </c>
      <c r="M85">
        <v>28</v>
      </c>
      <c r="N85" s="107">
        <f t="shared" si="1"/>
        <v>28.377799286483327</v>
      </c>
      <c r="O85" s="92"/>
    </row>
    <row r="86" spans="1:15">
      <c r="A86">
        <v>1</v>
      </c>
      <c r="B86">
        <v>4.462E-2</v>
      </c>
      <c r="C86">
        <v>4.8600000000000003</v>
      </c>
      <c r="D86">
        <v>0.42599999999999999</v>
      </c>
      <c r="E86">
        <v>6.6189999999999998</v>
      </c>
      <c r="F86">
        <v>70.400000000000006</v>
      </c>
      <c r="G86">
        <v>5.4006999999999996</v>
      </c>
      <c r="H86">
        <v>4</v>
      </c>
      <c r="I86">
        <v>281</v>
      </c>
      <c r="J86">
        <v>19</v>
      </c>
      <c r="K86">
        <v>395.63</v>
      </c>
      <c r="L86">
        <v>7.22</v>
      </c>
      <c r="M86">
        <v>23.9</v>
      </c>
      <c r="N86" s="107">
        <f t="shared" si="1"/>
        <v>26.813836227185739</v>
      </c>
      <c r="O86" s="92"/>
    </row>
    <row r="87" spans="1:15">
      <c r="A87">
        <v>1</v>
      </c>
      <c r="B87">
        <v>3.6589999999999998E-2</v>
      </c>
      <c r="C87">
        <v>4.8600000000000003</v>
      </c>
      <c r="D87">
        <v>0.42599999999999999</v>
      </c>
      <c r="E87">
        <v>6.3019999999999996</v>
      </c>
      <c r="F87">
        <v>32.200000000000003</v>
      </c>
      <c r="G87">
        <v>5.4006999999999996</v>
      </c>
      <c r="H87">
        <v>4</v>
      </c>
      <c r="I87">
        <v>281</v>
      </c>
      <c r="J87">
        <v>19</v>
      </c>
      <c r="K87">
        <v>396.9</v>
      </c>
      <c r="L87">
        <v>6.72</v>
      </c>
      <c r="M87">
        <v>24.8</v>
      </c>
      <c r="N87" s="107">
        <f t="shared" si="1"/>
        <v>25.899245295045468</v>
      </c>
      <c r="O87" s="92"/>
    </row>
    <row r="88" spans="1:15">
      <c r="A88">
        <v>1</v>
      </c>
      <c r="B88">
        <v>3.551E-2</v>
      </c>
      <c r="C88">
        <v>4.8600000000000003</v>
      </c>
      <c r="D88">
        <v>0.42599999999999999</v>
      </c>
      <c r="E88">
        <v>6.1669999999999998</v>
      </c>
      <c r="F88">
        <v>46.7</v>
      </c>
      <c r="G88">
        <v>5.4006999999999996</v>
      </c>
      <c r="H88">
        <v>4</v>
      </c>
      <c r="I88">
        <v>281</v>
      </c>
      <c r="J88">
        <v>19</v>
      </c>
      <c r="K88">
        <v>390.64</v>
      </c>
      <c r="L88">
        <v>7.51</v>
      </c>
      <c r="M88">
        <v>22.9</v>
      </c>
      <c r="N88" s="107">
        <f t="shared" si="1"/>
        <v>24.834447671904705</v>
      </c>
      <c r="O88" s="92"/>
    </row>
    <row r="89" spans="1:15">
      <c r="A89">
        <v>1</v>
      </c>
      <c r="B89">
        <v>5.0590000000000003E-2</v>
      </c>
      <c r="C89">
        <v>4.49</v>
      </c>
      <c r="D89">
        <v>0.44900000000000001</v>
      </c>
      <c r="E89">
        <v>6.3890000000000002</v>
      </c>
      <c r="F89">
        <v>48</v>
      </c>
      <c r="G89">
        <v>4.7793999999999999</v>
      </c>
      <c r="H89">
        <v>3</v>
      </c>
      <c r="I89">
        <v>247</v>
      </c>
      <c r="J89">
        <v>18.5</v>
      </c>
      <c r="K89">
        <v>396.9</v>
      </c>
      <c r="L89">
        <v>9.6199999999999992</v>
      </c>
      <c r="M89">
        <v>23.9</v>
      </c>
      <c r="N89" s="107">
        <f t="shared" si="1"/>
        <v>25.654431925571942</v>
      </c>
      <c r="O89" s="92"/>
    </row>
    <row r="90" spans="1:15">
      <c r="A90">
        <v>1</v>
      </c>
      <c r="B90">
        <v>5.7349999999999998E-2</v>
      </c>
      <c r="C90">
        <v>4.49</v>
      </c>
      <c r="D90">
        <v>0.44900000000000001</v>
      </c>
      <c r="E90">
        <v>6.63</v>
      </c>
      <c r="F90">
        <v>56.1</v>
      </c>
      <c r="G90">
        <v>4.4377000000000004</v>
      </c>
      <c r="H90">
        <v>3</v>
      </c>
      <c r="I90">
        <v>247</v>
      </c>
      <c r="J90">
        <v>18.5</v>
      </c>
      <c r="K90">
        <v>392.3</v>
      </c>
      <c r="L90">
        <v>6.53</v>
      </c>
      <c r="M90">
        <v>26.6</v>
      </c>
      <c r="N90" s="107">
        <f t="shared" si="1"/>
        <v>28.604885619826057</v>
      </c>
      <c r="O90" s="92"/>
    </row>
    <row r="91" spans="1:15">
      <c r="A91">
        <v>1</v>
      </c>
      <c r="B91">
        <v>5.1880000000000003E-2</v>
      </c>
      <c r="C91">
        <v>4.49</v>
      </c>
      <c r="D91">
        <v>0.44900000000000001</v>
      </c>
      <c r="E91">
        <v>6.0149999999999997</v>
      </c>
      <c r="F91">
        <v>45.1</v>
      </c>
      <c r="G91">
        <v>4.4272</v>
      </c>
      <c r="H91">
        <v>3</v>
      </c>
      <c r="I91">
        <v>247</v>
      </c>
      <c r="J91">
        <v>18.5</v>
      </c>
      <c r="K91">
        <v>395.99</v>
      </c>
      <c r="L91">
        <v>12.86</v>
      </c>
      <c r="M91">
        <v>22.5</v>
      </c>
      <c r="N91" s="107">
        <f t="shared" si="1"/>
        <v>22.854182138712485</v>
      </c>
      <c r="O91" s="92"/>
    </row>
    <row r="92" spans="1:15">
      <c r="A92">
        <v>1</v>
      </c>
      <c r="B92">
        <v>7.1510000000000004E-2</v>
      </c>
      <c r="C92">
        <v>4.49</v>
      </c>
      <c r="D92">
        <v>0.44900000000000001</v>
      </c>
      <c r="E92">
        <v>6.1210000000000004</v>
      </c>
      <c r="F92">
        <v>56.8</v>
      </c>
      <c r="G92">
        <v>3.7475999999999998</v>
      </c>
      <c r="H92">
        <v>3</v>
      </c>
      <c r="I92">
        <v>247</v>
      </c>
      <c r="J92">
        <v>18.5</v>
      </c>
      <c r="K92">
        <v>395.15</v>
      </c>
      <c r="L92">
        <v>8.44</v>
      </c>
      <c r="M92">
        <v>22.2</v>
      </c>
      <c r="N92" s="107">
        <f t="shared" si="1"/>
        <v>26.388051256801049</v>
      </c>
      <c r="O92" s="92"/>
    </row>
    <row r="93" spans="1:15">
      <c r="A93">
        <v>1</v>
      </c>
      <c r="B93">
        <v>5.6599999999999998E-2</v>
      </c>
      <c r="C93">
        <v>3.41</v>
      </c>
      <c r="D93">
        <v>0.48899999999999999</v>
      </c>
      <c r="E93">
        <v>7.0069999999999997</v>
      </c>
      <c r="F93">
        <v>86.3</v>
      </c>
      <c r="G93">
        <v>3.4217</v>
      </c>
      <c r="H93">
        <v>2</v>
      </c>
      <c r="I93">
        <v>270</v>
      </c>
      <c r="J93">
        <v>17.8</v>
      </c>
      <c r="K93">
        <v>396.9</v>
      </c>
      <c r="L93">
        <v>5.5</v>
      </c>
      <c r="M93">
        <v>23.6</v>
      </c>
      <c r="N93" s="107">
        <f t="shared" si="1"/>
        <v>31.380400002241437</v>
      </c>
      <c r="O93" s="92"/>
    </row>
    <row r="94" spans="1:15">
      <c r="A94">
        <v>1</v>
      </c>
      <c r="B94">
        <v>5.3019999999999998E-2</v>
      </c>
      <c r="C94">
        <v>3.41</v>
      </c>
      <c r="D94">
        <v>0.48899999999999999</v>
      </c>
      <c r="E94">
        <v>7.0789999999999997</v>
      </c>
      <c r="F94">
        <v>63.1</v>
      </c>
      <c r="G94">
        <v>3.4144999999999999</v>
      </c>
      <c r="H94">
        <v>2</v>
      </c>
      <c r="I94">
        <v>270</v>
      </c>
      <c r="J94">
        <v>17.8</v>
      </c>
      <c r="K94">
        <v>396.06</v>
      </c>
      <c r="L94">
        <v>5.7</v>
      </c>
      <c r="M94">
        <v>28.7</v>
      </c>
      <c r="N94" s="107">
        <f t="shared" si="1"/>
        <v>31.630952590810448</v>
      </c>
      <c r="O94" s="92"/>
    </row>
    <row r="95" spans="1:15">
      <c r="A95">
        <v>1</v>
      </c>
      <c r="B95">
        <v>4.684E-2</v>
      </c>
      <c r="C95">
        <v>3.41</v>
      </c>
      <c r="D95">
        <v>0.48899999999999999</v>
      </c>
      <c r="E95">
        <v>6.4169999999999998</v>
      </c>
      <c r="F95">
        <v>66.099999999999994</v>
      </c>
      <c r="G95">
        <v>3.0922999999999998</v>
      </c>
      <c r="H95">
        <v>2</v>
      </c>
      <c r="I95">
        <v>270</v>
      </c>
      <c r="J95">
        <v>17.8</v>
      </c>
      <c r="K95">
        <v>392.18</v>
      </c>
      <c r="L95">
        <v>8.81</v>
      </c>
      <c r="M95">
        <v>22.6</v>
      </c>
      <c r="N95" s="107">
        <f t="shared" si="1"/>
        <v>27.645127159976536</v>
      </c>
      <c r="O95" s="92"/>
    </row>
    <row r="96" spans="1:15">
      <c r="A96">
        <v>1</v>
      </c>
      <c r="B96">
        <v>3.9320000000000001E-2</v>
      </c>
      <c r="C96">
        <v>3.41</v>
      </c>
      <c r="D96">
        <v>0.48899999999999999</v>
      </c>
      <c r="E96">
        <v>6.4050000000000002</v>
      </c>
      <c r="F96">
        <v>73.900000000000006</v>
      </c>
      <c r="G96">
        <v>3.0920999999999998</v>
      </c>
      <c r="H96">
        <v>2</v>
      </c>
      <c r="I96">
        <v>270</v>
      </c>
      <c r="J96">
        <v>17.8</v>
      </c>
      <c r="K96">
        <v>393.55</v>
      </c>
      <c r="L96">
        <v>8.1999999999999993</v>
      </c>
      <c r="M96">
        <v>22</v>
      </c>
      <c r="N96" s="107">
        <f t="shared" si="1"/>
        <v>27.910402705446959</v>
      </c>
      <c r="O96" s="92"/>
    </row>
    <row r="97" spans="1:15">
      <c r="A97">
        <v>1</v>
      </c>
      <c r="B97">
        <v>4.2029999999999998E-2</v>
      </c>
      <c r="C97">
        <v>15.04</v>
      </c>
      <c r="D97">
        <v>0.46400000000000002</v>
      </c>
      <c r="E97">
        <v>6.4420000000000002</v>
      </c>
      <c r="F97">
        <v>53.6</v>
      </c>
      <c r="G97">
        <v>3.6659000000000002</v>
      </c>
      <c r="H97">
        <v>4</v>
      </c>
      <c r="I97">
        <v>270</v>
      </c>
      <c r="J97">
        <v>18.2</v>
      </c>
      <c r="K97">
        <v>395.01</v>
      </c>
      <c r="L97">
        <v>8.16</v>
      </c>
      <c r="M97">
        <v>22.9</v>
      </c>
      <c r="N97" s="107">
        <f t="shared" si="1"/>
        <v>28.269869194203181</v>
      </c>
      <c r="O97" s="92"/>
    </row>
    <row r="98" spans="1:15">
      <c r="A98">
        <v>1</v>
      </c>
      <c r="B98">
        <v>2.8750000000000001E-2</v>
      </c>
      <c r="C98">
        <v>15.04</v>
      </c>
      <c r="D98">
        <v>0.46400000000000002</v>
      </c>
      <c r="E98">
        <v>6.2110000000000003</v>
      </c>
      <c r="F98">
        <v>28.9</v>
      </c>
      <c r="G98">
        <v>3.6659000000000002</v>
      </c>
      <c r="H98">
        <v>4</v>
      </c>
      <c r="I98">
        <v>270</v>
      </c>
      <c r="J98">
        <v>18.2</v>
      </c>
      <c r="K98">
        <v>396.33</v>
      </c>
      <c r="L98">
        <v>6.21</v>
      </c>
      <c r="M98">
        <v>25</v>
      </c>
      <c r="N98" s="107">
        <f t="shared" si="1"/>
        <v>28.432333578870541</v>
      </c>
      <c r="O98" s="92"/>
    </row>
    <row r="99" spans="1:15">
      <c r="A99">
        <v>1</v>
      </c>
      <c r="B99">
        <v>4.2939999999999999E-2</v>
      </c>
      <c r="C99">
        <v>15.04</v>
      </c>
      <c r="D99">
        <v>0.46400000000000002</v>
      </c>
      <c r="E99">
        <v>6.2489999999999997</v>
      </c>
      <c r="F99">
        <v>77.3</v>
      </c>
      <c r="G99">
        <v>3.6150000000000002</v>
      </c>
      <c r="H99">
        <v>4</v>
      </c>
      <c r="I99">
        <v>270</v>
      </c>
      <c r="J99">
        <v>18.2</v>
      </c>
      <c r="K99">
        <v>396.9</v>
      </c>
      <c r="L99">
        <v>10.59</v>
      </c>
      <c r="M99">
        <v>20.6</v>
      </c>
      <c r="N99" s="107">
        <f t="shared" si="1"/>
        <v>26.224987376073777</v>
      </c>
      <c r="O99" s="92"/>
    </row>
    <row r="100" spans="1:15">
      <c r="A100">
        <v>1</v>
      </c>
      <c r="B100">
        <v>0.12204</v>
      </c>
      <c r="C100">
        <v>2.89</v>
      </c>
      <c r="D100">
        <v>0.44500000000000001</v>
      </c>
      <c r="E100">
        <v>6.625</v>
      </c>
      <c r="F100">
        <v>57.8</v>
      </c>
      <c r="G100">
        <v>3.4952000000000001</v>
      </c>
      <c r="H100">
        <v>2</v>
      </c>
      <c r="I100">
        <v>276</v>
      </c>
      <c r="J100">
        <v>18</v>
      </c>
      <c r="K100">
        <v>357.98</v>
      </c>
      <c r="L100">
        <v>6.65</v>
      </c>
      <c r="M100">
        <v>28.4</v>
      </c>
      <c r="N100" s="107">
        <f t="shared" si="1"/>
        <v>29.299750863608857</v>
      </c>
      <c r="O100" s="92"/>
    </row>
    <row r="101" spans="1:15">
      <c r="A101">
        <v>1</v>
      </c>
      <c r="B101">
        <v>0.11504</v>
      </c>
      <c r="C101">
        <v>2.89</v>
      </c>
      <c r="D101">
        <v>0.44500000000000001</v>
      </c>
      <c r="E101">
        <v>6.1630000000000003</v>
      </c>
      <c r="F101">
        <v>69.599999999999994</v>
      </c>
      <c r="G101">
        <v>3.4952000000000001</v>
      </c>
      <c r="H101">
        <v>2</v>
      </c>
      <c r="I101">
        <v>276</v>
      </c>
      <c r="J101">
        <v>18</v>
      </c>
      <c r="K101">
        <v>391.83</v>
      </c>
      <c r="L101">
        <v>11.34</v>
      </c>
      <c r="M101">
        <v>21.4</v>
      </c>
      <c r="N101" s="107">
        <f t="shared" si="1"/>
        <v>25.25783195820361</v>
      </c>
      <c r="O101" s="92"/>
    </row>
    <row r="102" spans="1:15">
      <c r="A102">
        <v>1</v>
      </c>
      <c r="B102">
        <v>0.12083000000000001</v>
      </c>
      <c r="C102">
        <v>2.89</v>
      </c>
      <c r="D102">
        <v>0.44500000000000001</v>
      </c>
      <c r="E102">
        <v>8.0690000000000008</v>
      </c>
      <c r="F102">
        <v>76</v>
      </c>
      <c r="G102">
        <v>3.4952000000000001</v>
      </c>
      <c r="H102">
        <v>2</v>
      </c>
      <c r="I102">
        <v>276</v>
      </c>
      <c r="J102">
        <v>18</v>
      </c>
      <c r="K102">
        <v>396.9</v>
      </c>
      <c r="L102">
        <v>4.21</v>
      </c>
      <c r="M102">
        <v>38.700000000000003</v>
      </c>
      <c r="N102" s="107">
        <f t="shared" si="1"/>
        <v>36.799781924988828</v>
      </c>
      <c r="O102" s="92"/>
    </row>
    <row r="103" spans="1:15">
      <c r="A103">
        <v>1</v>
      </c>
      <c r="B103">
        <v>8.1869999999999998E-2</v>
      </c>
      <c r="C103">
        <v>2.89</v>
      </c>
      <c r="D103">
        <v>0.44500000000000001</v>
      </c>
      <c r="E103">
        <v>7.82</v>
      </c>
      <c r="F103">
        <v>36.9</v>
      </c>
      <c r="G103">
        <v>3.4952000000000001</v>
      </c>
      <c r="H103">
        <v>2</v>
      </c>
      <c r="I103">
        <v>276</v>
      </c>
      <c r="J103">
        <v>18</v>
      </c>
      <c r="K103">
        <v>393.53</v>
      </c>
      <c r="L103">
        <v>3.57</v>
      </c>
      <c r="M103">
        <v>43.8</v>
      </c>
      <c r="N103" s="107">
        <f t="shared" si="1"/>
        <v>36.195618967655356</v>
      </c>
      <c r="O103" s="92"/>
    </row>
    <row r="104" spans="1:15">
      <c r="A104">
        <v>1</v>
      </c>
      <c r="B104">
        <v>6.8599999999999994E-2</v>
      </c>
      <c r="C104">
        <v>2.89</v>
      </c>
      <c r="D104">
        <v>0.44500000000000001</v>
      </c>
      <c r="E104">
        <v>7.4160000000000004</v>
      </c>
      <c r="F104">
        <v>62.5</v>
      </c>
      <c r="G104">
        <v>3.4952000000000001</v>
      </c>
      <c r="H104">
        <v>2</v>
      </c>
      <c r="I104">
        <v>276</v>
      </c>
      <c r="J104">
        <v>18</v>
      </c>
      <c r="K104">
        <v>396.9</v>
      </c>
      <c r="L104">
        <v>6.19</v>
      </c>
      <c r="M104">
        <v>33.200000000000003</v>
      </c>
      <c r="N104" s="107">
        <f t="shared" si="1"/>
        <v>33.140701753149145</v>
      </c>
      <c r="O104" s="92"/>
    </row>
    <row r="105" spans="1:15">
      <c r="A105">
        <v>1</v>
      </c>
      <c r="B105">
        <v>0.14865999999999999</v>
      </c>
      <c r="C105">
        <v>8.56</v>
      </c>
      <c r="D105">
        <v>0.52</v>
      </c>
      <c r="E105">
        <v>6.7270000000000003</v>
      </c>
      <c r="F105">
        <v>79.900000000000006</v>
      </c>
      <c r="G105">
        <v>2.7778</v>
      </c>
      <c r="H105">
        <v>5</v>
      </c>
      <c r="I105">
        <v>384</v>
      </c>
      <c r="J105">
        <v>20.9</v>
      </c>
      <c r="K105">
        <v>394.76</v>
      </c>
      <c r="L105">
        <v>9.42</v>
      </c>
      <c r="M105">
        <v>27.5</v>
      </c>
      <c r="N105" s="107">
        <f t="shared" si="1"/>
        <v>24.652452752257165</v>
      </c>
      <c r="O105" s="92"/>
    </row>
    <row r="106" spans="1:15">
      <c r="A106">
        <v>1</v>
      </c>
      <c r="B106">
        <v>0.11432</v>
      </c>
      <c r="C106">
        <v>8.56</v>
      </c>
      <c r="D106">
        <v>0.52</v>
      </c>
      <c r="E106">
        <v>6.7809999999999997</v>
      </c>
      <c r="F106">
        <v>71.3</v>
      </c>
      <c r="G106">
        <v>2.8561000000000001</v>
      </c>
      <c r="H106">
        <v>5</v>
      </c>
      <c r="I106">
        <v>384</v>
      </c>
      <c r="J106">
        <v>20.9</v>
      </c>
      <c r="K106">
        <v>395.58</v>
      </c>
      <c r="L106">
        <v>7.67</v>
      </c>
      <c r="M106">
        <v>26.5</v>
      </c>
      <c r="N106" s="107">
        <f t="shared" si="1"/>
        <v>25.730981219887607</v>
      </c>
      <c r="O106" s="92"/>
    </row>
    <row r="107" spans="1:15">
      <c r="A107">
        <v>1</v>
      </c>
      <c r="B107">
        <v>0.22875999999999999</v>
      </c>
      <c r="C107">
        <v>8.56</v>
      </c>
      <c r="D107">
        <v>0.52</v>
      </c>
      <c r="E107">
        <v>6.4050000000000002</v>
      </c>
      <c r="F107">
        <v>85.4</v>
      </c>
      <c r="G107">
        <v>2.7147000000000001</v>
      </c>
      <c r="H107">
        <v>5</v>
      </c>
      <c r="I107">
        <v>384</v>
      </c>
      <c r="J107">
        <v>20.9</v>
      </c>
      <c r="K107">
        <v>70.8</v>
      </c>
      <c r="L107">
        <v>10.63</v>
      </c>
      <c r="M107">
        <v>18.600000000000001</v>
      </c>
      <c r="N107" s="107">
        <f t="shared" si="1"/>
        <v>19.566549837479918</v>
      </c>
      <c r="O107" s="92"/>
    </row>
    <row r="108" spans="1:15">
      <c r="A108">
        <v>1</v>
      </c>
      <c r="B108">
        <v>0.21160999999999999</v>
      </c>
      <c r="C108">
        <v>8.56</v>
      </c>
      <c r="D108">
        <v>0.52</v>
      </c>
      <c r="E108">
        <v>6.1369999999999996</v>
      </c>
      <c r="F108">
        <v>87.4</v>
      </c>
      <c r="G108">
        <v>2.7147000000000001</v>
      </c>
      <c r="H108">
        <v>5</v>
      </c>
      <c r="I108">
        <v>384</v>
      </c>
      <c r="J108">
        <v>20.9</v>
      </c>
      <c r="K108">
        <v>394.47</v>
      </c>
      <c r="L108">
        <v>13.44</v>
      </c>
      <c r="M108">
        <v>19.3</v>
      </c>
      <c r="N108" s="107">
        <f t="shared" si="1"/>
        <v>20.184924051951221</v>
      </c>
      <c r="O108" s="92"/>
    </row>
    <row r="109" spans="1:15">
      <c r="A109">
        <v>1</v>
      </c>
      <c r="B109">
        <v>0.1396</v>
      </c>
      <c r="C109">
        <v>8.56</v>
      </c>
      <c r="D109">
        <v>0.52</v>
      </c>
      <c r="E109">
        <v>6.1669999999999998</v>
      </c>
      <c r="F109">
        <v>90</v>
      </c>
      <c r="G109">
        <v>2.4209999999999998</v>
      </c>
      <c r="H109">
        <v>5</v>
      </c>
      <c r="I109">
        <v>384</v>
      </c>
      <c r="J109">
        <v>20.9</v>
      </c>
      <c r="K109">
        <v>392.69</v>
      </c>
      <c r="L109">
        <v>12.33</v>
      </c>
      <c r="M109">
        <v>20.100000000000001</v>
      </c>
      <c r="N109" s="107">
        <f t="shared" si="1"/>
        <v>21.228441229859655</v>
      </c>
      <c r="O109" s="92"/>
    </row>
    <row r="110" spans="1:15">
      <c r="A110">
        <v>1</v>
      </c>
      <c r="B110">
        <v>0.13261999999999999</v>
      </c>
      <c r="C110">
        <v>8.56</v>
      </c>
      <c r="D110">
        <v>0.52</v>
      </c>
      <c r="E110">
        <v>5.851</v>
      </c>
      <c r="F110">
        <v>96.7</v>
      </c>
      <c r="G110">
        <v>2.1069</v>
      </c>
      <c r="H110">
        <v>5</v>
      </c>
      <c r="I110">
        <v>384</v>
      </c>
      <c r="J110">
        <v>20.9</v>
      </c>
      <c r="K110">
        <v>394.05</v>
      </c>
      <c r="L110">
        <v>16.47</v>
      </c>
      <c r="M110">
        <v>19.5</v>
      </c>
      <c r="N110" s="107">
        <f t="shared" si="1"/>
        <v>18.143646031256367</v>
      </c>
      <c r="O110" s="92"/>
    </row>
    <row r="111" spans="1:15">
      <c r="A111">
        <v>1</v>
      </c>
      <c r="B111">
        <v>0.17119999999999999</v>
      </c>
      <c r="C111">
        <v>8.56</v>
      </c>
      <c r="D111">
        <v>0.52</v>
      </c>
      <c r="E111">
        <v>5.8360000000000003</v>
      </c>
      <c r="F111">
        <v>91.9</v>
      </c>
      <c r="G111">
        <v>2.2109999999999999</v>
      </c>
      <c r="H111">
        <v>5</v>
      </c>
      <c r="I111">
        <v>384</v>
      </c>
      <c r="J111">
        <v>20.9</v>
      </c>
      <c r="K111">
        <v>395.67</v>
      </c>
      <c r="L111">
        <v>18.66</v>
      </c>
      <c r="M111">
        <v>19.5</v>
      </c>
      <c r="N111" s="107">
        <f t="shared" si="1"/>
        <v>16.831320220681484</v>
      </c>
      <c r="O111" s="92"/>
    </row>
    <row r="112" spans="1:15">
      <c r="A112">
        <v>1</v>
      </c>
      <c r="B112">
        <v>0.13117000000000001</v>
      </c>
      <c r="C112">
        <v>8.56</v>
      </c>
      <c r="D112">
        <v>0.52</v>
      </c>
      <c r="E112">
        <v>6.1269999999999998</v>
      </c>
      <c r="F112">
        <v>85.2</v>
      </c>
      <c r="G112">
        <v>2.1223999999999998</v>
      </c>
      <c r="H112">
        <v>5</v>
      </c>
      <c r="I112">
        <v>384</v>
      </c>
      <c r="J112">
        <v>20.9</v>
      </c>
      <c r="K112">
        <v>387.69</v>
      </c>
      <c r="L112">
        <v>14.09</v>
      </c>
      <c r="M112">
        <v>20.399999999999999</v>
      </c>
      <c r="N112" s="107">
        <f t="shared" si="1"/>
        <v>20.4670081935827</v>
      </c>
      <c r="O112" s="92"/>
    </row>
    <row r="113" spans="1:15">
      <c r="A113">
        <v>1</v>
      </c>
      <c r="B113">
        <v>0.12801999999999999</v>
      </c>
      <c r="C113">
        <v>8.56</v>
      </c>
      <c r="D113">
        <v>0.52</v>
      </c>
      <c r="E113">
        <v>6.4740000000000002</v>
      </c>
      <c r="F113">
        <v>97.1</v>
      </c>
      <c r="G113">
        <v>2.4329000000000001</v>
      </c>
      <c r="H113">
        <v>5</v>
      </c>
      <c r="I113">
        <v>384</v>
      </c>
      <c r="J113">
        <v>20.9</v>
      </c>
      <c r="K113">
        <v>395.24</v>
      </c>
      <c r="L113">
        <v>12.27</v>
      </c>
      <c r="M113">
        <v>19.8</v>
      </c>
      <c r="N113" s="107">
        <f t="shared" si="1"/>
        <v>22.503910409015539</v>
      </c>
      <c r="O113" s="92"/>
    </row>
    <row r="114" spans="1:15">
      <c r="A114">
        <v>1</v>
      </c>
      <c r="B114">
        <v>0.26362999999999998</v>
      </c>
      <c r="C114">
        <v>8.56</v>
      </c>
      <c r="D114">
        <v>0.52</v>
      </c>
      <c r="E114">
        <v>6.2290000000000001</v>
      </c>
      <c r="F114">
        <v>91.2</v>
      </c>
      <c r="G114">
        <v>2.5451000000000001</v>
      </c>
      <c r="H114">
        <v>5</v>
      </c>
      <c r="I114">
        <v>384</v>
      </c>
      <c r="J114">
        <v>20.9</v>
      </c>
      <c r="K114">
        <v>391.23</v>
      </c>
      <c r="L114">
        <v>15.55</v>
      </c>
      <c r="M114">
        <v>19.399999999999999</v>
      </c>
      <c r="N114" s="107">
        <f t="shared" si="1"/>
        <v>19.609749474028028</v>
      </c>
      <c r="O114" s="92"/>
    </row>
    <row r="115" spans="1:15">
      <c r="A115">
        <v>1</v>
      </c>
      <c r="B115">
        <v>0.10793</v>
      </c>
      <c r="C115">
        <v>8.56</v>
      </c>
      <c r="D115">
        <v>0.52</v>
      </c>
      <c r="E115">
        <v>6.1950000000000003</v>
      </c>
      <c r="F115">
        <v>54.4</v>
      </c>
      <c r="G115">
        <v>2.7778</v>
      </c>
      <c r="H115">
        <v>5</v>
      </c>
      <c r="I115">
        <v>384</v>
      </c>
      <c r="J115">
        <v>20.9</v>
      </c>
      <c r="K115">
        <v>393.49</v>
      </c>
      <c r="L115">
        <v>13</v>
      </c>
      <c r="M115">
        <v>21.7</v>
      </c>
      <c r="N115" s="107">
        <f t="shared" si="1"/>
        <v>20.664315173069795</v>
      </c>
      <c r="O115" s="92"/>
    </row>
    <row r="116" spans="1:15">
      <c r="A116">
        <v>1</v>
      </c>
      <c r="B116">
        <v>0.10084</v>
      </c>
      <c r="C116">
        <v>10.01</v>
      </c>
      <c r="D116">
        <v>0.54700000000000004</v>
      </c>
      <c r="E116">
        <v>6.7149999999999999</v>
      </c>
      <c r="F116">
        <v>81.599999999999994</v>
      </c>
      <c r="G116">
        <v>2.6775000000000002</v>
      </c>
      <c r="H116">
        <v>6</v>
      </c>
      <c r="I116">
        <v>432</v>
      </c>
      <c r="J116">
        <v>17.8</v>
      </c>
      <c r="K116">
        <v>395.59</v>
      </c>
      <c r="L116">
        <v>10.16</v>
      </c>
      <c r="M116">
        <v>22.8</v>
      </c>
      <c r="N116" s="107">
        <f t="shared" si="1"/>
        <v>27.177923019965199</v>
      </c>
      <c r="O116" s="92"/>
    </row>
    <row r="117" spans="1:15">
      <c r="A117">
        <v>1</v>
      </c>
      <c r="B117">
        <v>0.12329</v>
      </c>
      <c r="C117">
        <v>10.01</v>
      </c>
      <c r="D117">
        <v>0.54700000000000004</v>
      </c>
      <c r="E117">
        <v>5.9130000000000003</v>
      </c>
      <c r="F117">
        <v>92.9</v>
      </c>
      <c r="G117">
        <v>2.3534000000000002</v>
      </c>
      <c r="H117">
        <v>6</v>
      </c>
      <c r="I117">
        <v>432</v>
      </c>
      <c r="J117">
        <v>17.8</v>
      </c>
      <c r="K117">
        <v>394.95</v>
      </c>
      <c r="L117">
        <v>16.21</v>
      </c>
      <c r="M117">
        <v>18.8</v>
      </c>
      <c r="N117" s="107">
        <f t="shared" si="1"/>
        <v>21.087268360148382</v>
      </c>
      <c r="O117" s="92"/>
    </row>
    <row r="118" spans="1:15">
      <c r="A118">
        <v>1</v>
      </c>
      <c r="B118">
        <v>0.22212000000000001</v>
      </c>
      <c r="C118">
        <v>10.01</v>
      </c>
      <c r="D118">
        <v>0.54700000000000004</v>
      </c>
      <c r="E118">
        <v>6.0919999999999996</v>
      </c>
      <c r="F118">
        <v>95.4</v>
      </c>
      <c r="G118">
        <v>2.548</v>
      </c>
      <c r="H118">
        <v>6</v>
      </c>
      <c r="I118">
        <v>432</v>
      </c>
      <c r="J118">
        <v>17.8</v>
      </c>
      <c r="K118">
        <v>396.9</v>
      </c>
      <c r="L118">
        <v>17.09</v>
      </c>
      <c r="M118">
        <v>18.7</v>
      </c>
      <c r="N118" s="107">
        <f t="shared" si="1"/>
        <v>21.121395332470946</v>
      </c>
      <c r="O118" s="92"/>
    </row>
    <row r="119" spans="1:15">
      <c r="A119">
        <v>1</v>
      </c>
      <c r="B119">
        <v>0.14230999999999999</v>
      </c>
      <c r="C119">
        <v>10.01</v>
      </c>
      <c r="D119">
        <v>0.54700000000000004</v>
      </c>
      <c r="E119">
        <v>6.2539999999999996</v>
      </c>
      <c r="F119">
        <v>84.2</v>
      </c>
      <c r="G119">
        <v>2.2565</v>
      </c>
      <c r="H119">
        <v>6</v>
      </c>
      <c r="I119">
        <v>432</v>
      </c>
      <c r="J119">
        <v>17.8</v>
      </c>
      <c r="K119">
        <v>388.74</v>
      </c>
      <c r="L119">
        <v>10.45</v>
      </c>
      <c r="M119">
        <v>18.5</v>
      </c>
      <c r="N119" s="107">
        <f t="shared" si="1"/>
        <v>25.578184034994653</v>
      </c>
      <c r="O119" s="92"/>
    </row>
    <row r="120" spans="1:15">
      <c r="A120">
        <v>1</v>
      </c>
      <c r="B120">
        <v>0.17133999999999999</v>
      </c>
      <c r="C120">
        <v>10.01</v>
      </c>
      <c r="D120">
        <v>0.54700000000000004</v>
      </c>
      <c r="E120">
        <v>5.9279999999999999</v>
      </c>
      <c r="F120">
        <v>88.2</v>
      </c>
      <c r="G120">
        <v>2.4630999999999998</v>
      </c>
      <c r="H120">
        <v>6</v>
      </c>
      <c r="I120">
        <v>432</v>
      </c>
      <c r="J120">
        <v>17.8</v>
      </c>
      <c r="K120">
        <v>344.91</v>
      </c>
      <c r="L120">
        <v>15.76</v>
      </c>
      <c r="M120">
        <v>18.3</v>
      </c>
      <c r="N120" s="107">
        <f t="shared" si="1"/>
        <v>20.766312002548887</v>
      </c>
      <c r="O120" s="92"/>
    </row>
    <row r="121" spans="1:15">
      <c r="A121">
        <v>1</v>
      </c>
      <c r="B121">
        <v>0.13158</v>
      </c>
      <c r="C121">
        <v>10.01</v>
      </c>
      <c r="D121">
        <v>0.54700000000000004</v>
      </c>
      <c r="E121">
        <v>6.1760000000000002</v>
      </c>
      <c r="F121">
        <v>72.5</v>
      </c>
      <c r="G121">
        <v>2.7301000000000002</v>
      </c>
      <c r="H121">
        <v>6</v>
      </c>
      <c r="I121">
        <v>432</v>
      </c>
      <c r="J121">
        <v>17.8</v>
      </c>
      <c r="K121">
        <v>393.3</v>
      </c>
      <c r="L121">
        <v>12.04</v>
      </c>
      <c r="M121">
        <v>21.2</v>
      </c>
      <c r="N121" s="107">
        <f t="shared" si="1"/>
        <v>23.929384084766131</v>
      </c>
      <c r="O121" s="92"/>
    </row>
    <row r="122" spans="1:15">
      <c r="A122">
        <v>1</v>
      </c>
      <c r="B122">
        <v>0.15098</v>
      </c>
      <c r="C122">
        <v>10.01</v>
      </c>
      <c r="D122">
        <v>0.54700000000000004</v>
      </c>
      <c r="E122">
        <v>6.0209999999999999</v>
      </c>
      <c r="F122">
        <v>82.6</v>
      </c>
      <c r="G122">
        <v>2.7473999999999998</v>
      </c>
      <c r="H122">
        <v>6</v>
      </c>
      <c r="I122">
        <v>432</v>
      </c>
      <c r="J122">
        <v>17.8</v>
      </c>
      <c r="K122">
        <v>394.51</v>
      </c>
      <c r="L122">
        <v>10.3</v>
      </c>
      <c r="M122">
        <v>19.2</v>
      </c>
      <c r="N122" s="107">
        <f t="shared" si="1"/>
        <v>24.173729102434059</v>
      </c>
      <c r="O122" s="92"/>
    </row>
    <row r="123" spans="1:15">
      <c r="A123">
        <v>1</v>
      </c>
      <c r="B123">
        <v>0.13058</v>
      </c>
      <c r="C123">
        <v>10.01</v>
      </c>
      <c r="D123">
        <v>0.54700000000000004</v>
      </c>
      <c r="E123">
        <v>5.8719999999999999</v>
      </c>
      <c r="F123">
        <v>73.099999999999994</v>
      </c>
      <c r="G123">
        <v>2.4775</v>
      </c>
      <c r="H123">
        <v>6</v>
      </c>
      <c r="I123">
        <v>432</v>
      </c>
      <c r="J123">
        <v>17.8</v>
      </c>
      <c r="K123">
        <v>338.63</v>
      </c>
      <c r="L123">
        <v>15.37</v>
      </c>
      <c r="M123">
        <v>20.399999999999999</v>
      </c>
      <c r="N123" s="107">
        <f t="shared" si="1"/>
        <v>20.707799338897367</v>
      </c>
      <c r="O123" s="92"/>
    </row>
    <row r="124" spans="1:15">
      <c r="A124">
        <v>1</v>
      </c>
      <c r="B124">
        <v>0.14476</v>
      </c>
      <c r="C124">
        <v>10.01</v>
      </c>
      <c r="D124">
        <v>0.54700000000000004</v>
      </c>
      <c r="E124">
        <v>5.7309999999999999</v>
      </c>
      <c r="F124">
        <v>65.2</v>
      </c>
      <c r="G124">
        <v>2.7591999999999999</v>
      </c>
      <c r="H124">
        <v>6</v>
      </c>
      <c r="I124">
        <v>432</v>
      </c>
      <c r="J124">
        <v>17.8</v>
      </c>
      <c r="K124">
        <v>391.5</v>
      </c>
      <c r="L124">
        <v>13.61</v>
      </c>
      <c r="M124">
        <v>19.3</v>
      </c>
      <c r="N124" s="107">
        <f t="shared" si="1"/>
        <v>21.256928181903987</v>
      </c>
      <c r="O124" s="92"/>
    </row>
    <row r="125" spans="1:15">
      <c r="A125">
        <v>1</v>
      </c>
      <c r="B125">
        <v>6.8989999999999996E-2</v>
      </c>
      <c r="C125">
        <v>25.65</v>
      </c>
      <c r="D125">
        <v>0.58099999999999996</v>
      </c>
      <c r="E125">
        <v>5.87</v>
      </c>
      <c r="F125">
        <v>69.7</v>
      </c>
      <c r="G125">
        <v>2.2576999999999998</v>
      </c>
      <c r="H125">
        <v>2</v>
      </c>
      <c r="I125">
        <v>188</v>
      </c>
      <c r="J125">
        <v>19.100000000000001</v>
      </c>
      <c r="K125">
        <v>389.15</v>
      </c>
      <c r="L125">
        <v>14.37</v>
      </c>
      <c r="M125">
        <v>22</v>
      </c>
      <c r="N125" s="107">
        <f t="shared" si="1"/>
        <v>21.653545241880963</v>
      </c>
      <c r="O125" s="92"/>
    </row>
    <row r="126" spans="1:15">
      <c r="A126">
        <v>1</v>
      </c>
      <c r="B126">
        <v>7.1650000000000005E-2</v>
      </c>
      <c r="C126">
        <v>25.65</v>
      </c>
      <c r="D126">
        <v>0.58099999999999996</v>
      </c>
      <c r="E126">
        <v>6.0039999999999996</v>
      </c>
      <c r="F126">
        <v>84.1</v>
      </c>
      <c r="G126">
        <v>2.1974</v>
      </c>
      <c r="H126">
        <v>2</v>
      </c>
      <c r="I126">
        <v>188</v>
      </c>
      <c r="J126">
        <v>19.100000000000001</v>
      </c>
      <c r="K126">
        <v>377.67</v>
      </c>
      <c r="L126">
        <v>14.27</v>
      </c>
      <c r="M126">
        <v>20.3</v>
      </c>
      <c r="N126" s="107">
        <f t="shared" si="1"/>
        <v>22.17348648175161</v>
      </c>
      <c r="O126" s="92"/>
    </row>
    <row r="127" spans="1:15">
      <c r="A127">
        <v>1</v>
      </c>
      <c r="B127">
        <v>9.2990000000000003E-2</v>
      </c>
      <c r="C127">
        <v>25.65</v>
      </c>
      <c r="D127">
        <v>0.58099999999999996</v>
      </c>
      <c r="E127">
        <v>5.9610000000000003</v>
      </c>
      <c r="F127">
        <v>92.9</v>
      </c>
      <c r="G127">
        <v>2.0869</v>
      </c>
      <c r="H127">
        <v>2</v>
      </c>
      <c r="I127">
        <v>188</v>
      </c>
      <c r="J127">
        <v>19.100000000000001</v>
      </c>
      <c r="K127">
        <v>378.09</v>
      </c>
      <c r="L127">
        <v>17.93</v>
      </c>
      <c r="M127">
        <v>20.5</v>
      </c>
      <c r="N127" s="107">
        <f t="shared" si="1"/>
        <v>20.188889386596639</v>
      </c>
      <c r="O127" s="92"/>
    </row>
    <row r="128" spans="1:15">
      <c r="A128">
        <v>1</v>
      </c>
      <c r="B128">
        <v>0.15038000000000001</v>
      </c>
      <c r="C128">
        <v>25.65</v>
      </c>
      <c r="D128">
        <v>0.58099999999999996</v>
      </c>
      <c r="E128">
        <v>5.8559999999999999</v>
      </c>
      <c r="F128">
        <v>97</v>
      </c>
      <c r="G128">
        <v>1.9443999999999999</v>
      </c>
      <c r="H128">
        <v>2</v>
      </c>
      <c r="I128">
        <v>188</v>
      </c>
      <c r="J128">
        <v>19.100000000000001</v>
      </c>
      <c r="K128">
        <v>370.31</v>
      </c>
      <c r="L128">
        <v>25.41</v>
      </c>
      <c r="M128">
        <v>17.3</v>
      </c>
      <c r="N128" s="107">
        <f t="shared" si="1"/>
        <v>15.912544432766085</v>
      </c>
      <c r="O128" s="92"/>
    </row>
    <row r="129" spans="1:15">
      <c r="A129">
        <v>1</v>
      </c>
      <c r="B129">
        <v>9.8489999999999994E-2</v>
      </c>
      <c r="C129">
        <v>25.65</v>
      </c>
      <c r="D129">
        <v>0.58099999999999996</v>
      </c>
      <c r="E129">
        <v>5.8789999999999996</v>
      </c>
      <c r="F129">
        <v>95.8</v>
      </c>
      <c r="G129">
        <v>2.0063</v>
      </c>
      <c r="H129">
        <v>2</v>
      </c>
      <c r="I129">
        <v>188</v>
      </c>
      <c r="J129">
        <v>19.100000000000001</v>
      </c>
      <c r="K129">
        <v>379.38</v>
      </c>
      <c r="L129">
        <v>17.579999999999998</v>
      </c>
      <c r="M129">
        <v>18.8</v>
      </c>
      <c r="N129" s="107">
        <f t="shared" si="1"/>
        <v>20.140572925852886</v>
      </c>
      <c r="O129" s="92"/>
    </row>
    <row r="130" spans="1:15">
      <c r="A130">
        <v>1</v>
      </c>
      <c r="B130">
        <v>0.16902</v>
      </c>
      <c r="C130">
        <v>25.65</v>
      </c>
      <c r="D130">
        <v>0.58099999999999996</v>
      </c>
      <c r="E130">
        <v>5.9859999999999998</v>
      </c>
      <c r="F130">
        <v>88.4</v>
      </c>
      <c r="G130">
        <v>1.9928999999999999</v>
      </c>
      <c r="H130">
        <v>2</v>
      </c>
      <c r="I130">
        <v>188</v>
      </c>
      <c r="J130">
        <v>19.100000000000001</v>
      </c>
      <c r="K130">
        <v>385.02</v>
      </c>
      <c r="L130">
        <v>14.81</v>
      </c>
      <c r="M130">
        <v>21.4</v>
      </c>
      <c r="N130" s="107">
        <f t="shared" si="1"/>
        <v>22.115064762201261</v>
      </c>
      <c r="O130" s="92"/>
    </row>
    <row r="131" spans="1:15">
      <c r="A131">
        <v>1</v>
      </c>
      <c r="B131">
        <v>0.38735000000000003</v>
      </c>
      <c r="C131">
        <v>25.65</v>
      </c>
      <c r="D131">
        <v>0.58099999999999996</v>
      </c>
      <c r="E131">
        <v>5.6130000000000004</v>
      </c>
      <c r="F131">
        <v>95.6</v>
      </c>
      <c r="G131">
        <v>1.7572000000000001</v>
      </c>
      <c r="H131">
        <v>2</v>
      </c>
      <c r="I131">
        <v>188</v>
      </c>
      <c r="J131">
        <v>19.100000000000001</v>
      </c>
      <c r="K131">
        <v>359.29</v>
      </c>
      <c r="L131">
        <v>27.26</v>
      </c>
      <c r="M131">
        <v>15.7</v>
      </c>
      <c r="N131" s="107">
        <f t="shared" si="1"/>
        <v>14.048249738253265</v>
      </c>
      <c r="O131" s="92"/>
    </row>
    <row r="132" spans="1:15">
      <c r="A132">
        <v>1</v>
      </c>
      <c r="B132">
        <v>0.25914999999999999</v>
      </c>
      <c r="C132">
        <v>21.89</v>
      </c>
      <c r="D132">
        <v>0.624</v>
      </c>
      <c r="E132">
        <v>5.6929999999999996</v>
      </c>
      <c r="F132">
        <v>96</v>
      </c>
      <c r="G132">
        <v>1.7883</v>
      </c>
      <c r="H132">
        <v>4</v>
      </c>
      <c r="I132">
        <v>437</v>
      </c>
      <c r="J132">
        <v>21.2</v>
      </c>
      <c r="K132">
        <v>392.11</v>
      </c>
      <c r="L132">
        <v>17.190000000000001</v>
      </c>
      <c r="M132">
        <v>16.2</v>
      </c>
      <c r="N132" s="107">
        <f t="shared" si="1"/>
        <v>14.643869543862511</v>
      </c>
      <c r="O132" s="92"/>
    </row>
    <row r="133" spans="1:15">
      <c r="A133">
        <v>1</v>
      </c>
      <c r="B133">
        <v>0.32543</v>
      </c>
      <c r="C133">
        <v>21.89</v>
      </c>
      <c r="D133">
        <v>0.624</v>
      </c>
      <c r="E133">
        <v>6.431</v>
      </c>
      <c r="F133">
        <v>98.8</v>
      </c>
      <c r="G133">
        <v>1.8125</v>
      </c>
      <c r="H133">
        <v>4</v>
      </c>
      <c r="I133">
        <v>437</v>
      </c>
      <c r="J133">
        <v>21.2</v>
      </c>
      <c r="K133">
        <v>396.9</v>
      </c>
      <c r="L133">
        <v>15.39</v>
      </c>
      <c r="M133">
        <v>18</v>
      </c>
      <c r="N133" s="107">
        <f t="shared" ref="N133:N196" si="2">SUMPRODUCT($A$2:$L$2,A133:L133)</f>
        <v>18.599538455699758</v>
      </c>
      <c r="O133" s="92"/>
    </row>
    <row r="134" spans="1:15">
      <c r="A134">
        <v>1</v>
      </c>
      <c r="B134">
        <v>0.88124999999999998</v>
      </c>
      <c r="C134">
        <v>21.89</v>
      </c>
      <c r="D134">
        <v>0.624</v>
      </c>
      <c r="E134">
        <v>5.6369999999999996</v>
      </c>
      <c r="F134">
        <v>94.7</v>
      </c>
      <c r="G134">
        <v>1.9799</v>
      </c>
      <c r="H134">
        <v>4</v>
      </c>
      <c r="I134">
        <v>437</v>
      </c>
      <c r="J134">
        <v>21.2</v>
      </c>
      <c r="K134">
        <v>396.9</v>
      </c>
      <c r="L134">
        <v>18.34</v>
      </c>
      <c r="M134">
        <v>14.3</v>
      </c>
      <c r="N134" s="107">
        <f t="shared" si="2"/>
        <v>13.566313019636871</v>
      </c>
      <c r="O134" s="92"/>
    </row>
    <row r="135" spans="1:15">
      <c r="A135">
        <v>1</v>
      </c>
      <c r="B135">
        <v>0.34005999999999997</v>
      </c>
      <c r="C135">
        <v>21.89</v>
      </c>
      <c r="D135">
        <v>0.624</v>
      </c>
      <c r="E135">
        <v>6.4580000000000002</v>
      </c>
      <c r="F135">
        <v>98.9</v>
      </c>
      <c r="G135">
        <v>2.1185</v>
      </c>
      <c r="H135">
        <v>4</v>
      </c>
      <c r="I135">
        <v>437</v>
      </c>
      <c r="J135">
        <v>21.2</v>
      </c>
      <c r="K135">
        <v>395.04</v>
      </c>
      <c r="L135">
        <v>12.6</v>
      </c>
      <c r="M135">
        <v>19.2</v>
      </c>
      <c r="N135" s="107">
        <f t="shared" si="2"/>
        <v>19.78407734157339</v>
      </c>
      <c r="O135" s="92"/>
    </row>
    <row r="136" spans="1:15">
      <c r="A136">
        <v>1</v>
      </c>
      <c r="B136">
        <v>1.1929399999999999</v>
      </c>
      <c r="C136">
        <v>21.89</v>
      </c>
      <c r="D136">
        <v>0.624</v>
      </c>
      <c r="E136">
        <v>6.3259999999999996</v>
      </c>
      <c r="F136">
        <v>97.7</v>
      </c>
      <c r="G136">
        <v>2.2709999999999999</v>
      </c>
      <c r="H136">
        <v>4</v>
      </c>
      <c r="I136">
        <v>437</v>
      </c>
      <c r="J136">
        <v>21.2</v>
      </c>
      <c r="K136">
        <v>396.9</v>
      </c>
      <c r="L136">
        <v>12.26</v>
      </c>
      <c r="M136">
        <v>19.600000000000001</v>
      </c>
      <c r="N136" s="107">
        <f t="shared" si="2"/>
        <v>19.173545161050555</v>
      </c>
      <c r="O136" s="92"/>
    </row>
    <row r="137" spans="1:15">
      <c r="A137">
        <v>1</v>
      </c>
      <c r="B137">
        <v>0.59004999999999996</v>
      </c>
      <c r="C137">
        <v>21.89</v>
      </c>
      <c r="D137">
        <v>0.624</v>
      </c>
      <c r="E137">
        <v>6.3719999999999999</v>
      </c>
      <c r="F137">
        <v>97.9</v>
      </c>
      <c r="G137">
        <v>2.3273999999999999</v>
      </c>
      <c r="H137">
        <v>4</v>
      </c>
      <c r="I137">
        <v>437</v>
      </c>
      <c r="J137">
        <v>21.2</v>
      </c>
      <c r="K137">
        <v>385.76</v>
      </c>
      <c r="L137">
        <v>11.12</v>
      </c>
      <c r="M137">
        <v>23</v>
      </c>
      <c r="N137" s="107">
        <f t="shared" si="2"/>
        <v>19.843337367545541</v>
      </c>
      <c r="O137" s="92"/>
    </row>
    <row r="138" spans="1:15">
      <c r="A138">
        <v>1</v>
      </c>
      <c r="B138">
        <v>0.32982</v>
      </c>
      <c r="C138">
        <v>21.89</v>
      </c>
      <c r="D138">
        <v>0.624</v>
      </c>
      <c r="E138">
        <v>5.8220000000000001</v>
      </c>
      <c r="F138">
        <v>95.4</v>
      </c>
      <c r="G138">
        <v>2.4699</v>
      </c>
      <c r="H138">
        <v>4</v>
      </c>
      <c r="I138">
        <v>437</v>
      </c>
      <c r="J138">
        <v>21.2</v>
      </c>
      <c r="K138">
        <v>388.69</v>
      </c>
      <c r="L138">
        <v>15.03</v>
      </c>
      <c r="M138">
        <v>18.399999999999999</v>
      </c>
      <c r="N138" s="107">
        <f t="shared" si="2"/>
        <v>15.439341764047414</v>
      </c>
      <c r="O138" s="92"/>
    </row>
    <row r="139" spans="1:15">
      <c r="A139">
        <v>1</v>
      </c>
      <c r="B139">
        <v>0.97616999999999998</v>
      </c>
      <c r="C139">
        <v>21.89</v>
      </c>
      <c r="D139">
        <v>0.624</v>
      </c>
      <c r="E139">
        <v>5.7569999999999997</v>
      </c>
      <c r="F139">
        <v>98.4</v>
      </c>
      <c r="G139">
        <v>2.3460000000000001</v>
      </c>
      <c r="H139">
        <v>4</v>
      </c>
      <c r="I139">
        <v>437</v>
      </c>
      <c r="J139">
        <v>21.2</v>
      </c>
      <c r="K139">
        <v>262.76</v>
      </c>
      <c r="L139">
        <v>17.309999999999999</v>
      </c>
      <c r="M139">
        <v>15.6</v>
      </c>
      <c r="N139" s="107">
        <f t="shared" si="2"/>
        <v>12.811659251833788</v>
      </c>
      <c r="O139" s="92"/>
    </row>
    <row r="140" spans="1:15">
      <c r="A140">
        <v>1</v>
      </c>
      <c r="B140">
        <v>0.55778000000000005</v>
      </c>
      <c r="C140">
        <v>21.89</v>
      </c>
      <c r="D140">
        <v>0.624</v>
      </c>
      <c r="E140">
        <v>6.335</v>
      </c>
      <c r="F140">
        <v>98.2</v>
      </c>
      <c r="G140">
        <v>2.1107</v>
      </c>
      <c r="H140">
        <v>4</v>
      </c>
      <c r="I140">
        <v>437</v>
      </c>
      <c r="J140">
        <v>21.2</v>
      </c>
      <c r="K140">
        <v>394.67</v>
      </c>
      <c r="L140">
        <v>16.96</v>
      </c>
      <c r="M140">
        <v>18.100000000000001</v>
      </c>
      <c r="N140" s="107">
        <f t="shared" si="2"/>
        <v>16.978747695535066</v>
      </c>
      <c r="O140" s="92"/>
    </row>
    <row r="141" spans="1:15">
      <c r="A141">
        <v>1</v>
      </c>
      <c r="B141">
        <v>0.32263999999999998</v>
      </c>
      <c r="C141">
        <v>21.89</v>
      </c>
      <c r="D141">
        <v>0.624</v>
      </c>
      <c r="E141">
        <v>5.9420000000000002</v>
      </c>
      <c r="F141">
        <v>93.5</v>
      </c>
      <c r="G141">
        <v>1.9669000000000001</v>
      </c>
      <c r="H141">
        <v>4</v>
      </c>
      <c r="I141">
        <v>437</v>
      </c>
      <c r="J141">
        <v>21.2</v>
      </c>
      <c r="K141">
        <v>378.25</v>
      </c>
      <c r="L141">
        <v>16.899999999999999</v>
      </c>
      <c r="M141">
        <v>17.399999999999999</v>
      </c>
      <c r="N141" s="107">
        <f t="shared" si="2"/>
        <v>15.458004755831583</v>
      </c>
      <c r="O141" s="92"/>
    </row>
    <row r="142" spans="1:15">
      <c r="A142">
        <v>1</v>
      </c>
      <c r="B142">
        <v>0.35232999999999998</v>
      </c>
      <c r="C142">
        <v>21.89</v>
      </c>
      <c r="D142">
        <v>0.624</v>
      </c>
      <c r="E142">
        <v>6.4539999999999997</v>
      </c>
      <c r="F142">
        <v>98.4</v>
      </c>
      <c r="G142">
        <v>1.8498000000000001</v>
      </c>
      <c r="H142">
        <v>4</v>
      </c>
      <c r="I142">
        <v>437</v>
      </c>
      <c r="J142">
        <v>21.2</v>
      </c>
      <c r="K142">
        <v>394.08</v>
      </c>
      <c r="L142">
        <v>14.59</v>
      </c>
      <c r="M142">
        <v>17.100000000000001</v>
      </c>
      <c r="N142" s="107">
        <f t="shared" si="2"/>
        <v>19.038657455334153</v>
      </c>
      <c r="O142" s="92"/>
    </row>
    <row r="143" spans="1:15">
      <c r="A143">
        <v>1</v>
      </c>
      <c r="B143">
        <v>0.24979999999999999</v>
      </c>
      <c r="C143">
        <v>21.89</v>
      </c>
      <c r="D143">
        <v>0.624</v>
      </c>
      <c r="E143">
        <v>5.8570000000000002</v>
      </c>
      <c r="F143">
        <v>98.2</v>
      </c>
      <c r="G143">
        <v>1.6686000000000001</v>
      </c>
      <c r="H143">
        <v>4</v>
      </c>
      <c r="I143">
        <v>437</v>
      </c>
      <c r="J143">
        <v>21.2</v>
      </c>
      <c r="K143">
        <v>392.04</v>
      </c>
      <c r="L143">
        <v>21.32</v>
      </c>
      <c r="M143">
        <v>13.3</v>
      </c>
      <c r="N143" s="107">
        <f t="shared" si="2"/>
        <v>13.282832540952644</v>
      </c>
      <c r="O143" s="92"/>
    </row>
    <row r="144" spans="1:15">
      <c r="A144">
        <v>1</v>
      </c>
      <c r="B144">
        <v>0.54452</v>
      </c>
      <c r="C144">
        <v>21.89</v>
      </c>
      <c r="D144">
        <v>0.624</v>
      </c>
      <c r="E144">
        <v>6.1509999999999998</v>
      </c>
      <c r="F144">
        <v>97.9</v>
      </c>
      <c r="G144">
        <v>1.6687000000000001</v>
      </c>
      <c r="H144">
        <v>4</v>
      </c>
      <c r="I144">
        <v>437</v>
      </c>
      <c r="J144">
        <v>21.2</v>
      </c>
      <c r="K144">
        <v>396.9</v>
      </c>
      <c r="L144">
        <v>18.46</v>
      </c>
      <c r="M144">
        <v>17.8</v>
      </c>
      <c r="N144" s="107">
        <f t="shared" si="2"/>
        <v>16.000492724618351</v>
      </c>
      <c r="O144" s="92"/>
    </row>
    <row r="145" spans="1:15">
      <c r="A145">
        <v>1</v>
      </c>
      <c r="B145">
        <v>0.29089999999999999</v>
      </c>
      <c r="C145">
        <v>21.89</v>
      </c>
      <c r="D145">
        <v>0.624</v>
      </c>
      <c r="E145">
        <v>6.1740000000000004</v>
      </c>
      <c r="F145">
        <v>93.6</v>
      </c>
      <c r="G145">
        <v>1.6119000000000001</v>
      </c>
      <c r="H145">
        <v>4</v>
      </c>
      <c r="I145">
        <v>437</v>
      </c>
      <c r="J145">
        <v>21.2</v>
      </c>
      <c r="K145">
        <v>388.08</v>
      </c>
      <c r="L145">
        <v>24.16</v>
      </c>
      <c r="M145">
        <v>14</v>
      </c>
      <c r="N145" s="107">
        <f t="shared" si="2"/>
        <v>13.120728480909419</v>
      </c>
      <c r="O145" s="92"/>
    </row>
    <row r="146" spans="1:15">
      <c r="A146">
        <v>1</v>
      </c>
      <c r="B146">
        <v>1.6286400000000001</v>
      </c>
      <c r="C146">
        <v>21.89</v>
      </c>
      <c r="D146">
        <v>0.624</v>
      </c>
      <c r="E146">
        <v>5.0190000000000001</v>
      </c>
      <c r="F146">
        <v>100</v>
      </c>
      <c r="G146">
        <v>1.4394</v>
      </c>
      <c r="H146">
        <v>4</v>
      </c>
      <c r="I146">
        <v>437</v>
      </c>
      <c r="J146">
        <v>21.2</v>
      </c>
      <c r="K146">
        <v>396.9</v>
      </c>
      <c r="L146">
        <v>34.409999999999997</v>
      </c>
      <c r="M146">
        <v>14.4</v>
      </c>
      <c r="N146" s="107">
        <f t="shared" si="2"/>
        <v>3.1732308490581751</v>
      </c>
      <c r="O146" s="92"/>
    </row>
    <row r="147" spans="1:15">
      <c r="A147">
        <v>1</v>
      </c>
      <c r="B147">
        <v>3.3210500000000001</v>
      </c>
      <c r="C147">
        <v>19.579999999999998</v>
      </c>
      <c r="D147">
        <v>0.871</v>
      </c>
      <c r="E147">
        <v>5.4029999999999996</v>
      </c>
      <c r="F147">
        <v>100</v>
      </c>
      <c r="G147">
        <v>1.3216000000000001</v>
      </c>
      <c r="H147">
        <v>5</v>
      </c>
      <c r="I147">
        <v>403</v>
      </c>
      <c r="J147">
        <v>14.7</v>
      </c>
      <c r="K147">
        <v>396.9</v>
      </c>
      <c r="L147">
        <v>26.82</v>
      </c>
      <c r="M147">
        <v>13.4</v>
      </c>
      <c r="N147" s="107">
        <f t="shared" si="2"/>
        <v>12.272472672925588</v>
      </c>
      <c r="O147" s="92"/>
    </row>
    <row r="148" spans="1:15">
      <c r="A148">
        <v>1</v>
      </c>
      <c r="B148">
        <v>4.0974000000000004</v>
      </c>
      <c r="C148">
        <v>19.579999999999998</v>
      </c>
      <c r="D148">
        <v>0.871</v>
      </c>
      <c r="E148">
        <v>5.468</v>
      </c>
      <c r="F148">
        <v>100</v>
      </c>
      <c r="G148">
        <v>1.4117999999999999</v>
      </c>
      <c r="H148">
        <v>5</v>
      </c>
      <c r="I148">
        <v>403</v>
      </c>
      <c r="J148">
        <v>14.7</v>
      </c>
      <c r="K148">
        <v>396.9</v>
      </c>
      <c r="L148">
        <v>26.42</v>
      </c>
      <c r="M148">
        <v>15.6</v>
      </c>
      <c r="N148" s="107">
        <f t="shared" si="2"/>
        <v>12.557901546919245</v>
      </c>
      <c r="O148" s="92"/>
    </row>
    <row r="149" spans="1:15">
      <c r="A149">
        <v>1</v>
      </c>
      <c r="B149">
        <v>2.7797399999999999</v>
      </c>
      <c r="C149">
        <v>19.579999999999998</v>
      </c>
      <c r="D149">
        <v>0.871</v>
      </c>
      <c r="E149">
        <v>4.9029999999999996</v>
      </c>
      <c r="F149">
        <v>97.8</v>
      </c>
      <c r="G149">
        <v>1.3459000000000001</v>
      </c>
      <c r="H149">
        <v>5</v>
      </c>
      <c r="I149">
        <v>403</v>
      </c>
      <c r="J149">
        <v>14.7</v>
      </c>
      <c r="K149">
        <v>396.9</v>
      </c>
      <c r="L149">
        <v>29.29</v>
      </c>
      <c r="M149">
        <v>11.8</v>
      </c>
      <c r="N149" s="107">
        <f t="shared" si="2"/>
        <v>8.970742981464646</v>
      </c>
      <c r="O149" s="92"/>
    </row>
    <row r="150" spans="1:15">
      <c r="A150">
        <v>1</v>
      </c>
      <c r="B150">
        <v>2.37934</v>
      </c>
      <c r="C150">
        <v>19.579999999999998</v>
      </c>
      <c r="D150">
        <v>0.871</v>
      </c>
      <c r="E150">
        <v>6.13</v>
      </c>
      <c r="F150">
        <v>100</v>
      </c>
      <c r="G150">
        <v>1.4191</v>
      </c>
      <c r="H150">
        <v>5</v>
      </c>
      <c r="I150">
        <v>403</v>
      </c>
      <c r="J150">
        <v>14.7</v>
      </c>
      <c r="K150">
        <v>172.91</v>
      </c>
      <c r="L150">
        <v>27.8</v>
      </c>
      <c r="M150">
        <v>13.8</v>
      </c>
      <c r="N150" s="107">
        <f t="shared" si="2"/>
        <v>12.492272953133616</v>
      </c>
      <c r="O150" s="92"/>
    </row>
    <row r="151" spans="1:15">
      <c r="A151">
        <v>1</v>
      </c>
      <c r="B151">
        <v>2.1550500000000001</v>
      </c>
      <c r="C151">
        <v>19.579999999999998</v>
      </c>
      <c r="D151">
        <v>0.871</v>
      </c>
      <c r="E151">
        <v>5.6280000000000001</v>
      </c>
      <c r="F151">
        <v>100</v>
      </c>
      <c r="G151">
        <v>1.5165999999999999</v>
      </c>
      <c r="H151">
        <v>5</v>
      </c>
      <c r="I151">
        <v>403</v>
      </c>
      <c r="J151">
        <v>14.7</v>
      </c>
      <c r="K151">
        <v>169.27</v>
      </c>
      <c r="L151">
        <v>16.649999999999999</v>
      </c>
      <c r="M151">
        <v>15.6</v>
      </c>
      <c r="N151" s="107">
        <f t="shared" si="2"/>
        <v>16.170822155750862</v>
      </c>
      <c r="O151" s="92"/>
    </row>
    <row r="152" spans="1:15">
      <c r="A152">
        <v>1</v>
      </c>
      <c r="B152">
        <v>2.3686199999999999</v>
      </c>
      <c r="C152">
        <v>19.579999999999998</v>
      </c>
      <c r="D152">
        <v>0.871</v>
      </c>
      <c r="E152">
        <v>4.9260000000000002</v>
      </c>
      <c r="F152">
        <v>95.7</v>
      </c>
      <c r="G152">
        <v>1.4608000000000001</v>
      </c>
      <c r="H152">
        <v>5</v>
      </c>
      <c r="I152">
        <v>403</v>
      </c>
      <c r="J152">
        <v>14.7</v>
      </c>
      <c r="K152">
        <v>391.71</v>
      </c>
      <c r="L152">
        <v>29.53</v>
      </c>
      <c r="M152">
        <v>14.6</v>
      </c>
      <c r="N152" s="107">
        <f t="shared" si="2"/>
        <v>8.7963156639204758</v>
      </c>
      <c r="O152" s="92"/>
    </row>
    <row r="153" spans="1:15">
      <c r="A153">
        <v>1</v>
      </c>
      <c r="B153">
        <v>2.3309899999999999</v>
      </c>
      <c r="C153">
        <v>19.579999999999998</v>
      </c>
      <c r="D153">
        <v>0.871</v>
      </c>
      <c r="E153">
        <v>5.1859999999999999</v>
      </c>
      <c r="F153">
        <v>93.8</v>
      </c>
      <c r="G153">
        <v>1.5296000000000001</v>
      </c>
      <c r="H153">
        <v>5</v>
      </c>
      <c r="I153">
        <v>403</v>
      </c>
      <c r="J153">
        <v>14.7</v>
      </c>
      <c r="K153">
        <v>356.99</v>
      </c>
      <c r="L153">
        <v>28.32</v>
      </c>
      <c r="M153">
        <v>17.8</v>
      </c>
      <c r="N153" s="107">
        <f t="shared" si="2"/>
        <v>10.074537509941859</v>
      </c>
      <c r="O153" s="92"/>
    </row>
    <row r="154" spans="1:15">
      <c r="A154">
        <v>1</v>
      </c>
      <c r="B154">
        <v>2.7339699999999998</v>
      </c>
      <c r="C154">
        <v>19.579999999999998</v>
      </c>
      <c r="D154">
        <v>0.871</v>
      </c>
      <c r="E154">
        <v>5.5970000000000004</v>
      </c>
      <c r="F154">
        <v>94.9</v>
      </c>
      <c r="G154">
        <v>1.5257000000000001</v>
      </c>
      <c r="H154">
        <v>5</v>
      </c>
      <c r="I154">
        <v>403</v>
      </c>
      <c r="J154">
        <v>14.7</v>
      </c>
      <c r="K154">
        <v>351.85</v>
      </c>
      <c r="L154">
        <v>21.45</v>
      </c>
      <c r="M154">
        <v>15.4</v>
      </c>
      <c r="N154" s="107">
        <f t="shared" si="2"/>
        <v>15.265845464523315</v>
      </c>
      <c r="O154" s="92"/>
    </row>
    <row r="155" spans="1:15">
      <c r="A155">
        <v>1</v>
      </c>
      <c r="B155">
        <v>1.6566000000000001</v>
      </c>
      <c r="C155">
        <v>19.579999999999998</v>
      </c>
      <c r="D155">
        <v>0.871</v>
      </c>
      <c r="E155">
        <v>6.1219999999999999</v>
      </c>
      <c r="F155">
        <v>97.3</v>
      </c>
      <c r="G155">
        <v>1.6180000000000001</v>
      </c>
      <c r="H155">
        <v>5</v>
      </c>
      <c r="I155">
        <v>403</v>
      </c>
      <c r="J155">
        <v>14.7</v>
      </c>
      <c r="K155">
        <v>372.8</v>
      </c>
      <c r="L155">
        <v>14.1</v>
      </c>
      <c r="M155">
        <v>21.5</v>
      </c>
      <c r="N155" s="107">
        <f t="shared" si="2"/>
        <v>21.463955829448501</v>
      </c>
      <c r="O155" s="92"/>
    </row>
    <row r="156" spans="1:15">
      <c r="A156">
        <v>1</v>
      </c>
      <c r="B156">
        <v>1.4963200000000001</v>
      </c>
      <c r="C156">
        <v>19.579999999999998</v>
      </c>
      <c r="D156">
        <v>0.871</v>
      </c>
      <c r="E156">
        <v>5.4039999999999999</v>
      </c>
      <c r="F156">
        <v>100</v>
      </c>
      <c r="G156">
        <v>1.5915999999999999</v>
      </c>
      <c r="H156">
        <v>5</v>
      </c>
      <c r="I156">
        <v>403</v>
      </c>
      <c r="J156">
        <v>14.7</v>
      </c>
      <c r="K156">
        <v>341.6</v>
      </c>
      <c r="L156">
        <v>13.28</v>
      </c>
      <c r="M156">
        <v>19.600000000000001</v>
      </c>
      <c r="N156" s="107">
        <f t="shared" si="2"/>
        <v>18.703057737070338</v>
      </c>
      <c r="O156" s="92"/>
    </row>
    <row r="157" spans="1:15">
      <c r="A157">
        <v>1</v>
      </c>
      <c r="B157">
        <v>1.1265799999999999</v>
      </c>
      <c r="C157">
        <v>19.579999999999998</v>
      </c>
      <c r="D157">
        <v>0.871</v>
      </c>
      <c r="E157">
        <v>5.0119999999999996</v>
      </c>
      <c r="F157">
        <v>88</v>
      </c>
      <c r="G157">
        <v>1.6102000000000001</v>
      </c>
      <c r="H157">
        <v>5</v>
      </c>
      <c r="I157">
        <v>403</v>
      </c>
      <c r="J157">
        <v>14.7</v>
      </c>
      <c r="K157">
        <v>343.28</v>
      </c>
      <c r="L157">
        <v>12.12</v>
      </c>
      <c r="M157">
        <v>15.3</v>
      </c>
      <c r="N157" s="107">
        <f t="shared" si="2"/>
        <v>17.779022611936906</v>
      </c>
      <c r="O157" s="92"/>
    </row>
    <row r="158" spans="1:15">
      <c r="A158">
        <v>1</v>
      </c>
      <c r="B158">
        <v>2.1491799999999999</v>
      </c>
      <c r="C158">
        <v>19.579999999999998</v>
      </c>
      <c r="D158">
        <v>0.871</v>
      </c>
      <c r="E158">
        <v>5.7089999999999996</v>
      </c>
      <c r="F158">
        <v>98.5</v>
      </c>
      <c r="G158">
        <v>1.6232</v>
      </c>
      <c r="H158">
        <v>5</v>
      </c>
      <c r="I158">
        <v>403</v>
      </c>
      <c r="J158">
        <v>14.7</v>
      </c>
      <c r="K158">
        <v>261.95</v>
      </c>
      <c r="L158">
        <v>15.79</v>
      </c>
      <c r="M158">
        <v>19.399999999999999</v>
      </c>
      <c r="N158" s="107">
        <f t="shared" si="2"/>
        <v>17.74120255824981</v>
      </c>
      <c r="O158" s="92"/>
    </row>
    <row r="159" spans="1:15">
      <c r="A159">
        <v>1</v>
      </c>
      <c r="B159">
        <v>1.4138500000000001</v>
      </c>
      <c r="C159">
        <v>19.579999999999998</v>
      </c>
      <c r="D159">
        <v>0.871</v>
      </c>
      <c r="E159">
        <v>6.1289999999999996</v>
      </c>
      <c r="F159">
        <v>96</v>
      </c>
      <c r="G159">
        <v>1.7494000000000001</v>
      </c>
      <c r="H159">
        <v>5</v>
      </c>
      <c r="I159">
        <v>403</v>
      </c>
      <c r="J159">
        <v>14.7</v>
      </c>
      <c r="K159">
        <v>321.02</v>
      </c>
      <c r="L159">
        <v>15.12</v>
      </c>
      <c r="M159">
        <v>17</v>
      </c>
      <c r="N159" s="107">
        <f t="shared" si="2"/>
        <v>20.316212572847224</v>
      </c>
      <c r="O159" s="92"/>
    </row>
    <row r="160" spans="1:15">
      <c r="A160">
        <v>1</v>
      </c>
      <c r="B160">
        <v>3.5350100000000002</v>
      </c>
      <c r="C160">
        <v>19.579999999999998</v>
      </c>
      <c r="D160">
        <v>0.871</v>
      </c>
      <c r="E160">
        <v>6.1520000000000001</v>
      </c>
      <c r="F160">
        <v>82.6</v>
      </c>
      <c r="G160">
        <v>1.7455000000000001</v>
      </c>
      <c r="H160">
        <v>5</v>
      </c>
      <c r="I160">
        <v>403</v>
      </c>
      <c r="J160">
        <v>14.7</v>
      </c>
      <c r="K160">
        <v>88.01</v>
      </c>
      <c r="L160">
        <v>15.02</v>
      </c>
      <c r="M160">
        <v>15.6</v>
      </c>
      <c r="N160" s="107">
        <f t="shared" si="2"/>
        <v>17.987321793386599</v>
      </c>
      <c r="O160" s="92"/>
    </row>
    <row r="161" spans="1:15">
      <c r="A161">
        <v>1</v>
      </c>
      <c r="B161">
        <v>2.4466800000000002</v>
      </c>
      <c r="C161">
        <v>19.579999999999998</v>
      </c>
      <c r="D161">
        <v>0.871</v>
      </c>
      <c r="E161">
        <v>5.2720000000000002</v>
      </c>
      <c r="F161">
        <v>94</v>
      </c>
      <c r="G161">
        <v>1.7363999999999999</v>
      </c>
      <c r="H161">
        <v>5</v>
      </c>
      <c r="I161">
        <v>403</v>
      </c>
      <c r="J161">
        <v>14.7</v>
      </c>
      <c r="K161">
        <v>88.63</v>
      </c>
      <c r="L161">
        <v>16.14</v>
      </c>
      <c r="M161">
        <v>13.1</v>
      </c>
      <c r="N161" s="107">
        <f t="shared" si="2"/>
        <v>13.913271677460475</v>
      </c>
      <c r="O161" s="92"/>
    </row>
    <row r="162" spans="1:15">
      <c r="A162">
        <v>1</v>
      </c>
      <c r="B162">
        <v>1.2235799999999999</v>
      </c>
      <c r="C162">
        <v>19.579999999999998</v>
      </c>
      <c r="D162">
        <v>0.60499999999999998</v>
      </c>
      <c r="E162">
        <v>6.9429999999999996</v>
      </c>
      <c r="F162">
        <v>97.4</v>
      </c>
      <c r="G162">
        <v>1.8773</v>
      </c>
      <c r="H162">
        <v>5</v>
      </c>
      <c r="I162">
        <v>403</v>
      </c>
      <c r="J162">
        <v>14.7</v>
      </c>
      <c r="K162">
        <v>363.43</v>
      </c>
      <c r="L162">
        <v>4.59</v>
      </c>
      <c r="M162">
        <v>41.3</v>
      </c>
      <c r="N162" s="107">
        <f t="shared" si="2"/>
        <v>34.183401175477123</v>
      </c>
      <c r="O162" s="92"/>
    </row>
    <row r="163" spans="1:15">
      <c r="A163">
        <v>1</v>
      </c>
      <c r="B163">
        <v>1.34284</v>
      </c>
      <c r="C163">
        <v>19.579999999999998</v>
      </c>
      <c r="D163">
        <v>0.60499999999999998</v>
      </c>
      <c r="E163">
        <v>6.0659999999999998</v>
      </c>
      <c r="F163">
        <v>100</v>
      </c>
      <c r="G163">
        <v>1.7573000000000001</v>
      </c>
      <c r="H163">
        <v>5</v>
      </c>
      <c r="I163">
        <v>403</v>
      </c>
      <c r="J163">
        <v>14.7</v>
      </c>
      <c r="K163">
        <v>353.89</v>
      </c>
      <c r="L163">
        <v>6.43</v>
      </c>
      <c r="M163">
        <v>24.3</v>
      </c>
      <c r="N163" s="107">
        <f t="shared" si="2"/>
        <v>29.676044271422722</v>
      </c>
      <c r="O163" s="92"/>
    </row>
    <row r="164" spans="1:15">
      <c r="A164">
        <v>1</v>
      </c>
      <c r="B164">
        <v>1.42502</v>
      </c>
      <c r="C164">
        <v>19.579999999999998</v>
      </c>
      <c r="D164">
        <v>0.871</v>
      </c>
      <c r="E164">
        <v>6.51</v>
      </c>
      <c r="F164">
        <v>100</v>
      </c>
      <c r="G164">
        <v>1.7659</v>
      </c>
      <c r="H164">
        <v>5</v>
      </c>
      <c r="I164">
        <v>403</v>
      </c>
      <c r="J164">
        <v>14.7</v>
      </c>
      <c r="K164">
        <v>364.31</v>
      </c>
      <c r="L164">
        <v>7.39</v>
      </c>
      <c r="M164">
        <v>23.3</v>
      </c>
      <c r="N164" s="107">
        <f t="shared" si="2"/>
        <v>26.32220660212834</v>
      </c>
      <c r="O164" s="92"/>
    </row>
    <row r="165" spans="1:15">
      <c r="A165">
        <v>1</v>
      </c>
      <c r="B165">
        <v>1.27346</v>
      </c>
      <c r="C165">
        <v>19.579999999999998</v>
      </c>
      <c r="D165">
        <v>0.60499999999999998</v>
      </c>
      <c r="E165">
        <v>6.25</v>
      </c>
      <c r="F165">
        <v>92.6</v>
      </c>
      <c r="G165">
        <v>1.7984</v>
      </c>
      <c r="H165">
        <v>5</v>
      </c>
      <c r="I165">
        <v>403</v>
      </c>
      <c r="J165">
        <v>14.7</v>
      </c>
      <c r="K165">
        <v>338.92</v>
      </c>
      <c r="L165">
        <v>5.5</v>
      </c>
      <c r="M165">
        <v>27</v>
      </c>
      <c r="N165" s="107">
        <f t="shared" si="2"/>
        <v>30.743561971869902</v>
      </c>
      <c r="O165" s="92"/>
    </row>
    <row r="166" spans="1:15">
      <c r="A166">
        <v>1</v>
      </c>
      <c r="B166">
        <v>1.46336</v>
      </c>
      <c r="C166">
        <v>19.579999999999998</v>
      </c>
      <c r="D166">
        <v>0.60499999999999998</v>
      </c>
      <c r="E166">
        <v>7.4889999999999999</v>
      </c>
      <c r="F166">
        <v>90.8</v>
      </c>
      <c r="G166">
        <v>1.9709000000000001</v>
      </c>
      <c r="H166">
        <v>5</v>
      </c>
      <c r="I166">
        <v>403</v>
      </c>
      <c r="J166">
        <v>14.7</v>
      </c>
      <c r="K166">
        <v>374.43</v>
      </c>
      <c r="L166">
        <v>1.73</v>
      </c>
      <c r="M166">
        <v>50</v>
      </c>
      <c r="N166" s="107">
        <f t="shared" si="2"/>
        <v>37.897508844596103</v>
      </c>
      <c r="O166" s="92"/>
    </row>
    <row r="167" spans="1:15">
      <c r="A167">
        <v>1</v>
      </c>
      <c r="B167">
        <v>1.8337699999999999</v>
      </c>
      <c r="C167">
        <v>19.579999999999998</v>
      </c>
      <c r="D167">
        <v>0.60499999999999998</v>
      </c>
      <c r="E167">
        <v>7.8019999999999996</v>
      </c>
      <c r="F167">
        <v>98.2</v>
      </c>
      <c r="G167">
        <v>2.0407000000000002</v>
      </c>
      <c r="H167">
        <v>5</v>
      </c>
      <c r="I167">
        <v>403</v>
      </c>
      <c r="J167">
        <v>14.7</v>
      </c>
      <c r="K167">
        <v>389.61</v>
      </c>
      <c r="L167">
        <v>1.92</v>
      </c>
      <c r="M167">
        <v>50</v>
      </c>
      <c r="N167" s="107">
        <f t="shared" si="2"/>
        <v>39.080243757890401</v>
      </c>
      <c r="O167" s="92"/>
    </row>
    <row r="168" spans="1:15">
      <c r="A168">
        <v>1</v>
      </c>
      <c r="B168">
        <v>1.51902</v>
      </c>
      <c r="C168">
        <v>19.579999999999998</v>
      </c>
      <c r="D168">
        <v>0.60499999999999998</v>
      </c>
      <c r="E168">
        <v>8.375</v>
      </c>
      <c r="F168">
        <v>93.9</v>
      </c>
      <c r="G168">
        <v>2.1619999999999999</v>
      </c>
      <c r="H168">
        <v>5</v>
      </c>
      <c r="I168">
        <v>403</v>
      </c>
      <c r="J168">
        <v>14.7</v>
      </c>
      <c r="K168">
        <v>388.45</v>
      </c>
      <c r="L168">
        <v>3.32</v>
      </c>
      <c r="M168">
        <v>50</v>
      </c>
      <c r="N168" s="107">
        <f t="shared" si="2"/>
        <v>40.565463557777285</v>
      </c>
      <c r="O168" s="92"/>
    </row>
    <row r="169" spans="1:15">
      <c r="A169">
        <v>1</v>
      </c>
      <c r="B169">
        <v>2.2423600000000001</v>
      </c>
      <c r="C169">
        <v>19.579999999999998</v>
      </c>
      <c r="D169">
        <v>0.60499999999999998</v>
      </c>
      <c r="E169">
        <v>5.8540000000000001</v>
      </c>
      <c r="F169">
        <v>91.8</v>
      </c>
      <c r="G169">
        <v>2.4220000000000002</v>
      </c>
      <c r="H169">
        <v>5</v>
      </c>
      <c r="I169">
        <v>403</v>
      </c>
      <c r="J169">
        <v>14.7</v>
      </c>
      <c r="K169">
        <v>395.11</v>
      </c>
      <c r="L169">
        <v>11.64</v>
      </c>
      <c r="M169">
        <v>22.7</v>
      </c>
      <c r="N169" s="107">
        <f t="shared" si="2"/>
        <v>25.607094111101944</v>
      </c>
      <c r="O169" s="92"/>
    </row>
    <row r="170" spans="1:15">
      <c r="A170">
        <v>1</v>
      </c>
      <c r="B170">
        <v>2.9239999999999999</v>
      </c>
      <c r="C170">
        <v>19.579999999999998</v>
      </c>
      <c r="D170">
        <v>0.60499999999999998</v>
      </c>
      <c r="E170">
        <v>6.101</v>
      </c>
      <c r="F170">
        <v>93</v>
      </c>
      <c r="G170">
        <v>2.2833999999999999</v>
      </c>
      <c r="H170">
        <v>5</v>
      </c>
      <c r="I170">
        <v>403</v>
      </c>
      <c r="J170">
        <v>14.7</v>
      </c>
      <c r="K170">
        <v>240.16</v>
      </c>
      <c r="L170">
        <v>9.81</v>
      </c>
      <c r="M170">
        <v>25</v>
      </c>
      <c r="N170" s="107">
        <f t="shared" si="2"/>
        <v>26.141620869703182</v>
      </c>
      <c r="O170" s="92"/>
    </row>
    <row r="171" spans="1:15">
      <c r="A171">
        <v>1</v>
      </c>
      <c r="B171">
        <v>2.0101900000000001</v>
      </c>
      <c r="C171">
        <v>19.579999999999998</v>
      </c>
      <c r="D171">
        <v>0.60499999999999998</v>
      </c>
      <c r="E171">
        <v>7.9290000000000003</v>
      </c>
      <c r="F171">
        <v>96.2</v>
      </c>
      <c r="G171">
        <v>2.0459000000000001</v>
      </c>
      <c r="H171">
        <v>5</v>
      </c>
      <c r="I171">
        <v>403</v>
      </c>
      <c r="J171">
        <v>14.7</v>
      </c>
      <c r="K171">
        <v>369.3</v>
      </c>
      <c r="L171">
        <v>3.7</v>
      </c>
      <c r="M171">
        <v>50</v>
      </c>
      <c r="N171" s="107">
        <f t="shared" si="2"/>
        <v>38.443695313161854</v>
      </c>
      <c r="O171" s="92"/>
    </row>
    <row r="172" spans="1:15">
      <c r="A172">
        <v>1</v>
      </c>
      <c r="B172">
        <v>1.8002800000000001</v>
      </c>
      <c r="C172">
        <v>19.579999999999998</v>
      </c>
      <c r="D172">
        <v>0.60499999999999998</v>
      </c>
      <c r="E172">
        <v>5.8769999999999998</v>
      </c>
      <c r="F172">
        <v>79.2</v>
      </c>
      <c r="G172">
        <v>2.4258999999999999</v>
      </c>
      <c r="H172">
        <v>5</v>
      </c>
      <c r="I172">
        <v>403</v>
      </c>
      <c r="J172">
        <v>14.7</v>
      </c>
      <c r="K172">
        <v>227.61</v>
      </c>
      <c r="L172">
        <v>12.14</v>
      </c>
      <c r="M172">
        <v>23.8</v>
      </c>
      <c r="N172" s="107">
        <f t="shared" si="2"/>
        <v>23.862149923668117</v>
      </c>
      <c r="O172" s="92"/>
    </row>
    <row r="173" spans="1:15">
      <c r="A173">
        <v>1</v>
      </c>
      <c r="B173">
        <v>2.3003999999999998</v>
      </c>
      <c r="C173">
        <v>19.579999999999998</v>
      </c>
      <c r="D173">
        <v>0.60499999999999998</v>
      </c>
      <c r="E173">
        <v>6.319</v>
      </c>
      <c r="F173">
        <v>96.1</v>
      </c>
      <c r="G173">
        <v>2.1</v>
      </c>
      <c r="H173">
        <v>5</v>
      </c>
      <c r="I173">
        <v>403</v>
      </c>
      <c r="J173">
        <v>14.7</v>
      </c>
      <c r="K173">
        <v>297.08999999999997</v>
      </c>
      <c r="L173">
        <v>11.1</v>
      </c>
      <c r="M173">
        <v>23.8</v>
      </c>
      <c r="N173" s="107">
        <f t="shared" si="2"/>
        <v>27.191675780066149</v>
      </c>
      <c r="O173" s="92"/>
    </row>
    <row r="174" spans="1:15">
      <c r="A174">
        <v>1</v>
      </c>
      <c r="B174">
        <v>2.4495300000000002</v>
      </c>
      <c r="C174">
        <v>19.579999999999998</v>
      </c>
      <c r="D174">
        <v>0.60499999999999998</v>
      </c>
      <c r="E174">
        <v>6.4020000000000001</v>
      </c>
      <c r="F174">
        <v>95.2</v>
      </c>
      <c r="G174">
        <v>2.2625000000000002</v>
      </c>
      <c r="H174">
        <v>5</v>
      </c>
      <c r="I174">
        <v>403</v>
      </c>
      <c r="J174">
        <v>14.7</v>
      </c>
      <c r="K174">
        <v>330.04</v>
      </c>
      <c r="L174">
        <v>11.32</v>
      </c>
      <c r="M174">
        <v>22.3</v>
      </c>
      <c r="N174" s="107">
        <f t="shared" si="2"/>
        <v>27.529313138650895</v>
      </c>
      <c r="O174" s="92"/>
    </row>
    <row r="175" spans="1:15">
      <c r="A175">
        <v>1</v>
      </c>
      <c r="B175">
        <v>1.2074199999999999</v>
      </c>
      <c r="C175">
        <v>19.579999999999998</v>
      </c>
      <c r="D175">
        <v>0.60499999999999998</v>
      </c>
      <c r="E175">
        <v>5.875</v>
      </c>
      <c r="F175">
        <v>94.6</v>
      </c>
      <c r="G175">
        <v>2.4258999999999999</v>
      </c>
      <c r="H175">
        <v>5</v>
      </c>
      <c r="I175">
        <v>403</v>
      </c>
      <c r="J175">
        <v>14.7</v>
      </c>
      <c r="K175">
        <v>292.29000000000002</v>
      </c>
      <c r="L175">
        <v>14.43</v>
      </c>
      <c r="M175">
        <v>17.399999999999999</v>
      </c>
      <c r="N175" s="107">
        <f t="shared" si="2"/>
        <v>23.309452533427631</v>
      </c>
      <c r="O175" s="92"/>
    </row>
    <row r="176" spans="1:15">
      <c r="A176">
        <v>1</v>
      </c>
      <c r="B176">
        <v>2.3138999999999998</v>
      </c>
      <c r="C176">
        <v>19.579999999999998</v>
      </c>
      <c r="D176">
        <v>0.60499999999999998</v>
      </c>
      <c r="E176">
        <v>5.88</v>
      </c>
      <c r="F176">
        <v>97.3</v>
      </c>
      <c r="G176">
        <v>2.3887</v>
      </c>
      <c r="H176">
        <v>5</v>
      </c>
      <c r="I176">
        <v>403</v>
      </c>
      <c r="J176">
        <v>14.7</v>
      </c>
      <c r="K176">
        <v>348.13</v>
      </c>
      <c r="L176">
        <v>12.03</v>
      </c>
      <c r="M176">
        <v>19.100000000000001</v>
      </c>
      <c r="N176" s="107">
        <f t="shared" si="2"/>
        <v>25.063677028255</v>
      </c>
      <c r="O176" s="92"/>
    </row>
    <row r="177" spans="1:15">
      <c r="A177">
        <v>1</v>
      </c>
      <c r="B177">
        <v>0.13914000000000001</v>
      </c>
      <c r="C177">
        <v>4.05</v>
      </c>
      <c r="D177">
        <v>0.51</v>
      </c>
      <c r="E177">
        <v>5.5720000000000001</v>
      </c>
      <c r="F177">
        <v>88.5</v>
      </c>
      <c r="G177">
        <v>2.5960999999999999</v>
      </c>
      <c r="H177">
        <v>5</v>
      </c>
      <c r="I177">
        <v>296</v>
      </c>
      <c r="J177">
        <v>16.600000000000001</v>
      </c>
      <c r="K177">
        <v>396.9</v>
      </c>
      <c r="L177">
        <v>14.69</v>
      </c>
      <c r="M177">
        <v>23.1</v>
      </c>
      <c r="N177" s="107">
        <f t="shared" si="2"/>
        <v>23.318014854497768</v>
      </c>
      <c r="O177" s="92"/>
    </row>
    <row r="178" spans="1:15">
      <c r="A178">
        <v>1</v>
      </c>
      <c r="B178">
        <v>9.178E-2</v>
      </c>
      <c r="C178">
        <v>4.05</v>
      </c>
      <c r="D178">
        <v>0.51</v>
      </c>
      <c r="E178">
        <v>6.4160000000000004</v>
      </c>
      <c r="F178">
        <v>84.1</v>
      </c>
      <c r="G178">
        <v>2.6463000000000001</v>
      </c>
      <c r="H178">
        <v>5</v>
      </c>
      <c r="I178">
        <v>296</v>
      </c>
      <c r="J178">
        <v>16.600000000000001</v>
      </c>
      <c r="K178">
        <v>395.5</v>
      </c>
      <c r="L178">
        <v>9.0399999999999991</v>
      </c>
      <c r="M178">
        <v>23.6</v>
      </c>
      <c r="N178" s="107">
        <f t="shared" si="2"/>
        <v>29.665445351720951</v>
      </c>
      <c r="O178" s="92"/>
    </row>
    <row r="179" spans="1:15">
      <c r="A179">
        <v>1</v>
      </c>
      <c r="B179">
        <v>8.4470000000000003E-2</v>
      </c>
      <c r="C179">
        <v>4.05</v>
      </c>
      <c r="D179">
        <v>0.51</v>
      </c>
      <c r="E179">
        <v>5.859</v>
      </c>
      <c r="F179">
        <v>68.7</v>
      </c>
      <c r="G179">
        <v>2.7019000000000002</v>
      </c>
      <c r="H179">
        <v>5</v>
      </c>
      <c r="I179">
        <v>296</v>
      </c>
      <c r="J179">
        <v>16.600000000000001</v>
      </c>
      <c r="K179">
        <v>393.23</v>
      </c>
      <c r="L179">
        <v>9.64</v>
      </c>
      <c r="M179">
        <v>22.6</v>
      </c>
      <c r="N179" s="107">
        <f t="shared" si="2"/>
        <v>27.032835648375332</v>
      </c>
      <c r="O179" s="92"/>
    </row>
    <row r="180" spans="1:15">
      <c r="A180">
        <v>1</v>
      </c>
      <c r="B180">
        <v>6.6640000000000005E-2</v>
      </c>
      <c r="C180">
        <v>4.05</v>
      </c>
      <c r="D180">
        <v>0.51</v>
      </c>
      <c r="E180">
        <v>6.5460000000000003</v>
      </c>
      <c r="F180">
        <v>33.1</v>
      </c>
      <c r="G180">
        <v>3.1322999999999999</v>
      </c>
      <c r="H180">
        <v>5</v>
      </c>
      <c r="I180">
        <v>296</v>
      </c>
      <c r="J180">
        <v>16.600000000000001</v>
      </c>
      <c r="K180">
        <v>390.96</v>
      </c>
      <c r="L180">
        <v>5.33</v>
      </c>
      <c r="M180">
        <v>29.4</v>
      </c>
      <c r="N180" s="107">
        <f t="shared" si="2"/>
        <v>31.647834013262827</v>
      </c>
      <c r="O180" s="92"/>
    </row>
    <row r="181" spans="1:15">
      <c r="A181">
        <v>1</v>
      </c>
      <c r="B181">
        <v>7.0220000000000005E-2</v>
      </c>
      <c r="C181">
        <v>4.05</v>
      </c>
      <c r="D181">
        <v>0.51</v>
      </c>
      <c r="E181">
        <v>6.02</v>
      </c>
      <c r="F181">
        <v>47.2</v>
      </c>
      <c r="G181">
        <v>3.5548999999999999</v>
      </c>
      <c r="H181">
        <v>5</v>
      </c>
      <c r="I181">
        <v>296</v>
      </c>
      <c r="J181">
        <v>16.600000000000001</v>
      </c>
      <c r="K181">
        <v>393.23</v>
      </c>
      <c r="L181">
        <v>10.11</v>
      </c>
      <c r="M181">
        <v>23.2</v>
      </c>
      <c r="N181" s="107">
        <f t="shared" si="2"/>
        <v>26.468120364345744</v>
      </c>
      <c r="O181" s="92"/>
    </row>
    <row r="182" spans="1:15">
      <c r="A182">
        <v>1</v>
      </c>
      <c r="B182">
        <v>5.425E-2</v>
      </c>
      <c r="C182">
        <v>4.05</v>
      </c>
      <c r="D182">
        <v>0.51</v>
      </c>
      <c r="E182">
        <v>6.3150000000000004</v>
      </c>
      <c r="F182">
        <v>73.400000000000006</v>
      </c>
      <c r="G182">
        <v>3.3174999999999999</v>
      </c>
      <c r="H182">
        <v>5</v>
      </c>
      <c r="I182">
        <v>296</v>
      </c>
      <c r="J182">
        <v>16.600000000000001</v>
      </c>
      <c r="K182">
        <v>395.6</v>
      </c>
      <c r="L182">
        <v>6.29</v>
      </c>
      <c r="M182">
        <v>24.6</v>
      </c>
      <c r="N182" s="107">
        <f t="shared" si="2"/>
        <v>29.918793752107472</v>
      </c>
      <c r="O182" s="92"/>
    </row>
    <row r="183" spans="1:15">
      <c r="A183">
        <v>1</v>
      </c>
      <c r="B183">
        <v>6.6420000000000007E-2</v>
      </c>
      <c r="C183">
        <v>4.05</v>
      </c>
      <c r="D183">
        <v>0.51</v>
      </c>
      <c r="E183">
        <v>6.86</v>
      </c>
      <c r="F183">
        <v>74.400000000000006</v>
      </c>
      <c r="G183">
        <v>2.9152999999999998</v>
      </c>
      <c r="H183">
        <v>5</v>
      </c>
      <c r="I183">
        <v>296</v>
      </c>
      <c r="J183">
        <v>16.600000000000001</v>
      </c>
      <c r="K183">
        <v>391.27</v>
      </c>
      <c r="L183">
        <v>6.92</v>
      </c>
      <c r="M183">
        <v>29.9</v>
      </c>
      <c r="N183" s="107">
        <f t="shared" si="2"/>
        <v>32.248699274517392</v>
      </c>
      <c r="O183" s="92"/>
    </row>
    <row r="184" spans="1:15">
      <c r="A184">
        <v>1</v>
      </c>
      <c r="B184">
        <v>5.7799999999999997E-2</v>
      </c>
      <c r="C184">
        <v>2.46</v>
      </c>
      <c r="D184">
        <v>0.48799999999999999</v>
      </c>
      <c r="E184">
        <v>6.98</v>
      </c>
      <c r="F184">
        <v>58.4</v>
      </c>
      <c r="G184">
        <v>2.8290000000000002</v>
      </c>
      <c r="H184">
        <v>3</v>
      </c>
      <c r="I184">
        <v>193</v>
      </c>
      <c r="J184">
        <v>17.8</v>
      </c>
      <c r="K184">
        <v>396.9</v>
      </c>
      <c r="L184">
        <v>5.04</v>
      </c>
      <c r="M184">
        <v>37.200000000000003</v>
      </c>
      <c r="N184" s="107">
        <f t="shared" si="2"/>
        <v>33.447454130329568</v>
      </c>
      <c r="O184" s="92"/>
    </row>
    <row r="185" spans="1:15">
      <c r="A185">
        <v>1</v>
      </c>
      <c r="B185">
        <v>6.5879999999999994E-2</v>
      </c>
      <c r="C185">
        <v>2.46</v>
      </c>
      <c r="D185">
        <v>0.48799999999999999</v>
      </c>
      <c r="E185">
        <v>7.7649999999999997</v>
      </c>
      <c r="F185">
        <v>83.3</v>
      </c>
      <c r="G185">
        <v>2.7410000000000001</v>
      </c>
      <c r="H185">
        <v>3</v>
      </c>
      <c r="I185">
        <v>193</v>
      </c>
      <c r="J185">
        <v>17.8</v>
      </c>
      <c r="K185">
        <v>395.56</v>
      </c>
      <c r="L185">
        <v>7.56</v>
      </c>
      <c r="M185">
        <v>39.799999999999997</v>
      </c>
      <c r="N185" s="107">
        <f t="shared" si="2"/>
        <v>35.349211806468361</v>
      </c>
      <c r="O185" s="92"/>
    </row>
    <row r="186" spans="1:15">
      <c r="A186">
        <v>1</v>
      </c>
      <c r="B186">
        <v>6.8879999999999997E-2</v>
      </c>
      <c r="C186">
        <v>2.46</v>
      </c>
      <c r="D186">
        <v>0.48799999999999999</v>
      </c>
      <c r="E186">
        <v>6.1440000000000001</v>
      </c>
      <c r="F186">
        <v>62.2</v>
      </c>
      <c r="G186">
        <v>2.5979000000000001</v>
      </c>
      <c r="H186">
        <v>3</v>
      </c>
      <c r="I186">
        <v>193</v>
      </c>
      <c r="J186">
        <v>17.8</v>
      </c>
      <c r="K186">
        <v>396.9</v>
      </c>
      <c r="L186">
        <v>9.4499999999999993</v>
      </c>
      <c r="M186">
        <v>36.200000000000003</v>
      </c>
      <c r="N186" s="107">
        <f t="shared" si="2"/>
        <v>27.994174749748407</v>
      </c>
      <c r="O186" s="92"/>
    </row>
    <row r="187" spans="1:15">
      <c r="A187">
        <v>1</v>
      </c>
      <c r="B187">
        <v>9.103E-2</v>
      </c>
      <c r="C187">
        <v>2.46</v>
      </c>
      <c r="D187">
        <v>0.48799999999999999</v>
      </c>
      <c r="E187">
        <v>7.1550000000000002</v>
      </c>
      <c r="F187">
        <v>92.2</v>
      </c>
      <c r="G187">
        <v>2.7006000000000001</v>
      </c>
      <c r="H187">
        <v>3</v>
      </c>
      <c r="I187">
        <v>193</v>
      </c>
      <c r="J187">
        <v>17.8</v>
      </c>
      <c r="K187">
        <v>394.12</v>
      </c>
      <c r="L187">
        <v>4.82</v>
      </c>
      <c r="M187">
        <v>37.9</v>
      </c>
      <c r="N187" s="107">
        <f t="shared" si="2"/>
        <v>34.311083945247937</v>
      </c>
      <c r="O187" s="92"/>
    </row>
    <row r="188" spans="1:15">
      <c r="A188">
        <v>1</v>
      </c>
      <c r="B188">
        <v>0.10008</v>
      </c>
      <c r="C188">
        <v>2.46</v>
      </c>
      <c r="D188">
        <v>0.48799999999999999</v>
      </c>
      <c r="E188">
        <v>6.5629999999999997</v>
      </c>
      <c r="F188">
        <v>95.6</v>
      </c>
      <c r="G188">
        <v>2.847</v>
      </c>
      <c r="H188">
        <v>3</v>
      </c>
      <c r="I188">
        <v>193</v>
      </c>
      <c r="J188">
        <v>17.8</v>
      </c>
      <c r="K188">
        <v>396.9</v>
      </c>
      <c r="L188">
        <v>5.68</v>
      </c>
      <c r="M188">
        <v>32.5</v>
      </c>
      <c r="N188" s="107">
        <f t="shared" si="2"/>
        <v>31.287776774891821</v>
      </c>
      <c r="O188" s="92"/>
    </row>
    <row r="189" spans="1:15">
      <c r="A189">
        <v>1</v>
      </c>
      <c r="B189">
        <v>8.3080000000000001E-2</v>
      </c>
      <c r="C189">
        <v>2.46</v>
      </c>
      <c r="D189">
        <v>0.48799999999999999</v>
      </c>
      <c r="E189">
        <v>5.6040000000000001</v>
      </c>
      <c r="F189">
        <v>89.8</v>
      </c>
      <c r="G189">
        <v>2.9878999999999998</v>
      </c>
      <c r="H189">
        <v>3</v>
      </c>
      <c r="I189">
        <v>193</v>
      </c>
      <c r="J189">
        <v>17.8</v>
      </c>
      <c r="K189">
        <v>391</v>
      </c>
      <c r="L189">
        <v>13.98</v>
      </c>
      <c r="M189">
        <v>26.4</v>
      </c>
      <c r="N189" s="107">
        <f t="shared" si="2"/>
        <v>22.810807131558583</v>
      </c>
      <c r="O189" s="92"/>
    </row>
    <row r="190" spans="1:15">
      <c r="A190">
        <v>1</v>
      </c>
      <c r="B190">
        <v>6.0470000000000003E-2</v>
      </c>
      <c r="C190">
        <v>2.46</v>
      </c>
      <c r="D190">
        <v>0.48799999999999999</v>
      </c>
      <c r="E190">
        <v>6.1529999999999996</v>
      </c>
      <c r="F190">
        <v>68.8</v>
      </c>
      <c r="G190">
        <v>3.2797000000000001</v>
      </c>
      <c r="H190">
        <v>3</v>
      </c>
      <c r="I190">
        <v>193</v>
      </c>
      <c r="J190">
        <v>17.8</v>
      </c>
      <c r="K190">
        <v>387.11</v>
      </c>
      <c r="L190">
        <v>13.15</v>
      </c>
      <c r="M190">
        <v>29.6</v>
      </c>
      <c r="N190" s="107">
        <f t="shared" si="2"/>
        <v>25.149909957810664</v>
      </c>
      <c r="O190" s="92"/>
    </row>
    <row r="191" spans="1:15">
      <c r="A191">
        <v>1</v>
      </c>
      <c r="B191">
        <v>5.602E-2</v>
      </c>
      <c r="C191">
        <v>2.46</v>
      </c>
      <c r="D191">
        <v>0.48799999999999999</v>
      </c>
      <c r="E191">
        <v>7.8310000000000004</v>
      </c>
      <c r="F191">
        <v>53.6</v>
      </c>
      <c r="G191">
        <v>3.1991999999999998</v>
      </c>
      <c r="H191">
        <v>3</v>
      </c>
      <c r="I191">
        <v>193</v>
      </c>
      <c r="J191">
        <v>17.8</v>
      </c>
      <c r="K191">
        <v>392.63</v>
      </c>
      <c r="L191">
        <v>4.45</v>
      </c>
      <c r="M191">
        <v>50</v>
      </c>
      <c r="N191" s="107">
        <f t="shared" si="2"/>
        <v>36.747347804803496</v>
      </c>
      <c r="O191" s="92"/>
    </row>
    <row r="192" spans="1:15">
      <c r="A192">
        <v>1</v>
      </c>
      <c r="B192">
        <v>7.8750000000000001E-2</v>
      </c>
      <c r="C192">
        <v>3.44</v>
      </c>
      <c r="D192">
        <v>0.437</v>
      </c>
      <c r="E192">
        <v>6.782</v>
      </c>
      <c r="F192">
        <v>41.1</v>
      </c>
      <c r="G192">
        <v>3.7886000000000002</v>
      </c>
      <c r="H192">
        <v>5</v>
      </c>
      <c r="I192">
        <v>398</v>
      </c>
      <c r="J192">
        <v>15.2</v>
      </c>
      <c r="K192">
        <v>393.87</v>
      </c>
      <c r="L192">
        <v>6.68</v>
      </c>
      <c r="M192">
        <v>32</v>
      </c>
      <c r="N192" s="107">
        <f t="shared" si="2"/>
        <v>32.874634831783695</v>
      </c>
      <c r="O192" s="92"/>
    </row>
    <row r="193" spans="1:15">
      <c r="A193">
        <v>1</v>
      </c>
      <c r="B193">
        <v>0.12579000000000001</v>
      </c>
      <c r="C193">
        <v>3.44</v>
      </c>
      <c r="D193">
        <v>0.437</v>
      </c>
      <c r="E193">
        <v>6.556</v>
      </c>
      <c r="F193">
        <v>29.1</v>
      </c>
      <c r="G193">
        <v>4.5667</v>
      </c>
      <c r="H193">
        <v>5</v>
      </c>
      <c r="I193">
        <v>398</v>
      </c>
      <c r="J193">
        <v>15.2</v>
      </c>
      <c r="K193">
        <v>382.84</v>
      </c>
      <c r="L193">
        <v>4.5599999999999996</v>
      </c>
      <c r="M193">
        <v>29.8</v>
      </c>
      <c r="N193" s="107">
        <f t="shared" si="2"/>
        <v>32.043548603259893</v>
      </c>
      <c r="O193" s="92"/>
    </row>
    <row r="194" spans="1:15">
      <c r="A194">
        <v>1</v>
      </c>
      <c r="B194">
        <v>8.3699999999999997E-2</v>
      </c>
      <c r="C194">
        <v>3.44</v>
      </c>
      <c r="D194">
        <v>0.437</v>
      </c>
      <c r="E194">
        <v>7.1849999999999996</v>
      </c>
      <c r="F194">
        <v>38.9</v>
      </c>
      <c r="G194">
        <v>4.5667</v>
      </c>
      <c r="H194">
        <v>5</v>
      </c>
      <c r="I194">
        <v>398</v>
      </c>
      <c r="J194">
        <v>15.2</v>
      </c>
      <c r="K194">
        <v>396.9</v>
      </c>
      <c r="L194">
        <v>5.39</v>
      </c>
      <c r="M194">
        <v>34.9</v>
      </c>
      <c r="N194" s="107">
        <f t="shared" si="2"/>
        <v>34.287476938874597</v>
      </c>
      <c r="O194" s="92"/>
    </row>
    <row r="195" spans="1:15">
      <c r="A195">
        <v>1</v>
      </c>
      <c r="B195">
        <v>9.0679999999999997E-2</v>
      </c>
      <c r="C195">
        <v>3.44</v>
      </c>
      <c r="D195">
        <v>0.437</v>
      </c>
      <c r="E195">
        <v>6.9509999999999996</v>
      </c>
      <c r="F195">
        <v>21.5</v>
      </c>
      <c r="G195">
        <v>6.4798</v>
      </c>
      <c r="H195">
        <v>5</v>
      </c>
      <c r="I195">
        <v>398</v>
      </c>
      <c r="J195">
        <v>15.2</v>
      </c>
      <c r="K195">
        <v>377.68</v>
      </c>
      <c r="L195">
        <v>5.0999999999999996</v>
      </c>
      <c r="M195">
        <v>37</v>
      </c>
      <c r="N195" s="107">
        <f t="shared" si="2"/>
        <v>31.027091412330009</v>
      </c>
      <c r="O195" s="92"/>
    </row>
    <row r="196" spans="1:15">
      <c r="A196">
        <v>1</v>
      </c>
      <c r="B196">
        <v>6.9110000000000005E-2</v>
      </c>
      <c r="C196">
        <v>3.44</v>
      </c>
      <c r="D196">
        <v>0.437</v>
      </c>
      <c r="E196">
        <v>6.7389999999999999</v>
      </c>
      <c r="F196">
        <v>30.8</v>
      </c>
      <c r="G196">
        <v>6.4798</v>
      </c>
      <c r="H196">
        <v>5</v>
      </c>
      <c r="I196">
        <v>398</v>
      </c>
      <c r="J196">
        <v>15.2</v>
      </c>
      <c r="K196">
        <v>389.71</v>
      </c>
      <c r="L196">
        <v>4.6900000000000004</v>
      </c>
      <c r="M196">
        <v>30.5</v>
      </c>
      <c r="N196" s="107">
        <f t="shared" si="2"/>
        <v>30.474755604135179</v>
      </c>
      <c r="O196" s="92"/>
    </row>
    <row r="197" spans="1:15">
      <c r="A197">
        <v>1</v>
      </c>
      <c r="B197">
        <v>8.6639999999999995E-2</v>
      </c>
      <c r="C197">
        <v>3.44</v>
      </c>
      <c r="D197">
        <v>0.437</v>
      </c>
      <c r="E197">
        <v>7.1779999999999999</v>
      </c>
      <c r="F197">
        <v>26.3</v>
      </c>
      <c r="G197">
        <v>6.4798</v>
      </c>
      <c r="H197">
        <v>5</v>
      </c>
      <c r="I197">
        <v>398</v>
      </c>
      <c r="J197">
        <v>15.2</v>
      </c>
      <c r="K197">
        <v>390.49</v>
      </c>
      <c r="L197">
        <v>2.87</v>
      </c>
      <c r="M197">
        <v>36.4</v>
      </c>
      <c r="N197" s="107">
        <f t="shared" ref="N197:N260" si="3">SUMPRODUCT($A$2:$L$2,A197:L197)</f>
        <v>33.236822882718599</v>
      </c>
      <c r="O197" s="92"/>
    </row>
    <row r="198" spans="1:15">
      <c r="A198">
        <v>1</v>
      </c>
      <c r="B198">
        <v>2.1870000000000001E-2</v>
      </c>
      <c r="C198">
        <v>2.93</v>
      </c>
      <c r="D198">
        <v>0.40100000000000002</v>
      </c>
      <c r="E198">
        <v>6.8</v>
      </c>
      <c r="F198">
        <v>9.9</v>
      </c>
      <c r="G198">
        <v>6.2195999999999998</v>
      </c>
      <c r="H198">
        <v>1</v>
      </c>
      <c r="I198">
        <v>265</v>
      </c>
      <c r="J198">
        <v>15.6</v>
      </c>
      <c r="K198">
        <v>393.37</v>
      </c>
      <c r="L198">
        <v>5.03</v>
      </c>
      <c r="M198">
        <v>31.1</v>
      </c>
      <c r="N198" s="107">
        <f t="shared" si="3"/>
        <v>31.367490892684692</v>
      </c>
      <c r="O198" s="92"/>
    </row>
    <row r="199" spans="1:15">
      <c r="A199">
        <v>1</v>
      </c>
      <c r="B199">
        <v>1.439E-2</v>
      </c>
      <c r="C199">
        <v>2.93</v>
      </c>
      <c r="D199">
        <v>0.40100000000000002</v>
      </c>
      <c r="E199">
        <v>6.6040000000000001</v>
      </c>
      <c r="F199">
        <v>18.8</v>
      </c>
      <c r="G199">
        <v>6.2195999999999998</v>
      </c>
      <c r="H199">
        <v>1</v>
      </c>
      <c r="I199">
        <v>265</v>
      </c>
      <c r="J199">
        <v>15.6</v>
      </c>
      <c r="K199">
        <v>376.7</v>
      </c>
      <c r="L199">
        <v>4.38</v>
      </c>
      <c r="M199">
        <v>29.1</v>
      </c>
      <c r="N199" s="107">
        <f t="shared" si="3"/>
        <v>30.72316893330354</v>
      </c>
      <c r="O199" s="92"/>
    </row>
    <row r="200" spans="1:15">
      <c r="A200">
        <v>1</v>
      </c>
      <c r="B200">
        <v>1.3809999999999999E-2</v>
      </c>
      <c r="C200">
        <v>0.46</v>
      </c>
      <c r="D200">
        <v>0.42199999999999999</v>
      </c>
      <c r="E200">
        <v>7.875</v>
      </c>
      <c r="F200">
        <v>32</v>
      </c>
      <c r="G200">
        <v>5.6483999999999996</v>
      </c>
      <c r="H200">
        <v>4</v>
      </c>
      <c r="I200">
        <v>255</v>
      </c>
      <c r="J200">
        <v>14.4</v>
      </c>
      <c r="K200">
        <v>394.23</v>
      </c>
      <c r="L200">
        <v>2.97</v>
      </c>
      <c r="M200">
        <v>50</v>
      </c>
      <c r="N200" s="107">
        <f t="shared" si="3"/>
        <v>39.431969223428823</v>
      </c>
      <c r="O200" s="92"/>
    </row>
    <row r="201" spans="1:15">
      <c r="A201">
        <v>1</v>
      </c>
      <c r="B201">
        <v>4.011E-2</v>
      </c>
      <c r="C201">
        <v>1.52</v>
      </c>
      <c r="D201">
        <v>0.40400000000000003</v>
      </c>
      <c r="E201">
        <v>7.2869999999999999</v>
      </c>
      <c r="F201">
        <v>34.1</v>
      </c>
      <c r="G201">
        <v>7.3090000000000002</v>
      </c>
      <c r="H201">
        <v>2</v>
      </c>
      <c r="I201">
        <v>329</v>
      </c>
      <c r="J201">
        <v>12.6</v>
      </c>
      <c r="K201">
        <v>396.9</v>
      </c>
      <c r="L201">
        <v>4.08</v>
      </c>
      <c r="M201">
        <v>33.299999999999997</v>
      </c>
      <c r="N201" s="107">
        <f t="shared" si="3"/>
        <v>35.422194745089186</v>
      </c>
      <c r="O201" s="92"/>
    </row>
    <row r="202" spans="1:15">
      <c r="A202">
        <v>1</v>
      </c>
      <c r="B202">
        <v>4.666E-2</v>
      </c>
      <c r="C202">
        <v>1.52</v>
      </c>
      <c r="D202">
        <v>0.40400000000000003</v>
      </c>
      <c r="E202">
        <v>7.1070000000000002</v>
      </c>
      <c r="F202">
        <v>36.6</v>
      </c>
      <c r="G202">
        <v>7.3090000000000002</v>
      </c>
      <c r="H202">
        <v>2</v>
      </c>
      <c r="I202">
        <v>329</v>
      </c>
      <c r="J202">
        <v>12.6</v>
      </c>
      <c r="K202">
        <v>354.31</v>
      </c>
      <c r="L202">
        <v>8.61</v>
      </c>
      <c r="M202">
        <v>30.3</v>
      </c>
      <c r="N202" s="107">
        <f t="shared" si="3"/>
        <v>31.883274971764038</v>
      </c>
      <c r="O202" s="92"/>
    </row>
    <row r="203" spans="1:15">
      <c r="A203">
        <v>1</v>
      </c>
      <c r="B203">
        <v>3.7679999999999998E-2</v>
      </c>
      <c r="C203">
        <v>1.52</v>
      </c>
      <c r="D203">
        <v>0.40400000000000003</v>
      </c>
      <c r="E203">
        <v>7.274</v>
      </c>
      <c r="F203">
        <v>38.299999999999997</v>
      </c>
      <c r="G203">
        <v>7.3090000000000002</v>
      </c>
      <c r="H203">
        <v>2</v>
      </c>
      <c r="I203">
        <v>329</v>
      </c>
      <c r="J203">
        <v>12.6</v>
      </c>
      <c r="K203">
        <v>392.2</v>
      </c>
      <c r="L203">
        <v>6.62</v>
      </c>
      <c r="M203">
        <v>34.6</v>
      </c>
      <c r="N203" s="107">
        <f t="shared" si="3"/>
        <v>33.978367855452994</v>
      </c>
      <c r="O203" s="92"/>
    </row>
    <row r="204" spans="1:15">
      <c r="A204">
        <v>1</v>
      </c>
      <c r="B204">
        <v>3.15E-2</v>
      </c>
      <c r="C204">
        <v>1.47</v>
      </c>
      <c r="D204">
        <v>0.40300000000000002</v>
      </c>
      <c r="E204">
        <v>6.9749999999999996</v>
      </c>
      <c r="F204">
        <v>15.3</v>
      </c>
      <c r="G204">
        <v>7.6534000000000004</v>
      </c>
      <c r="H204">
        <v>3</v>
      </c>
      <c r="I204">
        <v>402</v>
      </c>
      <c r="J204">
        <v>17</v>
      </c>
      <c r="K204">
        <v>396.9</v>
      </c>
      <c r="L204">
        <v>4.5599999999999996</v>
      </c>
      <c r="M204">
        <v>34.9</v>
      </c>
      <c r="N204" s="107">
        <f t="shared" si="3"/>
        <v>28.081499668500982</v>
      </c>
      <c r="O204" s="92"/>
    </row>
    <row r="205" spans="1:15">
      <c r="A205">
        <v>1</v>
      </c>
      <c r="B205">
        <v>1.7780000000000001E-2</v>
      </c>
      <c r="C205">
        <v>1.47</v>
      </c>
      <c r="D205">
        <v>0.40300000000000002</v>
      </c>
      <c r="E205">
        <v>7.1349999999999998</v>
      </c>
      <c r="F205">
        <v>13.9</v>
      </c>
      <c r="G205">
        <v>7.6534000000000004</v>
      </c>
      <c r="H205">
        <v>3</v>
      </c>
      <c r="I205">
        <v>402</v>
      </c>
      <c r="J205">
        <v>17</v>
      </c>
      <c r="K205">
        <v>384.3</v>
      </c>
      <c r="L205">
        <v>4.45</v>
      </c>
      <c r="M205">
        <v>32.9</v>
      </c>
      <c r="N205" s="107">
        <f t="shared" si="3"/>
        <v>28.672128350853757</v>
      </c>
      <c r="O205" s="92"/>
    </row>
    <row r="206" spans="1:15">
      <c r="A206">
        <v>1</v>
      </c>
      <c r="B206">
        <v>3.4450000000000001E-2</v>
      </c>
      <c r="C206">
        <v>2.0299999999999998</v>
      </c>
      <c r="D206">
        <v>0.41499999999999998</v>
      </c>
      <c r="E206">
        <v>6.1619999999999999</v>
      </c>
      <c r="F206">
        <v>38.4</v>
      </c>
      <c r="G206">
        <v>6.27</v>
      </c>
      <c r="H206">
        <v>2</v>
      </c>
      <c r="I206">
        <v>348</v>
      </c>
      <c r="J206">
        <v>14.7</v>
      </c>
      <c r="K206">
        <v>393.77</v>
      </c>
      <c r="L206">
        <v>7.43</v>
      </c>
      <c r="M206">
        <v>24.1</v>
      </c>
      <c r="N206" s="107">
        <f t="shared" si="3"/>
        <v>27.525904093665861</v>
      </c>
      <c r="O206" s="92"/>
    </row>
    <row r="207" spans="1:15">
      <c r="A207">
        <v>1</v>
      </c>
      <c r="B207">
        <v>2.1770000000000001E-2</v>
      </c>
      <c r="C207">
        <v>2.0299999999999998</v>
      </c>
      <c r="D207">
        <v>0.41499999999999998</v>
      </c>
      <c r="E207">
        <v>7.61</v>
      </c>
      <c r="F207">
        <v>15.7</v>
      </c>
      <c r="G207">
        <v>6.27</v>
      </c>
      <c r="H207">
        <v>2</v>
      </c>
      <c r="I207">
        <v>348</v>
      </c>
      <c r="J207">
        <v>14.7</v>
      </c>
      <c r="K207">
        <v>395.38</v>
      </c>
      <c r="L207">
        <v>3.11</v>
      </c>
      <c r="M207">
        <v>42.3</v>
      </c>
      <c r="N207" s="107">
        <f t="shared" si="3"/>
        <v>35.771173606998723</v>
      </c>
      <c r="O207" s="92"/>
    </row>
    <row r="208" spans="1:15">
      <c r="A208">
        <v>1</v>
      </c>
      <c r="B208">
        <v>3.5099999999999999E-2</v>
      </c>
      <c r="C208">
        <v>2.68</v>
      </c>
      <c r="D208">
        <v>0.41610000000000003</v>
      </c>
      <c r="E208">
        <v>7.8529999999999998</v>
      </c>
      <c r="F208">
        <v>33.200000000000003</v>
      </c>
      <c r="G208">
        <v>5.1180000000000003</v>
      </c>
      <c r="H208">
        <v>4</v>
      </c>
      <c r="I208">
        <v>224</v>
      </c>
      <c r="J208">
        <v>14.7</v>
      </c>
      <c r="K208">
        <v>392.78</v>
      </c>
      <c r="L208">
        <v>3.81</v>
      </c>
      <c r="M208">
        <v>48.5</v>
      </c>
      <c r="N208" s="107">
        <f t="shared" si="3"/>
        <v>39.667707008712412</v>
      </c>
      <c r="O208" s="92"/>
    </row>
    <row r="209" spans="1:15">
      <c r="A209">
        <v>1</v>
      </c>
      <c r="B209">
        <v>2.009E-2</v>
      </c>
      <c r="C209">
        <v>2.68</v>
      </c>
      <c r="D209">
        <v>0.41610000000000003</v>
      </c>
      <c r="E209">
        <v>8.0340000000000007</v>
      </c>
      <c r="F209">
        <v>31.9</v>
      </c>
      <c r="G209">
        <v>5.1180000000000003</v>
      </c>
      <c r="H209">
        <v>4</v>
      </c>
      <c r="I209">
        <v>224</v>
      </c>
      <c r="J209">
        <v>14.7</v>
      </c>
      <c r="K209">
        <v>390.55</v>
      </c>
      <c r="L209">
        <v>2.88</v>
      </c>
      <c r="M209">
        <v>50</v>
      </c>
      <c r="N209" s="107">
        <f t="shared" si="3"/>
        <v>40.876506294618068</v>
      </c>
      <c r="O209" s="92"/>
    </row>
    <row r="210" spans="1:15">
      <c r="A210">
        <v>1</v>
      </c>
      <c r="B210">
        <v>0.13642000000000001</v>
      </c>
      <c r="C210">
        <v>10.59</v>
      </c>
      <c r="D210">
        <v>0.48899999999999999</v>
      </c>
      <c r="E210">
        <v>5.891</v>
      </c>
      <c r="F210">
        <v>22.3</v>
      </c>
      <c r="G210">
        <v>3.9453999999999998</v>
      </c>
      <c r="H210">
        <v>4</v>
      </c>
      <c r="I210">
        <v>277</v>
      </c>
      <c r="J210">
        <v>18.600000000000001</v>
      </c>
      <c r="K210">
        <v>396.9</v>
      </c>
      <c r="L210">
        <v>10.87</v>
      </c>
      <c r="M210">
        <v>22.6</v>
      </c>
      <c r="N210" s="107">
        <f t="shared" si="3"/>
        <v>23.299863061323062</v>
      </c>
      <c r="O210" s="92"/>
    </row>
    <row r="211" spans="1:15">
      <c r="A211">
        <v>1</v>
      </c>
      <c r="B211">
        <v>0.22969000000000001</v>
      </c>
      <c r="C211">
        <v>10.59</v>
      </c>
      <c r="D211">
        <v>0.48899999999999999</v>
      </c>
      <c r="E211">
        <v>6.3259999999999996</v>
      </c>
      <c r="F211">
        <v>52.5</v>
      </c>
      <c r="G211">
        <v>4.3548999999999998</v>
      </c>
      <c r="H211">
        <v>4</v>
      </c>
      <c r="I211">
        <v>277</v>
      </c>
      <c r="J211">
        <v>18.600000000000001</v>
      </c>
      <c r="K211">
        <v>394.87</v>
      </c>
      <c r="L211">
        <v>10.97</v>
      </c>
      <c r="M211">
        <v>24.4</v>
      </c>
      <c r="N211" s="107">
        <f t="shared" si="3"/>
        <v>24.414561475926448</v>
      </c>
      <c r="O211" s="92"/>
    </row>
    <row r="212" spans="1:15">
      <c r="A212">
        <v>1</v>
      </c>
      <c r="B212">
        <v>0.25198999999999999</v>
      </c>
      <c r="C212">
        <v>10.59</v>
      </c>
      <c r="D212">
        <v>0.48899999999999999</v>
      </c>
      <c r="E212">
        <v>5.7830000000000004</v>
      </c>
      <c r="F212">
        <v>72.7</v>
      </c>
      <c r="G212">
        <v>4.3548999999999998</v>
      </c>
      <c r="H212">
        <v>4</v>
      </c>
      <c r="I212">
        <v>277</v>
      </c>
      <c r="J212">
        <v>18.600000000000001</v>
      </c>
      <c r="K212">
        <v>389.43</v>
      </c>
      <c r="L212">
        <v>18.059999999999999</v>
      </c>
      <c r="M212">
        <v>22.5</v>
      </c>
      <c r="N212" s="107">
        <f t="shared" si="3"/>
        <v>18.370038219767959</v>
      </c>
      <c r="O212" s="92"/>
    </row>
    <row r="213" spans="1:15">
      <c r="A213">
        <v>1</v>
      </c>
      <c r="B213">
        <v>0.13586999999999999</v>
      </c>
      <c r="C213">
        <v>10.59</v>
      </c>
      <c r="D213">
        <v>0.48899999999999999</v>
      </c>
      <c r="E213">
        <v>6.0640000000000001</v>
      </c>
      <c r="F213">
        <v>59.1</v>
      </c>
      <c r="G213">
        <v>4.2392000000000003</v>
      </c>
      <c r="H213">
        <v>4</v>
      </c>
      <c r="I213">
        <v>277</v>
      </c>
      <c r="J213">
        <v>18.600000000000001</v>
      </c>
      <c r="K213">
        <v>381.32</v>
      </c>
      <c r="L213">
        <v>14.66</v>
      </c>
      <c r="M213">
        <v>24.4</v>
      </c>
      <c r="N213" s="107">
        <f t="shared" si="3"/>
        <v>21.408293547640994</v>
      </c>
      <c r="O213" s="92"/>
    </row>
    <row r="214" spans="1:15">
      <c r="A214">
        <v>1</v>
      </c>
      <c r="B214">
        <v>0.43570999999999999</v>
      </c>
      <c r="C214">
        <v>10.59</v>
      </c>
      <c r="D214">
        <v>0.48899999999999999</v>
      </c>
      <c r="E214">
        <v>5.3440000000000003</v>
      </c>
      <c r="F214">
        <v>100</v>
      </c>
      <c r="G214">
        <v>3.875</v>
      </c>
      <c r="H214">
        <v>4</v>
      </c>
      <c r="I214">
        <v>277</v>
      </c>
      <c r="J214">
        <v>18.600000000000001</v>
      </c>
      <c r="K214">
        <v>396.9</v>
      </c>
      <c r="L214">
        <v>23.09</v>
      </c>
      <c r="M214">
        <v>20</v>
      </c>
      <c r="N214" s="107">
        <f t="shared" si="3"/>
        <v>14.503390912849101</v>
      </c>
      <c r="O214" s="92"/>
    </row>
    <row r="215" spans="1:15">
      <c r="A215">
        <v>1</v>
      </c>
      <c r="B215">
        <v>0.17446</v>
      </c>
      <c r="C215">
        <v>10.59</v>
      </c>
      <c r="D215">
        <v>0.48899999999999999</v>
      </c>
      <c r="E215">
        <v>5.96</v>
      </c>
      <c r="F215">
        <v>92.1</v>
      </c>
      <c r="G215">
        <v>3.8771</v>
      </c>
      <c r="H215">
        <v>4</v>
      </c>
      <c r="I215">
        <v>277</v>
      </c>
      <c r="J215">
        <v>18.600000000000001</v>
      </c>
      <c r="K215">
        <v>393.25</v>
      </c>
      <c r="L215">
        <v>17.27</v>
      </c>
      <c r="M215">
        <v>21.7</v>
      </c>
      <c r="N215" s="107">
        <f t="shared" si="3"/>
        <v>20.078545081259584</v>
      </c>
      <c r="O215" s="92"/>
    </row>
    <row r="216" spans="1:15">
      <c r="A216">
        <v>1</v>
      </c>
      <c r="B216">
        <v>0.37578</v>
      </c>
      <c r="C216">
        <v>10.59</v>
      </c>
      <c r="D216">
        <v>0.48899999999999999</v>
      </c>
      <c r="E216">
        <v>5.4039999999999999</v>
      </c>
      <c r="F216">
        <v>88.6</v>
      </c>
      <c r="G216">
        <v>3.665</v>
      </c>
      <c r="H216">
        <v>4</v>
      </c>
      <c r="I216">
        <v>277</v>
      </c>
      <c r="J216">
        <v>18.600000000000001</v>
      </c>
      <c r="K216">
        <v>395.24</v>
      </c>
      <c r="L216">
        <v>23.98</v>
      </c>
      <c r="M216">
        <v>19.3</v>
      </c>
      <c r="N216" s="107">
        <f t="shared" si="3"/>
        <v>14.554691009189456</v>
      </c>
      <c r="O216" s="92"/>
    </row>
    <row r="217" spans="1:15">
      <c r="A217">
        <v>1</v>
      </c>
      <c r="B217">
        <v>0.21718999999999999</v>
      </c>
      <c r="C217">
        <v>10.59</v>
      </c>
      <c r="D217">
        <v>0.48899999999999999</v>
      </c>
      <c r="E217">
        <v>5.8070000000000004</v>
      </c>
      <c r="F217">
        <v>53.8</v>
      </c>
      <c r="G217">
        <v>3.6526000000000001</v>
      </c>
      <c r="H217">
        <v>4</v>
      </c>
      <c r="I217">
        <v>277</v>
      </c>
      <c r="J217">
        <v>18.600000000000001</v>
      </c>
      <c r="K217">
        <v>390.94</v>
      </c>
      <c r="L217">
        <v>16.03</v>
      </c>
      <c r="M217">
        <v>22.4</v>
      </c>
      <c r="N217" s="107">
        <f t="shared" si="3"/>
        <v>20.452132105173035</v>
      </c>
      <c r="O217" s="92"/>
    </row>
    <row r="218" spans="1:15">
      <c r="A218">
        <v>1</v>
      </c>
      <c r="B218">
        <v>0.14052000000000001</v>
      </c>
      <c r="C218">
        <v>10.59</v>
      </c>
      <c r="D218">
        <v>0.48899999999999999</v>
      </c>
      <c r="E218">
        <v>6.375</v>
      </c>
      <c r="F218">
        <v>32.299999999999997</v>
      </c>
      <c r="G218">
        <v>3.9453999999999998</v>
      </c>
      <c r="H218">
        <v>4</v>
      </c>
      <c r="I218">
        <v>277</v>
      </c>
      <c r="J218">
        <v>18.600000000000001</v>
      </c>
      <c r="K218">
        <v>385.81</v>
      </c>
      <c r="L218">
        <v>9.3800000000000008</v>
      </c>
      <c r="M218">
        <v>28.1</v>
      </c>
      <c r="N218" s="107">
        <f t="shared" si="3"/>
        <v>25.918053026054505</v>
      </c>
      <c r="O218" s="92"/>
    </row>
    <row r="219" spans="1:15">
      <c r="A219">
        <v>1</v>
      </c>
      <c r="B219">
        <v>0.28954999999999997</v>
      </c>
      <c r="C219">
        <v>10.59</v>
      </c>
      <c r="D219">
        <v>0.48899999999999999</v>
      </c>
      <c r="E219">
        <v>5.4119999999999999</v>
      </c>
      <c r="F219">
        <v>9.8000000000000007</v>
      </c>
      <c r="G219">
        <v>3.5874999999999999</v>
      </c>
      <c r="H219">
        <v>4</v>
      </c>
      <c r="I219">
        <v>277</v>
      </c>
      <c r="J219">
        <v>18.600000000000001</v>
      </c>
      <c r="K219">
        <v>348.93</v>
      </c>
      <c r="L219">
        <v>29.55</v>
      </c>
      <c r="M219">
        <v>23.7</v>
      </c>
      <c r="N219" s="107">
        <f t="shared" si="3"/>
        <v>11.517590005876054</v>
      </c>
      <c r="O219" s="92"/>
    </row>
    <row r="220" spans="1:15">
      <c r="A220">
        <v>1</v>
      </c>
      <c r="B220">
        <v>0.19802</v>
      </c>
      <c r="C220">
        <v>10.59</v>
      </c>
      <c r="D220">
        <v>0.48899999999999999</v>
      </c>
      <c r="E220">
        <v>6.1820000000000004</v>
      </c>
      <c r="F220">
        <v>42.4</v>
      </c>
      <c r="G220">
        <v>3.9453999999999998</v>
      </c>
      <c r="H220">
        <v>4</v>
      </c>
      <c r="I220">
        <v>277</v>
      </c>
      <c r="J220">
        <v>18.600000000000001</v>
      </c>
      <c r="K220">
        <v>393.63</v>
      </c>
      <c r="L220">
        <v>9.4700000000000006</v>
      </c>
      <c r="M220">
        <v>25</v>
      </c>
      <c r="N220" s="107">
        <f t="shared" si="3"/>
        <v>25.128817689209924</v>
      </c>
      <c r="O220" s="92"/>
    </row>
    <row r="221" spans="1:15">
      <c r="A221">
        <v>1</v>
      </c>
      <c r="B221">
        <v>4.5600000000000002E-2</v>
      </c>
      <c r="C221">
        <v>13.89</v>
      </c>
      <c r="D221">
        <v>0.55000000000000004</v>
      </c>
      <c r="E221">
        <v>5.8879999999999999</v>
      </c>
      <c r="F221">
        <v>56</v>
      </c>
      <c r="G221">
        <v>3.1120999999999999</v>
      </c>
      <c r="H221">
        <v>5</v>
      </c>
      <c r="I221">
        <v>276</v>
      </c>
      <c r="J221">
        <v>16.399999999999999</v>
      </c>
      <c r="K221">
        <v>392.8</v>
      </c>
      <c r="L221">
        <v>13.51</v>
      </c>
      <c r="M221">
        <v>23.3</v>
      </c>
      <c r="N221" s="107">
        <f t="shared" si="3"/>
        <v>24.566233930446174</v>
      </c>
      <c r="O221" s="92"/>
    </row>
    <row r="222" spans="1:15">
      <c r="A222">
        <v>1</v>
      </c>
      <c r="B222">
        <v>7.0129999999999998E-2</v>
      </c>
      <c r="C222">
        <v>13.89</v>
      </c>
      <c r="D222">
        <v>0.55000000000000004</v>
      </c>
      <c r="E222">
        <v>6.6420000000000003</v>
      </c>
      <c r="F222">
        <v>85.1</v>
      </c>
      <c r="G222">
        <v>3.4211</v>
      </c>
      <c r="H222">
        <v>5</v>
      </c>
      <c r="I222">
        <v>276</v>
      </c>
      <c r="J222">
        <v>16.399999999999999</v>
      </c>
      <c r="K222">
        <v>392.78</v>
      </c>
      <c r="L222">
        <v>9.69</v>
      </c>
      <c r="M222">
        <v>28.7</v>
      </c>
      <c r="N222" s="107">
        <f t="shared" si="3"/>
        <v>29.190390323993189</v>
      </c>
      <c r="O222" s="92"/>
    </row>
    <row r="223" spans="1:15">
      <c r="A223">
        <v>1</v>
      </c>
      <c r="B223">
        <v>0.11069</v>
      </c>
      <c r="C223">
        <v>13.89</v>
      </c>
      <c r="D223">
        <v>0.55000000000000004</v>
      </c>
      <c r="E223">
        <v>5.9509999999999996</v>
      </c>
      <c r="F223">
        <v>93.8</v>
      </c>
      <c r="G223">
        <v>2.8893</v>
      </c>
      <c r="H223">
        <v>5</v>
      </c>
      <c r="I223">
        <v>276</v>
      </c>
      <c r="J223">
        <v>16.399999999999999</v>
      </c>
      <c r="K223">
        <v>396.9</v>
      </c>
      <c r="L223">
        <v>17.920000000000002</v>
      </c>
      <c r="M223">
        <v>21.5</v>
      </c>
      <c r="N223" s="107">
        <f t="shared" si="3"/>
        <v>22.710600866011177</v>
      </c>
      <c r="O223" s="92"/>
    </row>
    <row r="224" spans="1:15">
      <c r="A224">
        <v>1</v>
      </c>
      <c r="B224">
        <v>0.11425</v>
      </c>
      <c r="C224">
        <v>13.89</v>
      </c>
      <c r="D224">
        <v>0.55000000000000004</v>
      </c>
      <c r="E224">
        <v>6.3730000000000002</v>
      </c>
      <c r="F224">
        <v>92.4</v>
      </c>
      <c r="G224">
        <v>3.3633000000000002</v>
      </c>
      <c r="H224">
        <v>5</v>
      </c>
      <c r="I224">
        <v>276</v>
      </c>
      <c r="J224">
        <v>16.399999999999999</v>
      </c>
      <c r="K224">
        <v>393.74</v>
      </c>
      <c r="L224">
        <v>10.5</v>
      </c>
      <c r="M224">
        <v>23</v>
      </c>
      <c r="N224" s="107">
        <f t="shared" si="3"/>
        <v>27.724598271167707</v>
      </c>
      <c r="O224" s="92"/>
    </row>
    <row r="225" spans="1:15">
      <c r="A225">
        <v>1</v>
      </c>
      <c r="B225">
        <v>0.35809000000000002</v>
      </c>
      <c r="C225">
        <v>6.2</v>
      </c>
      <c r="D225">
        <v>0.50700000000000001</v>
      </c>
      <c r="E225">
        <v>6.9509999999999996</v>
      </c>
      <c r="F225">
        <v>88.5</v>
      </c>
      <c r="G225">
        <v>2.8616999999999999</v>
      </c>
      <c r="H225">
        <v>8</v>
      </c>
      <c r="I225">
        <v>307</v>
      </c>
      <c r="J225">
        <v>17.399999999999999</v>
      </c>
      <c r="K225">
        <v>391.7</v>
      </c>
      <c r="L225">
        <v>9.7100000000000009</v>
      </c>
      <c r="M225">
        <v>26.7</v>
      </c>
      <c r="N225" s="107">
        <f t="shared" si="3"/>
        <v>31.137761105647893</v>
      </c>
      <c r="O225" s="92"/>
    </row>
    <row r="226" spans="1:15">
      <c r="A226">
        <v>1</v>
      </c>
      <c r="B226">
        <v>0.40771000000000002</v>
      </c>
      <c r="C226">
        <v>6.2</v>
      </c>
      <c r="D226">
        <v>0.50700000000000001</v>
      </c>
      <c r="E226">
        <v>6.1639999999999997</v>
      </c>
      <c r="F226">
        <v>91.3</v>
      </c>
      <c r="G226">
        <v>3.048</v>
      </c>
      <c r="H226">
        <v>8</v>
      </c>
      <c r="I226">
        <v>307</v>
      </c>
      <c r="J226">
        <v>17.399999999999999</v>
      </c>
      <c r="K226">
        <v>395.24</v>
      </c>
      <c r="L226">
        <v>21.46</v>
      </c>
      <c r="M226">
        <v>21.7</v>
      </c>
      <c r="N226" s="107">
        <f t="shared" si="3"/>
        <v>21.558509399308694</v>
      </c>
      <c r="O226" s="92"/>
    </row>
    <row r="227" spans="1:15">
      <c r="A227">
        <v>1</v>
      </c>
      <c r="B227">
        <v>0.62356</v>
      </c>
      <c r="C227">
        <v>6.2</v>
      </c>
      <c r="D227">
        <v>0.50700000000000001</v>
      </c>
      <c r="E227">
        <v>6.8789999999999996</v>
      </c>
      <c r="F227">
        <v>77.7</v>
      </c>
      <c r="G227">
        <v>3.2721</v>
      </c>
      <c r="H227">
        <v>8</v>
      </c>
      <c r="I227">
        <v>307</v>
      </c>
      <c r="J227">
        <v>17.399999999999999</v>
      </c>
      <c r="K227">
        <v>390.39</v>
      </c>
      <c r="L227">
        <v>9.93</v>
      </c>
      <c r="M227">
        <v>27.5</v>
      </c>
      <c r="N227" s="107">
        <f t="shared" si="3"/>
        <v>30.220458080996064</v>
      </c>
      <c r="O227" s="92"/>
    </row>
    <row r="228" spans="1:15">
      <c r="A228">
        <v>1</v>
      </c>
      <c r="B228">
        <v>0.61470000000000002</v>
      </c>
      <c r="C228">
        <v>6.2</v>
      </c>
      <c r="D228">
        <v>0.50700000000000001</v>
      </c>
      <c r="E228">
        <v>6.6180000000000003</v>
      </c>
      <c r="F228">
        <v>80.8</v>
      </c>
      <c r="G228">
        <v>3.2721</v>
      </c>
      <c r="H228">
        <v>8</v>
      </c>
      <c r="I228">
        <v>307</v>
      </c>
      <c r="J228">
        <v>17.399999999999999</v>
      </c>
      <c r="K228">
        <v>396.9</v>
      </c>
      <c r="L228">
        <v>7.6</v>
      </c>
      <c r="M228">
        <v>30.1</v>
      </c>
      <c r="N228" s="107">
        <f t="shared" si="3"/>
        <v>30.437320774950436</v>
      </c>
      <c r="O228" s="92"/>
    </row>
    <row r="229" spans="1:15">
      <c r="A229">
        <v>1</v>
      </c>
      <c r="B229">
        <v>0.31533</v>
      </c>
      <c r="C229">
        <v>6.2</v>
      </c>
      <c r="D229">
        <v>0.504</v>
      </c>
      <c r="E229">
        <v>8.266</v>
      </c>
      <c r="F229">
        <v>78.3</v>
      </c>
      <c r="G229">
        <v>2.8944000000000001</v>
      </c>
      <c r="H229">
        <v>8</v>
      </c>
      <c r="I229">
        <v>307</v>
      </c>
      <c r="J229">
        <v>17.399999999999999</v>
      </c>
      <c r="K229">
        <v>385.05</v>
      </c>
      <c r="L229">
        <v>4.1399999999999997</v>
      </c>
      <c r="M229">
        <v>44.8</v>
      </c>
      <c r="N229" s="107">
        <f t="shared" si="3"/>
        <v>39.400028795623875</v>
      </c>
      <c r="O229" s="92"/>
    </row>
    <row r="230" spans="1:15">
      <c r="A230">
        <v>1</v>
      </c>
      <c r="B230">
        <v>0.52693000000000001</v>
      </c>
      <c r="C230">
        <v>6.2</v>
      </c>
      <c r="D230">
        <v>0.504</v>
      </c>
      <c r="E230">
        <v>8.7249999999999996</v>
      </c>
      <c r="F230">
        <v>83</v>
      </c>
      <c r="G230">
        <v>2.8944000000000001</v>
      </c>
      <c r="H230">
        <v>8</v>
      </c>
      <c r="I230">
        <v>307</v>
      </c>
      <c r="J230">
        <v>17.399999999999999</v>
      </c>
      <c r="K230">
        <v>382</v>
      </c>
      <c r="L230">
        <v>4.63</v>
      </c>
      <c r="M230">
        <v>50</v>
      </c>
      <c r="N230" s="107">
        <f t="shared" si="3"/>
        <v>40.948510450306109</v>
      </c>
      <c r="O230" s="92"/>
    </row>
    <row r="231" spans="1:15">
      <c r="A231">
        <v>1</v>
      </c>
      <c r="B231">
        <v>0.38213999999999998</v>
      </c>
      <c r="C231">
        <v>6.2</v>
      </c>
      <c r="D231">
        <v>0.504</v>
      </c>
      <c r="E231">
        <v>8.0399999999999991</v>
      </c>
      <c r="F231">
        <v>86.5</v>
      </c>
      <c r="G231">
        <v>3.2157</v>
      </c>
      <c r="H231">
        <v>8</v>
      </c>
      <c r="I231">
        <v>307</v>
      </c>
      <c r="J231">
        <v>17.399999999999999</v>
      </c>
      <c r="K231">
        <v>387.38</v>
      </c>
      <c r="L231">
        <v>3.13</v>
      </c>
      <c r="M231">
        <v>37.6</v>
      </c>
      <c r="N231" s="107">
        <f t="shared" si="3"/>
        <v>38.615057294387327</v>
      </c>
      <c r="O231" s="92"/>
    </row>
    <row r="232" spans="1:15">
      <c r="A232">
        <v>1</v>
      </c>
      <c r="B232">
        <v>0.41238000000000002</v>
      </c>
      <c r="C232">
        <v>6.2</v>
      </c>
      <c r="D232">
        <v>0.504</v>
      </c>
      <c r="E232">
        <v>7.1630000000000003</v>
      </c>
      <c r="F232">
        <v>79.900000000000006</v>
      </c>
      <c r="G232">
        <v>3.2157</v>
      </c>
      <c r="H232">
        <v>8</v>
      </c>
      <c r="I232">
        <v>307</v>
      </c>
      <c r="J232">
        <v>17.399999999999999</v>
      </c>
      <c r="K232">
        <v>372.08</v>
      </c>
      <c r="L232">
        <v>6.36</v>
      </c>
      <c r="M232">
        <v>31.6</v>
      </c>
      <c r="N232" s="107">
        <f t="shared" si="3"/>
        <v>33.209427230262612</v>
      </c>
      <c r="O232" s="92"/>
    </row>
    <row r="233" spans="1:15">
      <c r="A233">
        <v>1</v>
      </c>
      <c r="B233">
        <v>0.29819000000000001</v>
      </c>
      <c r="C233">
        <v>6.2</v>
      </c>
      <c r="D233">
        <v>0.504</v>
      </c>
      <c r="E233">
        <v>7.6859999999999999</v>
      </c>
      <c r="F233">
        <v>17</v>
      </c>
      <c r="G233">
        <v>3.3751000000000002</v>
      </c>
      <c r="H233">
        <v>8</v>
      </c>
      <c r="I233">
        <v>307</v>
      </c>
      <c r="J233">
        <v>17.399999999999999</v>
      </c>
      <c r="K233">
        <v>377.51</v>
      </c>
      <c r="L233">
        <v>3.92</v>
      </c>
      <c r="M233">
        <v>46.7</v>
      </c>
      <c r="N233" s="107">
        <f t="shared" si="3"/>
        <v>36.660394585516158</v>
      </c>
      <c r="O233" s="92"/>
    </row>
    <row r="234" spans="1:15">
      <c r="A234">
        <v>1</v>
      </c>
      <c r="B234">
        <v>0.44178000000000001</v>
      </c>
      <c r="C234">
        <v>6.2</v>
      </c>
      <c r="D234">
        <v>0.504</v>
      </c>
      <c r="E234">
        <v>6.5519999999999996</v>
      </c>
      <c r="F234">
        <v>21.4</v>
      </c>
      <c r="G234">
        <v>3.3751000000000002</v>
      </c>
      <c r="H234">
        <v>8</v>
      </c>
      <c r="I234">
        <v>307</v>
      </c>
      <c r="J234">
        <v>17.399999999999999</v>
      </c>
      <c r="K234">
        <v>380.34</v>
      </c>
      <c r="L234">
        <v>3.76</v>
      </c>
      <c r="M234">
        <v>31.5</v>
      </c>
      <c r="N234" s="107">
        <f t="shared" si="3"/>
        <v>32.125452569368534</v>
      </c>
      <c r="O234" s="92"/>
    </row>
    <row r="235" spans="1:15">
      <c r="A235">
        <v>1</v>
      </c>
      <c r="B235">
        <v>0.53700000000000003</v>
      </c>
      <c r="C235">
        <v>6.2</v>
      </c>
      <c r="D235">
        <v>0.504</v>
      </c>
      <c r="E235">
        <v>5.9809999999999999</v>
      </c>
      <c r="F235">
        <v>68.099999999999994</v>
      </c>
      <c r="G235">
        <v>3.6715</v>
      </c>
      <c r="H235">
        <v>8</v>
      </c>
      <c r="I235">
        <v>307</v>
      </c>
      <c r="J235">
        <v>17.399999999999999</v>
      </c>
      <c r="K235">
        <v>378.35</v>
      </c>
      <c r="L235">
        <v>11.65</v>
      </c>
      <c r="M235">
        <v>24.3</v>
      </c>
      <c r="N235" s="107">
        <f t="shared" si="3"/>
        <v>25.144405853475</v>
      </c>
      <c r="O235" s="92"/>
    </row>
    <row r="236" spans="1:15">
      <c r="A236">
        <v>1</v>
      </c>
      <c r="B236">
        <v>0.46295999999999998</v>
      </c>
      <c r="C236">
        <v>6.2</v>
      </c>
      <c r="D236">
        <v>0.504</v>
      </c>
      <c r="E236">
        <v>7.4119999999999999</v>
      </c>
      <c r="F236">
        <v>76.900000000000006</v>
      </c>
      <c r="G236">
        <v>3.6715</v>
      </c>
      <c r="H236">
        <v>8</v>
      </c>
      <c r="I236">
        <v>307</v>
      </c>
      <c r="J236">
        <v>17.399999999999999</v>
      </c>
      <c r="K236">
        <v>376.14</v>
      </c>
      <c r="L236">
        <v>5.25</v>
      </c>
      <c r="M236">
        <v>31.7</v>
      </c>
      <c r="N236" s="107">
        <f t="shared" si="3"/>
        <v>34.297892039857466</v>
      </c>
      <c r="O236" s="92"/>
    </row>
    <row r="237" spans="1:15">
      <c r="A237">
        <v>1</v>
      </c>
      <c r="B237">
        <v>0.57528999999999997</v>
      </c>
      <c r="C237">
        <v>6.2</v>
      </c>
      <c r="D237">
        <v>0.50700000000000001</v>
      </c>
      <c r="E237">
        <v>8.3369999999999997</v>
      </c>
      <c r="F237">
        <v>73.3</v>
      </c>
      <c r="G237">
        <v>3.8384</v>
      </c>
      <c r="H237">
        <v>8</v>
      </c>
      <c r="I237">
        <v>307</v>
      </c>
      <c r="J237">
        <v>17.399999999999999</v>
      </c>
      <c r="K237">
        <v>385.91</v>
      </c>
      <c r="L237">
        <v>2.4700000000000002</v>
      </c>
      <c r="M237">
        <v>41.7</v>
      </c>
      <c r="N237" s="107">
        <f t="shared" si="3"/>
        <v>39.365108102294137</v>
      </c>
      <c r="O237" s="92"/>
    </row>
    <row r="238" spans="1:15">
      <c r="A238">
        <v>1</v>
      </c>
      <c r="B238">
        <v>0.33146999999999999</v>
      </c>
      <c r="C238">
        <v>6.2</v>
      </c>
      <c r="D238">
        <v>0.50700000000000001</v>
      </c>
      <c r="E238">
        <v>8.2469999999999999</v>
      </c>
      <c r="F238">
        <v>70.400000000000006</v>
      </c>
      <c r="G238">
        <v>3.6518999999999999</v>
      </c>
      <c r="H238">
        <v>8</v>
      </c>
      <c r="I238">
        <v>307</v>
      </c>
      <c r="J238">
        <v>17.399999999999999</v>
      </c>
      <c r="K238">
        <v>378.95</v>
      </c>
      <c r="L238">
        <v>3.95</v>
      </c>
      <c r="M238">
        <v>48.3</v>
      </c>
      <c r="N238" s="107">
        <f t="shared" si="3"/>
        <v>38.411312981941443</v>
      </c>
      <c r="O238" s="92"/>
    </row>
    <row r="239" spans="1:15">
      <c r="A239">
        <v>1</v>
      </c>
      <c r="B239">
        <v>0.44790999999999997</v>
      </c>
      <c r="C239">
        <v>6.2</v>
      </c>
      <c r="D239">
        <v>0.50700000000000001</v>
      </c>
      <c r="E239">
        <v>6.726</v>
      </c>
      <c r="F239">
        <v>66.5</v>
      </c>
      <c r="G239">
        <v>3.6518999999999999</v>
      </c>
      <c r="H239">
        <v>8</v>
      </c>
      <c r="I239">
        <v>307</v>
      </c>
      <c r="J239">
        <v>17.399999999999999</v>
      </c>
      <c r="K239">
        <v>360.2</v>
      </c>
      <c r="L239">
        <v>8.0500000000000007</v>
      </c>
      <c r="M239">
        <v>29</v>
      </c>
      <c r="N239" s="107">
        <f t="shared" si="3"/>
        <v>29.874916013255788</v>
      </c>
      <c r="O239" s="92"/>
    </row>
    <row r="240" spans="1:15">
      <c r="A240">
        <v>1</v>
      </c>
      <c r="B240">
        <v>0.33045000000000002</v>
      </c>
      <c r="C240">
        <v>6.2</v>
      </c>
      <c r="D240">
        <v>0.50700000000000001</v>
      </c>
      <c r="E240">
        <v>6.0860000000000003</v>
      </c>
      <c r="F240">
        <v>61.5</v>
      </c>
      <c r="G240">
        <v>3.6518999999999999</v>
      </c>
      <c r="H240">
        <v>8</v>
      </c>
      <c r="I240">
        <v>307</v>
      </c>
      <c r="J240">
        <v>17.399999999999999</v>
      </c>
      <c r="K240">
        <v>376.75</v>
      </c>
      <c r="L240">
        <v>10.88</v>
      </c>
      <c r="M240">
        <v>24</v>
      </c>
      <c r="N240" s="107">
        <f t="shared" si="3"/>
        <v>25.969814080817375</v>
      </c>
      <c r="O240" s="92"/>
    </row>
    <row r="241" spans="1:15">
      <c r="A241">
        <v>1</v>
      </c>
      <c r="B241">
        <v>0.52058000000000004</v>
      </c>
      <c r="C241">
        <v>6.2</v>
      </c>
      <c r="D241">
        <v>0.50700000000000001</v>
      </c>
      <c r="E241">
        <v>6.6310000000000002</v>
      </c>
      <c r="F241">
        <v>76.5</v>
      </c>
      <c r="G241">
        <v>4.1479999999999997</v>
      </c>
      <c r="H241">
        <v>8</v>
      </c>
      <c r="I241">
        <v>307</v>
      </c>
      <c r="J241">
        <v>17.399999999999999</v>
      </c>
      <c r="K241">
        <v>388.45</v>
      </c>
      <c r="L241">
        <v>9.5399999999999991</v>
      </c>
      <c r="M241">
        <v>25.1</v>
      </c>
      <c r="N241" s="107">
        <f t="shared" si="3"/>
        <v>28.349500281966531</v>
      </c>
      <c r="O241" s="92"/>
    </row>
    <row r="242" spans="1:15">
      <c r="A242">
        <v>1</v>
      </c>
      <c r="B242">
        <v>0.51183000000000001</v>
      </c>
      <c r="C242">
        <v>6.2</v>
      </c>
      <c r="D242">
        <v>0.50700000000000001</v>
      </c>
      <c r="E242">
        <v>7.3579999999999997</v>
      </c>
      <c r="F242">
        <v>71.599999999999994</v>
      </c>
      <c r="G242">
        <v>4.1479999999999997</v>
      </c>
      <c r="H242">
        <v>8</v>
      </c>
      <c r="I242">
        <v>307</v>
      </c>
      <c r="J242">
        <v>17.399999999999999</v>
      </c>
      <c r="K242">
        <v>390.07</v>
      </c>
      <c r="L242">
        <v>4.7300000000000004</v>
      </c>
      <c r="M242">
        <v>31.5</v>
      </c>
      <c r="N242" s="107">
        <f t="shared" si="3"/>
        <v>33.867007558268689</v>
      </c>
      <c r="O242" s="92"/>
    </row>
    <row r="243" spans="1:15">
      <c r="A243">
        <v>1</v>
      </c>
      <c r="B243">
        <v>8.2439999999999999E-2</v>
      </c>
      <c r="C243">
        <v>4.93</v>
      </c>
      <c r="D243">
        <v>0.42799999999999999</v>
      </c>
      <c r="E243">
        <v>6.4809999999999999</v>
      </c>
      <c r="F243">
        <v>18.5</v>
      </c>
      <c r="G243">
        <v>6.1898999999999997</v>
      </c>
      <c r="H243">
        <v>6</v>
      </c>
      <c r="I243">
        <v>300</v>
      </c>
      <c r="J243">
        <v>16.600000000000001</v>
      </c>
      <c r="K243">
        <v>379.41</v>
      </c>
      <c r="L243">
        <v>6.36</v>
      </c>
      <c r="M243">
        <v>23.7</v>
      </c>
      <c r="N243" s="107">
        <f t="shared" si="3"/>
        <v>28.804139502488468</v>
      </c>
      <c r="O243" s="92"/>
    </row>
    <row r="244" spans="1:15">
      <c r="A244">
        <v>1</v>
      </c>
      <c r="B244">
        <v>9.2520000000000005E-2</v>
      </c>
      <c r="C244">
        <v>4.93</v>
      </c>
      <c r="D244">
        <v>0.42799999999999999</v>
      </c>
      <c r="E244">
        <v>6.6059999999999999</v>
      </c>
      <c r="F244">
        <v>42.2</v>
      </c>
      <c r="G244">
        <v>6.1898999999999997</v>
      </c>
      <c r="H244">
        <v>6</v>
      </c>
      <c r="I244">
        <v>300</v>
      </c>
      <c r="J244">
        <v>16.600000000000001</v>
      </c>
      <c r="K244">
        <v>383.78</v>
      </c>
      <c r="L244">
        <v>7.37</v>
      </c>
      <c r="M244">
        <v>23.3</v>
      </c>
      <c r="N244" s="107">
        <f t="shared" si="3"/>
        <v>28.762402859589599</v>
      </c>
      <c r="O244" s="92"/>
    </row>
    <row r="245" spans="1:15">
      <c r="A245">
        <v>1</v>
      </c>
      <c r="B245">
        <v>0.11329</v>
      </c>
      <c r="C245">
        <v>4.93</v>
      </c>
      <c r="D245">
        <v>0.42799999999999999</v>
      </c>
      <c r="E245">
        <v>6.8970000000000002</v>
      </c>
      <c r="F245">
        <v>54.3</v>
      </c>
      <c r="G245">
        <v>6.3361000000000001</v>
      </c>
      <c r="H245">
        <v>6</v>
      </c>
      <c r="I245">
        <v>300</v>
      </c>
      <c r="J245">
        <v>16.600000000000001</v>
      </c>
      <c r="K245">
        <v>391.25</v>
      </c>
      <c r="L245">
        <v>11.38</v>
      </c>
      <c r="M245">
        <v>22</v>
      </c>
      <c r="N245" s="107">
        <f t="shared" si="3"/>
        <v>27.705010967674568</v>
      </c>
      <c r="O245" s="92"/>
    </row>
    <row r="246" spans="1:15">
      <c r="A246">
        <v>1</v>
      </c>
      <c r="B246">
        <v>0.10612000000000001</v>
      </c>
      <c r="C246">
        <v>4.93</v>
      </c>
      <c r="D246">
        <v>0.42799999999999999</v>
      </c>
      <c r="E246">
        <v>6.0949999999999998</v>
      </c>
      <c r="F246">
        <v>65.099999999999994</v>
      </c>
      <c r="G246">
        <v>6.3361000000000001</v>
      </c>
      <c r="H246">
        <v>6</v>
      </c>
      <c r="I246">
        <v>300</v>
      </c>
      <c r="J246">
        <v>16.600000000000001</v>
      </c>
      <c r="K246">
        <v>394.62</v>
      </c>
      <c r="L246">
        <v>12.4</v>
      </c>
      <c r="M246">
        <v>20.100000000000001</v>
      </c>
      <c r="N246" s="107">
        <f t="shared" si="3"/>
        <v>23.907147978995116</v>
      </c>
      <c r="O246" s="92"/>
    </row>
    <row r="247" spans="1:15">
      <c r="A247">
        <v>1</v>
      </c>
      <c r="B247">
        <v>0.10290000000000001</v>
      </c>
      <c r="C247">
        <v>4.93</v>
      </c>
      <c r="D247">
        <v>0.42799999999999999</v>
      </c>
      <c r="E247">
        <v>6.3579999999999997</v>
      </c>
      <c r="F247">
        <v>52.9</v>
      </c>
      <c r="G247">
        <v>7.0354999999999999</v>
      </c>
      <c r="H247">
        <v>6</v>
      </c>
      <c r="I247">
        <v>300</v>
      </c>
      <c r="J247">
        <v>16.600000000000001</v>
      </c>
      <c r="K247">
        <v>372.75</v>
      </c>
      <c r="L247">
        <v>11.22</v>
      </c>
      <c r="M247">
        <v>22.2</v>
      </c>
      <c r="N247" s="107">
        <f t="shared" si="3"/>
        <v>24.569020969326736</v>
      </c>
      <c r="O247" s="92"/>
    </row>
    <row r="248" spans="1:15">
      <c r="A248">
        <v>1</v>
      </c>
      <c r="B248">
        <v>0.12756999999999999</v>
      </c>
      <c r="C248">
        <v>4.93</v>
      </c>
      <c r="D248">
        <v>0.42799999999999999</v>
      </c>
      <c r="E248">
        <v>6.3929999999999998</v>
      </c>
      <c r="F248">
        <v>7.8</v>
      </c>
      <c r="G248">
        <v>7.0354999999999999</v>
      </c>
      <c r="H248">
        <v>6</v>
      </c>
      <c r="I248">
        <v>300</v>
      </c>
      <c r="J248">
        <v>16.600000000000001</v>
      </c>
      <c r="K248">
        <v>374.71</v>
      </c>
      <c r="L248">
        <v>5.19</v>
      </c>
      <c r="M248">
        <v>23.7</v>
      </c>
      <c r="N248" s="107">
        <f t="shared" si="3"/>
        <v>28.013940992939322</v>
      </c>
      <c r="O248" s="92"/>
    </row>
    <row r="249" spans="1:15">
      <c r="A249">
        <v>1</v>
      </c>
      <c r="B249">
        <v>0.20608000000000001</v>
      </c>
      <c r="C249">
        <v>5.86</v>
      </c>
      <c r="D249">
        <v>0.43099999999999999</v>
      </c>
      <c r="E249">
        <v>5.593</v>
      </c>
      <c r="F249">
        <v>76.5</v>
      </c>
      <c r="G249">
        <v>7.9549000000000003</v>
      </c>
      <c r="H249">
        <v>7</v>
      </c>
      <c r="I249">
        <v>330</v>
      </c>
      <c r="J249">
        <v>19.100000000000001</v>
      </c>
      <c r="K249">
        <v>372.49</v>
      </c>
      <c r="L249">
        <v>12.5</v>
      </c>
      <c r="M249">
        <v>17.600000000000001</v>
      </c>
      <c r="N249" s="107">
        <f t="shared" si="3"/>
        <v>16.704840132667787</v>
      </c>
      <c r="O249" s="92"/>
    </row>
    <row r="250" spans="1:15">
      <c r="A250">
        <v>1</v>
      </c>
      <c r="B250">
        <v>0.19133</v>
      </c>
      <c r="C250">
        <v>5.86</v>
      </c>
      <c r="D250">
        <v>0.43099999999999999</v>
      </c>
      <c r="E250">
        <v>5.6050000000000004</v>
      </c>
      <c r="F250">
        <v>70.2</v>
      </c>
      <c r="G250">
        <v>7.9549000000000003</v>
      </c>
      <c r="H250">
        <v>7</v>
      </c>
      <c r="I250">
        <v>330</v>
      </c>
      <c r="J250">
        <v>19.100000000000001</v>
      </c>
      <c r="K250">
        <v>389.13</v>
      </c>
      <c r="L250">
        <v>18.46</v>
      </c>
      <c r="M250">
        <v>18.5</v>
      </c>
      <c r="N250" s="107">
        <f t="shared" si="3"/>
        <v>13.806464489557872</v>
      </c>
      <c r="O250" s="92"/>
    </row>
    <row r="251" spans="1:15">
      <c r="A251">
        <v>1</v>
      </c>
      <c r="B251">
        <v>0.33983000000000002</v>
      </c>
      <c r="C251">
        <v>5.86</v>
      </c>
      <c r="D251">
        <v>0.43099999999999999</v>
      </c>
      <c r="E251">
        <v>6.1079999999999997</v>
      </c>
      <c r="F251">
        <v>34.9</v>
      </c>
      <c r="G251">
        <v>8.0555000000000003</v>
      </c>
      <c r="H251">
        <v>7</v>
      </c>
      <c r="I251">
        <v>330</v>
      </c>
      <c r="J251">
        <v>19.100000000000001</v>
      </c>
      <c r="K251">
        <v>390.18</v>
      </c>
      <c r="L251">
        <v>9.16</v>
      </c>
      <c r="M251">
        <v>24.3</v>
      </c>
      <c r="N251" s="107">
        <f t="shared" si="3"/>
        <v>20.705726171769264</v>
      </c>
      <c r="O251" s="92"/>
    </row>
    <row r="252" spans="1:15">
      <c r="A252">
        <v>1</v>
      </c>
      <c r="B252">
        <v>0.19656999999999999</v>
      </c>
      <c r="C252">
        <v>5.86</v>
      </c>
      <c r="D252">
        <v>0.43099999999999999</v>
      </c>
      <c r="E252">
        <v>6.226</v>
      </c>
      <c r="F252">
        <v>79.2</v>
      </c>
      <c r="G252">
        <v>8.0555000000000003</v>
      </c>
      <c r="H252">
        <v>7</v>
      </c>
      <c r="I252">
        <v>330</v>
      </c>
      <c r="J252">
        <v>19.100000000000001</v>
      </c>
      <c r="K252">
        <v>376.14</v>
      </c>
      <c r="L252">
        <v>10.15</v>
      </c>
      <c r="M252">
        <v>20.5</v>
      </c>
      <c r="N252" s="107">
        <f t="shared" si="3"/>
        <v>20.425899569896099</v>
      </c>
      <c r="O252" s="92"/>
    </row>
    <row r="253" spans="1:15">
      <c r="A253">
        <v>1</v>
      </c>
      <c r="B253">
        <v>0.16439000000000001</v>
      </c>
      <c r="C253">
        <v>5.86</v>
      </c>
      <c r="D253">
        <v>0.43099999999999999</v>
      </c>
      <c r="E253">
        <v>6.4329999999999998</v>
      </c>
      <c r="F253">
        <v>49.1</v>
      </c>
      <c r="G253">
        <v>7.8265000000000002</v>
      </c>
      <c r="H253">
        <v>7</v>
      </c>
      <c r="I253">
        <v>330</v>
      </c>
      <c r="J253">
        <v>19.100000000000001</v>
      </c>
      <c r="K253">
        <v>374.71</v>
      </c>
      <c r="L253">
        <v>9.52</v>
      </c>
      <c r="M253">
        <v>24.5</v>
      </c>
      <c r="N253" s="107">
        <f t="shared" si="3"/>
        <v>21.946128141935311</v>
      </c>
      <c r="O253" s="92"/>
    </row>
    <row r="254" spans="1:15">
      <c r="A254">
        <v>1</v>
      </c>
      <c r="B254">
        <v>0.19073000000000001</v>
      </c>
      <c r="C254">
        <v>5.86</v>
      </c>
      <c r="D254">
        <v>0.43099999999999999</v>
      </c>
      <c r="E254">
        <v>6.718</v>
      </c>
      <c r="F254">
        <v>17.5</v>
      </c>
      <c r="G254">
        <v>7.8265000000000002</v>
      </c>
      <c r="H254">
        <v>7</v>
      </c>
      <c r="I254">
        <v>330</v>
      </c>
      <c r="J254">
        <v>19.100000000000001</v>
      </c>
      <c r="K254">
        <v>393.74</v>
      </c>
      <c r="L254">
        <v>6.56</v>
      </c>
      <c r="M254">
        <v>26.2</v>
      </c>
      <c r="N254" s="107">
        <f t="shared" si="3"/>
        <v>24.929966293395807</v>
      </c>
      <c r="O254" s="92"/>
    </row>
    <row r="255" spans="1:15">
      <c r="A255">
        <v>1</v>
      </c>
      <c r="B255">
        <v>0.14030000000000001</v>
      </c>
      <c r="C255">
        <v>5.86</v>
      </c>
      <c r="D255">
        <v>0.43099999999999999</v>
      </c>
      <c r="E255">
        <v>6.4870000000000001</v>
      </c>
      <c r="F255">
        <v>13</v>
      </c>
      <c r="G255">
        <v>7.3967000000000001</v>
      </c>
      <c r="H255">
        <v>7</v>
      </c>
      <c r="I255">
        <v>330</v>
      </c>
      <c r="J255">
        <v>19.100000000000001</v>
      </c>
      <c r="K255">
        <v>396.28</v>
      </c>
      <c r="L255">
        <v>5.9</v>
      </c>
      <c r="M255">
        <v>24.4</v>
      </c>
      <c r="N255" s="107">
        <f t="shared" si="3"/>
        <v>24.897621702848461</v>
      </c>
      <c r="O255" s="92"/>
    </row>
    <row r="256" spans="1:15">
      <c r="A256">
        <v>1</v>
      </c>
      <c r="B256">
        <v>0.21409</v>
      </c>
      <c r="C256">
        <v>5.86</v>
      </c>
      <c r="D256">
        <v>0.43099999999999999</v>
      </c>
      <c r="E256">
        <v>6.4379999999999997</v>
      </c>
      <c r="F256">
        <v>8.9</v>
      </c>
      <c r="G256">
        <v>7.3967000000000001</v>
      </c>
      <c r="H256">
        <v>7</v>
      </c>
      <c r="I256">
        <v>330</v>
      </c>
      <c r="J256">
        <v>19.100000000000001</v>
      </c>
      <c r="K256">
        <v>377.07</v>
      </c>
      <c r="L256">
        <v>3.59</v>
      </c>
      <c r="M256">
        <v>24.8</v>
      </c>
      <c r="N256" s="107">
        <f t="shared" si="3"/>
        <v>25.724829981517534</v>
      </c>
      <c r="O256" s="92"/>
    </row>
    <row r="257" spans="1:15">
      <c r="A257">
        <v>1</v>
      </c>
      <c r="B257">
        <v>8.2210000000000005E-2</v>
      </c>
      <c r="C257">
        <v>5.86</v>
      </c>
      <c r="D257">
        <v>0.43099999999999999</v>
      </c>
      <c r="E257">
        <v>6.9569999999999999</v>
      </c>
      <c r="F257">
        <v>6.8</v>
      </c>
      <c r="G257">
        <v>8.9067000000000007</v>
      </c>
      <c r="H257">
        <v>7</v>
      </c>
      <c r="I257">
        <v>330</v>
      </c>
      <c r="J257">
        <v>19.100000000000001</v>
      </c>
      <c r="K257">
        <v>386.09</v>
      </c>
      <c r="L257">
        <v>3.53</v>
      </c>
      <c r="M257">
        <v>29.6</v>
      </c>
      <c r="N257" s="107">
        <f t="shared" si="3"/>
        <v>26.151635082986807</v>
      </c>
      <c r="O257" s="92"/>
    </row>
    <row r="258" spans="1:15">
      <c r="A258">
        <v>1</v>
      </c>
      <c r="B258">
        <v>0.36893999999999999</v>
      </c>
      <c r="C258">
        <v>5.86</v>
      </c>
      <c r="D258">
        <v>0.43099999999999999</v>
      </c>
      <c r="E258">
        <v>8.2590000000000003</v>
      </c>
      <c r="F258">
        <v>8.4</v>
      </c>
      <c r="G258">
        <v>8.9067000000000007</v>
      </c>
      <c r="H258">
        <v>7</v>
      </c>
      <c r="I258">
        <v>330</v>
      </c>
      <c r="J258">
        <v>19.100000000000001</v>
      </c>
      <c r="K258">
        <v>396.9</v>
      </c>
      <c r="L258">
        <v>3.54</v>
      </c>
      <c r="M258">
        <v>42.8</v>
      </c>
      <c r="N258" s="107">
        <f t="shared" si="3"/>
        <v>31.523858629159133</v>
      </c>
      <c r="O258" s="92"/>
    </row>
    <row r="259" spans="1:15">
      <c r="A259">
        <v>1</v>
      </c>
      <c r="B259">
        <v>4.8189999999999997E-2</v>
      </c>
      <c r="C259">
        <v>3.64</v>
      </c>
      <c r="D259">
        <v>0.39200000000000002</v>
      </c>
      <c r="E259">
        <v>6.1079999999999997</v>
      </c>
      <c r="F259">
        <v>32</v>
      </c>
      <c r="G259">
        <v>9.2202999999999999</v>
      </c>
      <c r="H259">
        <v>1</v>
      </c>
      <c r="I259">
        <v>315</v>
      </c>
      <c r="J259">
        <v>16.399999999999999</v>
      </c>
      <c r="K259">
        <v>392.89</v>
      </c>
      <c r="L259">
        <v>6.57</v>
      </c>
      <c r="M259">
        <v>21.9</v>
      </c>
      <c r="N259" s="107">
        <f t="shared" si="3"/>
        <v>22.765480473733898</v>
      </c>
      <c r="O259" s="92"/>
    </row>
    <row r="260" spans="1:15">
      <c r="A260">
        <v>1</v>
      </c>
      <c r="B260">
        <v>3.5479999999999998E-2</v>
      </c>
      <c r="C260">
        <v>3.64</v>
      </c>
      <c r="D260">
        <v>0.39200000000000002</v>
      </c>
      <c r="E260">
        <v>5.8760000000000003</v>
      </c>
      <c r="F260">
        <v>19.100000000000001</v>
      </c>
      <c r="G260">
        <v>9.2202999999999999</v>
      </c>
      <c r="H260">
        <v>1</v>
      </c>
      <c r="I260">
        <v>315</v>
      </c>
      <c r="J260">
        <v>16.399999999999999</v>
      </c>
      <c r="K260">
        <v>395.18</v>
      </c>
      <c r="L260">
        <v>9.25</v>
      </c>
      <c r="M260">
        <v>20.9</v>
      </c>
      <c r="N260" s="107">
        <f t="shared" si="3"/>
        <v>20.471053269420079</v>
      </c>
      <c r="O260" s="92"/>
    </row>
    <row r="261" spans="1:15">
      <c r="A261">
        <v>1</v>
      </c>
      <c r="B261">
        <v>1.538E-2</v>
      </c>
      <c r="C261">
        <v>3.75</v>
      </c>
      <c r="D261">
        <v>0.39400000000000002</v>
      </c>
      <c r="E261">
        <v>7.4539999999999997</v>
      </c>
      <c r="F261">
        <v>34.200000000000003</v>
      </c>
      <c r="G261">
        <v>6.3361000000000001</v>
      </c>
      <c r="H261">
        <v>3</v>
      </c>
      <c r="I261">
        <v>244</v>
      </c>
      <c r="J261">
        <v>15.9</v>
      </c>
      <c r="K261">
        <v>386.34</v>
      </c>
      <c r="L261">
        <v>3.11</v>
      </c>
      <c r="M261">
        <v>44</v>
      </c>
      <c r="N261" s="107">
        <f t="shared" ref="N261:N324" si="4">SUMPRODUCT($A$2:$L$2,A261:L261)</f>
        <v>35.404899529241654</v>
      </c>
      <c r="O261" s="92"/>
    </row>
    <row r="262" spans="1:15">
      <c r="A262">
        <v>1</v>
      </c>
      <c r="B262">
        <v>0.61153999999999997</v>
      </c>
      <c r="C262">
        <v>3.97</v>
      </c>
      <c r="D262">
        <v>0.64700000000000002</v>
      </c>
      <c r="E262">
        <v>8.7040000000000006</v>
      </c>
      <c r="F262">
        <v>86.9</v>
      </c>
      <c r="G262">
        <v>1.8009999999999999</v>
      </c>
      <c r="H262">
        <v>5</v>
      </c>
      <c r="I262">
        <v>264</v>
      </c>
      <c r="J262">
        <v>13</v>
      </c>
      <c r="K262">
        <v>389.7</v>
      </c>
      <c r="L262">
        <v>5.12</v>
      </c>
      <c r="M262">
        <v>50</v>
      </c>
      <c r="N262" s="107">
        <f t="shared" si="4"/>
        <v>43.927482589864631</v>
      </c>
      <c r="O262" s="92"/>
    </row>
    <row r="263" spans="1:15">
      <c r="A263">
        <v>1</v>
      </c>
      <c r="B263">
        <v>0.66351000000000004</v>
      </c>
      <c r="C263">
        <v>3.97</v>
      </c>
      <c r="D263">
        <v>0.64700000000000002</v>
      </c>
      <c r="E263">
        <v>7.3330000000000002</v>
      </c>
      <c r="F263">
        <v>100</v>
      </c>
      <c r="G263">
        <v>1.8946000000000001</v>
      </c>
      <c r="H263">
        <v>5</v>
      </c>
      <c r="I263">
        <v>264</v>
      </c>
      <c r="J263">
        <v>13</v>
      </c>
      <c r="K263">
        <v>383.29</v>
      </c>
      <c r="L263">
        <v>7.79</v>
      </c>
      <c r="M263">
        <v>36</v>
      </c>
      <c r="N263" s="107">
        <f t="shared" si="4"/>
        <v>36.723085889950902</v>
      </c>
      <c r="O263" s="92"/>
    </row>
    <row r="264" spans="1:15">
      <c r="A264">
        <v>1</v>
      </c>
      <c r="B264">
        <v>0.65664999999999996</v>
      </c>
      <c r="C264">
        <v>3.97</v>
      </c>
      <c r="D264">
        <v>0.64700000000000002</v>
      </c>
      <c r="E264">
        <v>6.8419999999999996</v>
      </c>
      <c r="F264">
        <v>100</v>
      </c>
      <c r="G264">
        <v>2.0106999999999999</v>
      </c>
      <c r="H264">
        <v>5</v>
      </c>
      <c r="I264">
        <v>264</v>
      </c>
      <c r="J264">
        <v>13</v>
      </c>
      <c r="K264">
        <v>391.93</v>
      </c>
      <c r="L264">
        <v>6.9</v>
      </c>
      <c r="M264">
        <v>30.1</v>
      </c>
      <c r="N264" s="107">
        <f t="shared" si="4"/>
        <v>35.135221476651715</v>
      </c>
      <c r="O264" s="92"/>
    </row>
    <row r="265" spans="1:15">
      <c r="A265">
        <v>1</v>
      </c>
      <c r="B265">
        <v>0.54010999999999998</v>
      </c>
      <c r="C265">
        <v>3.97</v>
      </c>
      <c r="D265">
        <v>0.64700000000000002</v>
      </c>
      <c r="E265">
        <v>7.2030000000000003</v>
      </c>
      <c r="F265">
        <v>81.8</v>
      </c>
      <c r="G265">
        <v>2.1120999999999999</v>
      </c>
      <c r="H265">
        <v>5</v>
      </c>
      <c r="I265">
        <v>264</v>
      </c>
      <c r="J265">
        <v>13</v>
      </c>
      <c r="K265">
        <v>392.8</v>
      </c>
      <c r="L265">
        <v>9.59</v>
      </c>
      <c r="M265">
        <v>33.799999999999997</v>
      </c>
      <c r="N265" s="107">
        <f t="shared" si="4"/>
        <v>35.139709919216628</v>
      </c>
      <c r="O265" s="92"/>
    </row>
    <row r="266" spans="1:15">
      <c r="A266">
        <v>1</v>
      </c>
      <c r="B266">
        <v>0.53412000000000004</v>
      </c>
      <c r="C266">
        <v>3.97</v>
      </c>
      <c r="D266">
        <v>0.64700000000000002</v>
      </c>
      <c r="E266">
        <v>7.52</v>
      </c>
      <c r="F266">
        <v>89.4</v>
      </c>
      <c r="G266">
        <v>2.1398000000000001</v>
      </c>
      <c r="H266">
        <v>5</v>
      </c>
      <c r="I266">
        <v>264</v>
      </c>
      <c r="J266">
        <v>13</v>
      </c>
      <c r="K266">
        <v>388.37</v>
      </c>
      <c r="L266">
        <v>7.26</v>
      </c>
      <c r="M266">
        <v>43.1</v>
      </c>
      <c r="N266" s="107">
        <f t="shared" si="4"/>
        <v>37.558037062152799</v>
      </c>
      <c r="O266" s="92"/>
    </row>
    <row r="267" spans="1:15">
      <c r="A267">
        <v>1</v>
      </c>
      <c r="B267">
        <v>0.52014000000000005</v>
      </c>
      <c r="C267">
        <v>3.97</v>
      </c>
      <c r="D267">
        <v>0.64700000000000002</v>
      </c>
      <c r="E267">
        <v>8.3979999999999997</v>
      </c>
      <c r="F267">
        <v>91.5</v>
      </c>
      <c r="G267">
        <v>2.2885</v>
      </c>
      <c r="H267">
        <v>5</v>
      </c>
      <c r="I267">
        <v>264</v>
      </c>
      <c r="J267">
        <v>13</v>
      </c>
      <c r="K267">
        <v>386.86</v>
      </c>
      <c r="L267">
        <v>5.91</v>
      </c>
      <c r="M267">
        <v>48.8</v>
      </c>
      <c r="N267" s="107">
        <f t="shared" si="4"/>
        <v>41.645243608184792</v>
      </c>
      <c r="O267" s="92"/>
    </row>
    <row r="268" spans="1:15">
      <c r="A268">
        <v>1</v>
      </c>
      <c r="B268">
        <v>0.82525999999999999</v>
      </c>
      <c r="C268">
        <v>3.97</v>
      </c>
      <c r="D268">
        <v>0.64700000000000002</v>
      </c>
      <c r="E268">
        <v>7.327</v>
      </c>
      <c r="F268">
        <v>94.5</v>
      </c>
      <c r="G268">
        <v>2.0788000000000002</v>
      </c>
      <c r="H268">
        <v>5</v>
      </c>
      <c r="I268">
        <v>264</v>
      </c>
      <c r="J268">
        <v>13</v>
      </c>
      <c r="K268">
        <v>393.42</v>
      </c>
      <c r="L268">
        <v>11.25</v>
      </c>
      <c r="M268">
        <v>31</v>
      </c>
      <c r="N268" s="107">
        <f t="shared" si="4"/>
        <v>34.756622169464478</v>
      </c>
      <c r="O268" s="92"/>
    </row>
    <row r="269" spans="1:15">
      <c r="A269">
        <v>1</v>
      </c>
      <c r="B269">
        <v>0.55006999999999995</v>
      </c>
      <c r="C269">
        <v>3.97</v>
      </c>
      <c r="D269">
        <v>0.64700000000000002</v>
      </c>
      <c r="E269">
        <v>7.2060000000000004</v>
      </c>
      <c r="F269">
        <v>91.6</v>
      </c>
      <c r="G269">
        <v>1.9300999999999999</v>
      </c>
      <c r="H269">
        <v>5</v>
      </c>
      <c r="I269">
        <v>264</v>
      </c>
      <c r="J269">
        <v>13</v>
      </c>
      <c r="K269">
        <v>387.89</v>
      </c>
      <c r="L269">
        <v>8.1</v>
      </c>
      <c r="M269">
        <v>36.5</v>
      </c>
      <c r="N269" s="107">
        <f t="shared" si="4"/>
        <v>36.07919484430375</v>
      </c>
      <c r="O269" s="92"/>
    </row>
    <row r="270" spans="1:15">
      <c r="A270">
        <v>1</v>
      </c>
      <c r="B270">
        <v>0.76161999999999996</v>
      </c>
      <c r="C270">
        <v>3.97</v>
      </c>
      <c r="D270">
        <v>0.64700000000000002</v>
      </c>
      <c r="E270">
        <v>5.56</v>
      </c>
      <c r="F270">
        <v>62.8</v>
      </c>
      <c r="G270">
        <v>1.9864999999999999</v>
      </c>
      <c r="H270">
        <v>5</v>
      </c>
      <c r="I270">
        <v>264</v>
      </c>
      <c r="J270">
        <v>13</v>
      </c>
      <c r="K270">
        <v>392.4</v>
      </c>
      <c r="L270">
        <v>10.45</v>
      </c>
      <c r="M270">
        <v>22.8</v>
      </c>
      <c r="N270" s="107">
        <f t="shared" si="4"/>
        <v>28.16938499391286</v>
      </c>
      <c r="O270" s="92"/>
    </row>
    <row r="271" spans="1:15">
      <c r="A271">
        <v>1</v>
      </c>
      <c r="B271">
        <v>0.78569999999999995</v>
      </c>
      <c r="C271">
        <v>3.97</v>
      </c>
      <c r="D271">
        <v>0.64700000000000002</v>
      </c>
      <c r="E271">
        <v>7.0140000000000002</v>
      </c>
      <c r="F271">
        <v>84.6</v>
      </c>
      <c r="G271">
        <v>2.1328999999999998</v>
      </c>
      <c r="H271">
        <v>5</v>
      </c>
      <c r="I271">
        <v>264</v>
      </c>
      <c r="J271">
        <v>13</v>
      </c>
      <c r="K271">
        <v>384.07</v>
      </c>
      <c r="L271">
        <v>14.79</v>
      </c>
      <c r="M271">
        <v>30.7</v>
      </c>
      <c r="N271" s="107">
        <f t="shared" si="4"/>
        <v>31.495278669838097</v>
      </c>
      <c r="O271" s="92"/>
    </row>
    <row r="272" spans="1:15">
      <c r="A272">
        <v>1</v>
      </c>
      <c r="B272">
        <v>0.57833999999999997</v>
      </c>
      <c r="C272">
        <v>3.97</v>
      </c>
      <c r="D272">
        <v>0.57499999999999996</v>
      </c>
      <c r="E272">
        <v>8.2970000000000006</v>
      </c>
      <c r="F272">
        <v>67</v>
      </c>
      <c r="G272">
        <v>2.4216000000000002</v>
      </c>
      <c r="H272">
        <v>5</v>
      </c>
      <c r="I272">
        <v>264</v>
      </c>
      <c r="J272">
        <v>13</v>
      </c>
      <c r="K272">
        <v>384.54</v>
      </c>
      <c r="L272">
        <v>7.44</v>
      </c>
      <c r="M272">
        <v>50</v>
      </c>
      <c r="N272" s="107">
        <f t="shared" si="4"/>
        <v>41.588964210958011</v>
      </c>
      <c r="O272" s="92"/>
    </row>
    <row r="273" spans="1:15">
      <c r="A273">
        <v>1</v>
      </c>
      <c r="B273">
        <v>0.54049999999999998</v>
      </c>
      <c r="C273">
        <v>3.97</v>
      </c>
      <c r="D273">
        <v>0.57499999999999996</v>
      </c>
      <c r="E273">
        <v>7.47</v>
      </c>
      <c r="F273">
        <v>52.6</v>
      </c>
      <c r="G273">
        <v>2.8719999999999999</v>
      </c>
      <c r="H273">
        <v>5</v>
      </c>
      <c r="I273">
        <v>264</v>
      </c>
      <c r="J273">
        <v>13</v>
      </c>
      <c r="K273">
        <v>390.3</v>
      </c>
      <c r="L273">
        <v>3.16</v>
      </c>
      <c r="M273">
        <v>43.5</v>
      </c>
      <c r="N273" s="107">
        <f t="shared" si="4"/>
        <v>40.020478149206227</v>
      </c>
      <c r="O273" s="92"/>
    </row>
    <row r="274" spans="1:15">
      <c r="A274">
        <v>1</v>
      </c>
      <c r="B274">
        <v>9.0649999999999994E-2</v>
      </c>
      <c r="C274">
        <v>6.96</v>
      </c>
      <c r="D274">
        <v>0.46400000000000002</v>
      </c>
      <c r="E274">
        <v>5.92</v>
      </c>
      <c r="F274">
        <v>61.5</v>
      </c>
      <c r="G274">
        <v>3.9175</v>
      </c>
      <c r="H274">
        <v>3</v>
      </c>
      <c r="I274">
        <v>223</v>
      </c>
      <c r="J274">
        <v>18.600000000000001</v>
      </c>
      <c r="K274">
        <v>391.34</v>
      </c>
      <c r="L274">
        <v>13.65</v>
      </c>
      <c r="M274">
        <v>20.7</v>
      </c>
      <c r="N274" s="107">
        <f t="shared" si="4"/>
        <v>22.501966528682168</v>
      </c>
      <c r="O274" s="92"/>
    </row>
    <row r="275" spans="1:15">
      <c r="A275">
        <v>1</v>
      </c>
      <c r="B275">
        <v>0.29915999999999998</v>
      </c>
      <c r="C275">
        <v>6.96</v>
      </c>
      <c r="D275">
        <v>0.46400000000000002</v>
      </c>
      <c r="E275">
        <v>5.8559999999999999</v>
      </c>
      <c r="F275">
        <v>42.1</v>
      </c>
      <c r="G275">
        <v>4.4290000000000003</v>
      </c>
      <c r="H275">
        <v>3</v>
      </c>
      <c r="I275">
        <v>223</v>
      </c>
      <c r="J275">
        <v>18.600000000000001</v>
      </c>
      <c r="K275">
        <v>388.65</v>
      </c>
      <c r="L275">
        <v>13</v>
      </c>
      <c r="M275">
        <v>21.1</v>
      </c>
      <c r="N275" s="107">
        <f t="shared" si="4"/>
        <v>21.966776129976441</v>
      </c>
      <c r="O275" s="92"/>
    </row>
    <row r="276" spans="1:15">
      <c r="A276">
        <v>1</v>
      </c>
      <c r="B276">
        <v>0.16211</v>
      </c>
      <c r="C276">
        <v>6.96</v>
      </c>
      <c r="D276">
        <v>0.46400000000000002</v>
      </c>
      <c r="E276">
        <v>6.24</v>
      </c>
      <c r="F276">
        <v>16.3</v>
      </c>
      <c r="G276">
        <v>4.4290000000000003</v>
      </c>
      <c r="H276">
        <v>3</v>
      </c>
      <c r="I276">
        <v>223</v>
      </c>
      <c r="J276">
        <v>18.600000000000001</v>
      </c>
      <c r="K276">
        <v>396.9</v>
      </c>
      <c r="L276">
        <v>6.59</v>
      </c>
      <c r="M276">
        <v>25.2</v>
      </c>
      <c r="N276" s="107">
        <f t="shared" si="4"/>
        <v>27.060799709378429</v>
      </c>
      <c r="O276" s="92"/>
    </row>
    <row r="277" spans="1:15">
      <c r="A277">
        <v>1</v>
      </c>
      <c r="B277">
        <v>0.11459999999999999</v>
      </c>
      <c r="C277">
        <v>6.96</v>
      </c>
      <c r="D277">
        <v>0.46400000000000002</v>
      </c>
      <c r="E277">
        <v>6.5380000000000003</v>
      </c>
      <c r="F277">
        <v>58.7</v>
      </c>
      <c r="G277">
        <v>3.9175</v>
      </c>
      <c r="H277">
        <v>3</v>
      </c>
      <c r="I277">
        <v>223</v>
      </c>
      <c r="J277">
        <v>18.600000000000001</v>
      </c>
      <c r="K277">
        <v>394.96</v>
      </c>
      <c r="L277">
        <v>7.73</v>
      </c>
      <c r="M277">
        <v>24.4</v>
      </c>
      <c r="N277" s="107">
        <f t="shared" si="4"/>
        <v>28.168964146528488</v>
      </c>
      <c r="O277" s="92"/>
    </row>
    <row r="278" spans="1:15">
      <c r="A278">
        <v>1</v>
      </c>
      <c r="B278">
        <v>0.22187999999999999</v>
      </c>
      <c r="C278">
        <v>6.96</v>
      </c>
      <c r="D278">
        <v>0.46400000000000002</v>
      </c>
      <c r="E278">
        <v>7.6909999999999998</v>
      </c>
      <c r="F278">
        <v>51.8</v>
      </c>
      <c r="G278">
        <v>4.3665000000000003</v>
      </c>
      <c r="H278">
        <v>3</v>
      </c>
      <c r="I278">
        <v>223</v>
      </c>
      <c r="J278">
        <v>18.600000000000001</v>
      </c>
      <c r="K278">
        <v>390.77</v>
      </c>
      <c r="L278">
        <v>6.58</v>
      </c>
      <c r="M278">
        <v>35.200000000000003</v>
      </c>
      <c r="N278" s="107">
        <f t="shared" si="4"/>
        <v>32.89306777883619</v>
      </c>
      <c r="O278" s="92"/>
    </row>
    <row r="279" spans="1:15">
      <c r="A279">
        <v>1</v>
      </c>
      <c r="B279">
        <v>5.6439999999999997E-2</v>
      </c>
      <c r="C279">
        <v>6.41</v>
      </c>
      <c r="D279">
        <v>0.44700000000000001</v>
      </c>
      <c r="E279">
        <v>6.758</v>
      </c>
      <c r="F279">
        <v>32.9</v>
      </c>
      <c r="G279">
        <v>4.0776000000000003</v>
      </c>
      <c r="H279">
        <v>4</v>
      </c>
      <c r="I279">
        <v>254</v>
      </c>
      <c r="J279">
        <v>17.600000000000001</v>
      </c>
      <c r="K279">
        <v>396.9</v>
      </c>
      <c r="L279">
        <v>3.53</v>
      </c>
      <c r="M279">
        <v>32.4</v>
      </c>
      <c r="N279" s="107">
        <f t="shared" si="4"/>
        <v>32.561184697899016</v>
      </c>
      <c r="O279" s="92"/>
    </row>
    <row r="280" spans="1:15">
      <c r="A280">
        <v>1</v>
      </c>
      <c r="B280">
        <v>9.604E-2</v>
      </c>
      <c r="C280">
        <v>6.41</v>
      </c>
      <c r="D280">
        <v>0.44700000000000001</v>
      </c>
      <c r="E280">
        <v>6.8540000000000001</v>
      </c>
      <c r="F280">
        <v>42.8</v>
      </c>
      <c r="G280">
        <v>4.2672999999999996</v>
      </c>
      <c r="H280">
        <v>4</v>
      </c>
      <c r="I280">
        <v>254</v>
      </c>
      <c r="J280">
        <v>17.600000000000001</v>
      </c>
      <c r="K280">
        <v>396.9</v>
      </c>
      <c r="L280">
        <v>2.98</v>
      </c>
      <c r="M280">
        <v>32</v>
      </c>
      <c r="N280" s="107">
        <f t="shared" si="4"/>
        <v>32.981245389249288</v>
      </c>
      <c r="O280" s="92"/>
    </row>
    <row r="281" spans="1:15">
      <c r="A281">
        <v>1</v>
      </c>
      <c r="B281">
        <v>0.10469000000000001</v>
      </c>
      <c r="C281">
        <v>6.41</v>
      </c>
      <c r="D281">
        <v>0.44700000000000001</v>
      </c>
      <c r="E281">
        <v>7.2670000000000003</v>
      </c>
      <c r="F281">
        <v>49</v>
      </c>
      <c r="G281">
        <v>4.7872000000000003</v>
      </c>
      <c r="H281">
        <v>4</v>
      </c>
      <c r="I281">
        <v>254</v>
      </c>
      <c r="J281">
        <v>17.600000000000001</v>
      </c>
      <c r="K281">
        <v>389.25</v>
      </c>
      <c r="L281">
        <v>6.05</v>
      </c>
      <c r="M281">
        <v>33.200000000000003</v>
      </c>
      <c r="N281" s="107">
        <f t="shared" si="4"/>
        <v>32.330134805155794</v>
      </c>
      <c r="O281" s="92"/>
    </row>
    <row r="282" spans="1:15">
      <c r="A282">
        <v>1</v>
      </c>
      <c r="B282">
        <v>6.1269999999999998E-2</v>
      </c>
      <c r="C282">
        <v>6.41</v>
      </c>
      <c r="D282">
        <v>0.44700000000000001</v>
      </c>
      <c r="E282">
        <v>6.8259999999999996</v>
      </c>
      <c r="F282">
        <v>27.6</v>
      </c>
      <c r="G282">
        <v>4.8628</v>
      </c>
      <c r="H282">
        <v>4</v>
      </c>
      <c r="I282">
        <v>254</v>
      </c>
      <c r="J282">
        <v>17.600000000000001</v>
      </c>
      <c r="K282">
        <v>393.45</v>
      </c>
      <c r="L282">
        <v>4.16</v>
      </c>
      <c r="M282">
        <v>33.1</v>
      </c>
      <c r="N282" s="107">
        <f t="shared" si="4"/>
        <v>31.536745757641754</v>
      </c>
      <c r="O282" s="92"/>
    </row>
    <row r="283" spans="1:15">
      <c r="A283">
        <v>1</v>
      </c>
      <c r="B283">
        <v>7.9780000000000004E-2</v>
      </c>
      <c r="C283">
        <v>6.41</v>
      </c>
      <c r="D283">
        <v>0.44700000000000001</v>
      </c>
      <c r="E283">
        <v>6.4820000000000002</v>
      </c>
      <c r="F283">
        <v>32.1</v>
      </c>
      <c r="G283">
        <v>4.1402999999999999</v>
      </c>
      <c r="H283">
        <v>4</v>
      </c>
      <c r="I283">
        <v>254</v>
      </c>
      <c r="J283">
        <v>17.600000000000001</v>
      </c>
      <c r="K283">
        <v>396.9</v>
      </c>
      <c r="L283">
        <v>7.19</v>
      </c>
      <c r="M283">
        <v>29.1</v>
      </c>
      <c r="N283" s="107">
        <f t="shared" si="4"/>
        <v>29.438717521425982</v>
      </c>
      <c r="O283" s="92"/>
    </row>
    <row r="284" spans="1:15">
      <c r="A284">
        <v>1</v>
      </c>
      <c r="B284">
        <v>0.21038000000000001</v>
      </c>
      <c r="C284">
        <v>3.33</v>
      </c>
      <c r="D284">
        <v>0.44290000000000002</v>
      </c>
      <c r="E284">
        <v>6.8120000000000003</v>
      </c>
      <c r="F284">
        <v>32.200000000000003</v>
      </c>
      <c r="G284">
        <v>4.1006999999999998</v>
      </c>
      <c r="H284">
        <v>5</v>
      </c>
      <c r="I284">
        <v>216</v>
      </c>
      <c r="J284">
        <v>14.9</v>
      </c>
      <c r="K284">
        <v>396.9</v>
      </c>
      <c r="L284">
        <v>4.8499999999999996</v>
      </c>
      <c r="M284">
        <v>35.1</v>
      </c>
      <c r="N284" s="107">
        <f t="shared" si="4"/>
        <v>35.836041069739814</v>
      </c>
      <c r="O284" s="92"/>
    </row>
    <row r="285" spans="1:15">
      <c r="A285">
        <v>1</v>
      </c>
      <c r="B285">
        <v>3.5779999999999999E-2</v>
      </c>
      <c r="C285">
        <v>3.33</v>
      </c>
      <c r="D285">
        <v>0.44290000000000002</v>
      </c>
      <c r="E285">
        <v>7.82</v>
      </c>
      <c r="F285">
        <v>64.5</v>
      </c>
      <c r="G285">
        <v>4.6947000000000001</v>
      </c>
      <c r="H285">
        <v>5</v>
      </c>
      <c r="I285">
        <v>216</v>
      </c>
      <c r="J285">
        <v>14.9</v>
      </c>
      <c r="K285">
        <v>387.31</v>
      </c>
      <c r="L285">
        <v>3.76</v>
      </c>
      <c r="M285">
        <v>45.4</v>
      </c>
      <c r="N285" s="107">
        <f t="shared" si="4"/>
        <v>39.634563498131577</v>
      </c>
      <c r="O285" s="92"/>
    </row>
    <row r="286" spans="1:15">
      <c r="A286">
        <v>1</v>
      </c>
      <c r="B286">
        <v>3.705E-2</v>
      </c>
      <c r="C286">
        <v>3.33</v>
      </c>
      <c r="D286">
        <v>0.44290000000000002</v>
      </c>
      <c r="E286">
        <v>6.968</v>
      </c>
      <c r="F286">
        <v>37.200000000000003</v>
      </c>
      <c r="G286">
        <v>5.2446999999999999</v>
      </c>
      <c r="H286">
        <v>5</v>
      </c>
      <c r="I286">
        <v>216</v>
      </c>
      <c r="J286">
        <v>14.9</v>
      </c>
      <c r="K286">
        <v>392.23</v>
      </c>
      <c r="L286">
        <v>4.59</v>
      </c>
      <c r="M286">
        <v>35.4</v>
      </c>
      <c r="N286" s="107">
        <f t="shared" si="4"/>
        <v>35.182387360513005</v>
      </c>
      <c r="O286" s="92"/>
    </row>
    <row r="287" spans="1:15">
      <c r="A287">
        <v>1</v>
      </c>
      <c r="B287">
        <v>6.1289999999999997E-2</v>
      </c>
      <c r="C287">
        <v>3.33</v>
      </c>
      <c r="D287">
        <v>0.44290000000000002</v>
      </c>
      <c r="E287">
        <v>7.6449999999999996</v>
      </c>
      <c r="F287">
        <v>49.7</v>
      </c>
      <c r="G287">
        <v>5.2119</v>
      </c>
      <c r="H287">
        <v>5</v>
      </c>
      <c r="I287">
        <v>216</v>
      </c>
      <c r="J287">
        <v>14.9</v>
      </c>
      <c r="K287">
        <v>377.07</v>
      </c>
      <c r="L287">
        <v>3.01</v>
      </c>
      <c r="M287">
        <v>46</v>
      </c>
      <c r="N287" s="107">
        <f t="shared" si="4"/>
        <v>38.625079742945502</v>
      </c>
      <c r="O287" s="92"/>
    </row>
    <row r="288" spans="1:15">
      <c r="A288">
        <v>1</v>
      </c>
      <c r="B288">
        <v>1.5010000000000001E-2</v>
      </c>
      <c r="C288">
        <v>1.21</v>
      </c>
      <c r="D288">
        <v>0.40100000000000002</v>
      </c>
      <c r="E288">
        <v>7.923</v>
      </c>
      <c r="F288">
        <v>24.8</v>
      </c>
      <c r="G288">
        <v>5.8849999999999998</v>
      </c>
      <c r="H288">
        <v>1</v>
      </c>
      <c r="I288">
        <v>198</v>
      </c>
      <c r="J288">
        <v>13.6</v>
      </c>
      <c r="K288">
        <v>395.52</v>
      </c>
      <c r="L288">
        <v>3.16</v>
      </c>
      <c r="M288">
        <v>50</v>
      </c>
      <c r="N288" s="107">
        <f t="shared" si="4"/>
        <v>40.273644315445658</v>
      </c>
      <c r="O288" s="92"/>
    </row>
    <row r="289" spans="1:15">
      <c r="A289">
        <v>1</v>
      </c>
      <c r="B289">
        <v>9.0600000000000003E-3</v>
      </c>
      <c r="C289">
        <v>2.97</v>
      </c>
      <c r="D289">
        <v>0.4</v>
      </c>
      <c r="E289">
        <v>7.0880000000000001</v>
      </c>
      <c r="F289">
        <v>20.8</v>
      </c>
      <c r="G289">
        <v>7.3072999999999997</v>
      </c>
      <c r="H289">
        <v>1</v>
      </c>
      <c r="I289">
        <v>285</v>
      </c>
      <c r="J289">
        <v>15.3</v>
      </c>
      <c r="K289">
        <v>394.72</v>
      </c>
      <c r="L289">
        <v>7.85</v>
      </c>
      <c r="M289">
        <v>32.200000000000003</v>
      </c>
      <c r="N289" s="107">
        <f t="shared" si="4"/>
        <v>29.86954508626588</v>
      </c>
      <c r="O289" s="92"/>
    </row>
    <row r="290" spans="1:15">
      <c r="A290">
        <v>1</v>
      </c>
      <c r="B290">
        <v>1.0959999999999999E-2</v>
      </c>
      <c r="C290">
        <v>2.25</v>
      </c>
      <c r="D290">
        <v>0.38900000000000001</v>
      </c>
      <c r="E290">
        <v>6.4530000000000003</v>
      </c>
      <c r="F290">
        <v>31.9</v>
      </c>
      <c r="G290">
        <v>7.3072999999999997</v>
      </c>
      <c r="H290">
        <v>1</v>
      </c>
      <c r="I290">
        <v>300</v>
      </c>
      <c r="J290">
        <v>15.3</v>
      </c>
      <c r="K290">
        <v>394.72</v>
      </c>
      <c r="L290">
        <v>8.23</v>
      </c>
      <c r="M290">
        <v>22</v>
      </c>
      <c r="N290" s="107">
        <f t="shared" si="4"/>
        <v>27.072700116715602</v>
      </c>
      <c r="O290" s="92"/>
    </row>
    <row r="291" spans="1:15">
      <c r="A291">
        <v>1</v>
      </c>
      <c r="B291">
        <v>1.9650000000000001E-2</v>
      </c>
      <c r="C291">
        <v>1.76</v>
      </c>
      <c r="D291">
        <v>0.38500000000000001</v>
      </c>
      <c r="E291">
        <v>6.23</v>
      </c>
      <c r="F291">
        <v>31.5</v>
      </c>
      <c r="G291">
        <v>9.0891999999999999</v>
      </c>
      <c r="H291">
        <v>1</v>
      </c>
      <c r="I291">
        <v>241</v>
      </c>
      <c r="J291">
        <v>18.2</v>
      </c>
      <c r="K291">
        <v>341.6</v>
      </c>
      <c r="L291">
        <v>12.93</v>
      </c>
      <c r="M291">
        <v>20.100000000000001</v>
      </c>
      <c r="N291" s="107">
        <f t="shared" si="4"/>
        <v>18.441840671578014</v>
      </c>
      <c r="O291" s="92"/>
    </row>
    <row r="292" spans="1:15">
      <c r="A292">
        <v>1</v>
      </c>
      <c r="B292">
        <v>3.8710000000000001E-2</v>
      </c>
      <c r="C292">
        <v>5.32</v>
      </c>
      <c r="D292">
        <v>0.40500000000000003</v>
      </c>
      <c r="E292">
        <v>6.2089999999999996</v>
      </c>
      <c r="F292">
        <v>31.3</v>
      </c>
      <c r="G292">
        <v>7.3171999999999997</v>
      </c>
      <c r="H292">
        <v>6</v>
      </c>
      <c r="I292">
        <v>293</v>
      </c>
      <c r="J292">
        <v>16.600000000000001</v>
      </c>
      <c r="K292">
        <v>396.9</v>
      </c>
      <c r="L292">
        <v>7.14</v>
      </c>
      <c r="M292">
        <v>23.2</v>
      </c>
      <c r="N292" s="107">
        <f t="shared" si="4"/>
        <v>26.558577158084493</v>
      </c>
      <c r="O292" s="92"/>
    </row>
    <row r="293" spans="1:15">
      <c r="A293">
        <v>1</v>
      </c>
      <c r="B293">
        <v>4.5900000000000003E-2</v>
      </c>
      <c r="C293">
        <v>5.32</v>
      </c>
      <c r="D293">
        <v>0.40500000000000003</v>
      </c>
      <c r="E293">
        <v>6.3150000000000004</v>
      </c>
      <c r="F293">
        <v>45.6</v>
      </c>
      <c r="G293">
        <v>7.3171999999999997</v>
      </c>
      <c r="H293">
        <v>6</v>
      </c>
      <c r="I293">
        <v>293</v>
      </c>
      <c r="J293">
        <v>16.600000000000001</v>
      </c>
      <c r="K293">
        <v>396.9</v>
      </c>
      <c r="L293">
        <v>7.6</v>
      </c>
      <c r="M293">
        <v>22.3</v>
      </c>
      <c r="N293" s="107">
        <f t="shared" si="4"/>
        <v>26.710335764690367</v>
      </c>
      <c r="O293" s="92"/>
    </row>
    <row r="294" spans="1:15">
      <c r="A294">
        <v>1</v>
      </c>
      <c r="B294">
        <v>4.2970000000000001E-2</v>
      </c>
      <c r="C294">
        <v>5.32</v>
      </c>
      <c r="D294">
        <v>0.40500000000000003</v>
      </c>
      <c r="E294">
        <v>6.5650000000000004</v>
      </c>
      <c r="F294">
        <v>22.9</v>
      </c>
      <c r="G294">
        <v>7.3171999999999997</v>
      </c>
      <c r="H294">
        <v>6</v>
      </c>
      <c r="I294">
        <v>293</v>
      </c>
      <c r="J294">
        <v>16.600000000000001</v>
      </c>
      <c r="K294">
        <v>371.72</v>
      </c>
      <c r="L294">
        <v>9.51</v>
      </c>
      <c r="M294">
        <v>24.8</v>
      </c>
      <c r="N294" s="107">
        <f t="shared" si="4"/>
        <v>26.538316373615764</v>
      </c>
      <c r="O294" s="92"/>
    </row>
    <row r="295" spans="1:15">
      <c r="A295">
        <v>1</v>
      </c>
      <c r="B295">
        <v>3.5020000000000003E-2</v>
      </c>
      <c r="C295">
        <v>4.95</v>
      </c>
      <c r="D295">
        <v>0.41099999999999998</v>
      </c>
      <c r="E295">
        <v>6.8609999999999998</v>
      </c>
      <c r="F295">
        <v>27.9</v>
      </c>
      <c r="G295">
        <v>5.1166999999999998</v>
      </c>
      <c r="H295">
        <v>4</v>
      </c>
      <c r="I295">
        <v>245</v>
      </c>
      <c r="J295">
        <v>19.2</v>
      </c>
      <c r="K295">
        <v>396.9</v>
      </c>
      <c r="L295">
        <v>3.33</v>
      </c>
      <c r="M295">
        <v>28.5</v>
      </c>
      <c r="N295" s="107">
        <f t="shared" si="4"/>
        <v>30.747348148254215</v>
      </c>
      <c r="O295" s="92"/>
    </row>
    <row r="296" spans="1:15">
      <c r="A296">
        <v>1</v>
      </c>
      <c r="B296">
        <v>7.886E-2</v>
      </c>
      <c r="C296">
        <v>4.95</v>
      </c>
      <c r="D296">
        <v>0.41099999999999998</v>
      </c>
      <c r="E296">
        <v>7.1479999999999997</v>
      </c>
      <c r="F296">
        <v>27.7</v>
      </c>
      <c r="G296">
        <v>5.1166999999999998</v>
      </c>
      <c r="H296">
        <v>4</v>
      </c>
      <c r="I296">
        <v>245</v>
      </c>
      <c r="J296">
        <v>19.2</v>
      </c>
      <c r="K296">
        <v>396.9</v>
      </c>
      <c r="L296">
        <v>3.56</v>
      </c>
      <c r="M296">
        <v>37.299999999999997</v>
      </c>
      <c r="N296" s="107">
        <f t="shared" si="4"/>
        <v>31.791924492346876</v>
      </c>
      <c r="O296" s="92"/>
    </row>
    <row r="297" spans="1:15">
      <c r="A297">
        <v>1</v>
      </c>
      <c r="B297">
        <v>3.6150000000000002E-2</v>
      </c>
      <c r="C297">
        <v>4.95</v>
      </c>
      <c r="D297">
        <v>0.41099999999999998</v>
      </c>
      <c r="E297">
        <v>6.63</v>
      </c>
      <c r="F297">
        <v>23.4</v>
      </c>
      <c r="G297">
        <v>5.1166999999999998</v>
      </c>
      <c r="H297">
        <v>4</v>
      </c>
      <c r="I297">
        <v>245</v>
      </c>
      <c r="J297">
        <v>19.2</v>
      </c>
      <c r="K297">
        <v>396.9</v>
      </c>
      <c r="L297">
        <v>4.7</v>
      </c>
      <c r="M297">
        <v>27.9</v>
      </c>
      <c r="N297" s="107">
        <f t="shared" si="4"/>
        <v>29.098611381440318</v>
      </c>
      <c r="O297" s="92"/>
    </row>
    <row r="298" spans="1:15">
      <c r="A298">
        <v>1</v>
      </c>
      <c r="B298">
        <v>8.2650000000000001E-2</v>
      </c>
      <c r="C298">
        <v>13.92</v>
      </c>
      <c r="D298">
        <v>0.437</v>
      </c>
      <c r="E298">
        <v>6.1269999999999998</v>
      </c>
      <c r="F298">
        <v>18.399999999999999</v>
      </c>
      <c r="G298">
        <v>5.5026999999999999</v>
      </c>
      <c r="H298">
        <v>4</v>
      </c>
      <c r="I298">
        <v>289</v>
      </c>
      <c r="J298">
        <v>16</v>
      </c>
      <c r="K298">
        <v>396.9</v>
      </c>
      <c r="L298">
        <v>8.58</v>
      </c>
      <c r="M298">
        <v>23.9</v>
      </c>
      <c r="N298" s="107">
        <f t="shared" si="4"/>
        <v>27.393022836180478</v>
      </c>
      <c r="O298" s="92"/>
    </row>
    <row r="299" spans="1:15">
      <c r="A299">
        <v>1</v>
      </c>
      <c r="B299">
        <v>8.1989999999999993E-2</v>
      </c>
      <c r="C299">
        <v>13.92</v>
      </c>
      <c r="D299">
        <v>0.437</v>
      </c>
      <c r="E299">
        <v>6.0090000000000003</v>
      </c>
      <c r="F299">
        <v>42.3</v>
      </c>
      <c r="G299">
        <v>5.5026999999999999</v>
      </c>
      <c r="H299">
        <v>4</v>
      </c>
      <c r="I299">
        <v>289</v>
      </c>
      <c r="J299">
        <v>16</v>
      </c>
      <c r="K299">
        <v>396.9</v>
      </c>
      <c r="L299">
        <v>10.4</v>
      </c>
      <c r="M299">
        <v>21.7</v>
      </c>
      <c r="N299" s="107">
        <f t="shared" si="4"/>
        <v>25.893425066572963</v>
      </c>
      <c r="O299" s="92"/>
    </row>
    <row r="300" spans="1:15">
      <c r="A300">
        <v>1</v>
      </c>
      <c r="B300">
        <v>0.12931999999999999</v>
      </c>
      <c r="C300">
        <v>13.92</v>
      </c>
      <c r="D300">
        <v>0.437</v>
      </c>
      <c r="E300">
        <v>6.6779999999999999</v>
      </c>
      <c r="F300">
        <v>31.1</v>
      </c>
      <c r="G300">
        <v>5.9603999999999999</v>
      </c>
      <c r="H300">
        <v>4</v>
      </c>
      <c r="I300">
        <v>289</v>
      </c>
      <c r="J300">
        <v>16</v>
      </c>
      <c r="K300">
        <v>396.9</v>
      </c>
      <c r="L300">
        <v>6.27</v>
      </c>
      <c r="M300">
        <v>28.6</v>
      </c>
      <c r="N300" s="107">
        <f t="shared" si="4"/>
        <v>30.258582077252179</v>
      </c>
      <c r="O300" s="92"/>
    </row>
    <row r="301" spans="1:15">
      <c r="A301">
        <v>1</v>
      </c>
      <c r="B301">
        <v>5.3719999999999997E-2</v>
      </c>
      <c r="C301">
        <v>13.92</v>
      </c>
      <c r="D301">
        <v>0.437</v>
      </c>
      <c r="E301">
        <v>6.5490000000000004</v>
      </c>
      <c r="F301">
        <v>51</v>
      </c>
      <c r="G301">
        <v>5.9603999999999999</v>
      </c>
      <c r="H301">
        <v>4</v>
      </c>
      <c r="I301">
        <v>289</v>
      </c>
      <c r="J301">
        <v>16</v>
      </c>
      <c r="K301">
        <v>392.85</v>
      </c>
      <c r="L301">
        <v>7.39</v>
      </c>
      <c r="M301">
        <v>27.1</v>
      </c>
      <c r="N301" s="107">
        <f t="shared" si="4"/>
        <v>29.06014606456241</v>
      </c>
      <c r="O301" s="92"/>
    </row>
    <row r="302" spans="1:15">
      <c r="A302">
        <v>1</v>
      </c>
      <c r="B302">
        <v>0.14102999999999999</v>
      </c>
      <c r="C302">
        <v>13.92</v>
      </c>
      <c r="D302">
        <v>0.437</v>
      </c>
      <c r="E302">
        <v>5.79</v>
      </c>
      <c r="F302">
        <v>58</v>
      </c>
      <c r="G302">
        <v>6.32</v>
      </c>
      <c r="H302">
        <v>4</v>
      </c>
      <c r="I302">
        <v>289</v>
      </c>
      <c r="J302">
        <v>16</v>
      </c>
      <c r="K302">
        <v>396.9</v>
      </c>
      <c r="L302">
        <v>15.84</v>
      </c>
      <c r="M302">
        <v>20.3</v>
      </c>
      <c r="N302" s="107">
        <f t="shared" si="4"/>
        <v>21.108002181880437</v>
      </c>
      <c r="O302" s="92"/>
    </row>
    <row r="303" spans="1:15">
      <c r="A303">
        <v>1</v>
      </c>
      <c r="B303">
        <v>6.4659999999999995E-2</v>
      </c>
      <c r="C303">
        <v>2.2400000000000002</v>
      </c>
      <c r="D303">
        <v>0.4</v>
      </c>
      <c r="E303">
        <v>6.3449999999999998</v>
      </c>
      <c r="F303">
        <v>20.100000000000001</v>
      </c>
      <c r="G303">
        <v>7.8277999999999999</v>
      </c>
      <c r="H303">
        <v>5</v>
      </c>
      <c r="I303">
        <v>358</v>
      </c>
      <c r="J303">
        <v>14.8</v>
      </c>
      <c r="K303">
        <v>368.24</v>
      </c>
      <c r="L303">
        <v>4.97</v>
      </c>
      <c r="M303">
        <v>22.5</v>
      </c>
      <c r="N303" s="107">
        <f t="shared" si="4"/>
        <v>28.434667309250827</v>
      </c>
      <c r="O303" s="92"/>
    </row>
    <row r="304" spans="1:15">
      <c r="A304">
        <v>1</v>
      </c>
      <c r="B304">
        <v>5.561E-2</v>
      </c>
      <c r="C304">
        <v>2.2400000000000002</v>
      </c>
      <c r="D304">
        <v>0.4</v>
      </c>
      <c r="E304">
        <v>7.0410000000000004</v>
      </c>
      <c r="F304">
        <v>10</v>
      </c>
      <c r="G304">
        <v>7.8277999999999999</v>
      </c>
      <c r="H304">
        <v>5</v>
      </c>
      <c r="I304">
        <v>358</v>
      </c>
      <c r="J304">
        <v>14.8</v>
      </c>
      <c r="K304">
        <v>371.58</v>
      </c>
      <c r="L304">
        <v>4.74</v>
      </c>
      <c r="M304">
        <v>29</v>
      </c>
      <c r="N304" s="107">
        <f t="shared" si="4"/>
        <v>31.451780503272971</v>
      </c>
      <c r="O304" s="92"/>
    </row>
    <row r="305" spans="1:15">
      <c r="A305">
        <v>1</v>
      </c>
      <c r="B305">
        <v>4.4170000000000001E-2</v>
      </c>
      <c r="C305">
        <v>2.2400000000000002</v>
      </c>
      <c r="D305">
        <v>0.4</v>
      </c>
      <c r="E305">
        <v>6.8710000000000004</v>
      </c>
      <c r="F305">
        <v>47.4</v>
      </c>
      <c r="G305">
        <v>7.8277999999999999</v>
      </c>
      <c r="H305">
        <v>5</v>
      </c>
      <c r="I305">
        <v>358</v>
      </c>
      <c r="J305">
        <v>14.8</v>
      </c>
      <c r="K305">
        <v>390.86</v>
      </c>
      <c r="L305">
        <v>6.07</v>
      </c>
      <c r="M305">
        <v>24.8</v>
      </c>
      <c r="N305" s="107">
        <f t="shared" si="4"/>
        <v>30.152958995500253</v>
      </c>
      <c r="O305" s="92"/>
    </row>
    <row r="306" spans="1:15">
      <c r="A306">
        <v>1</v>
      </c>
      <c r="B306">
        <v>3.5369999999999999E-2</v>
      </c>
      <c r="C306">
        <v>6.09</v>
      </c>
      <c r="D306">
        <v>0.433</v>
      </c>
      <c r="E306">
        <v>6.59</v>
      </c>
      <c r="F306">
        <v>40.4</v>
      </c>
      <c r="G306">
        <v>5.4916999999999998</v>
      </c>
      <c r="H306">
        <v>7</v>
      </c>
      <c r="I306">
        <v>329</v>
      </c>
      <c r="J306">
        <v>16.100000000000001</v>
      </c>
      <c r="K306">
        <v>395.75</v>
      </c>
      <c r="L306">
        <v>9.5</v>
      </c>
      <c r="M306">
        <v>22</v>
      </c>
      <c r="N306" s="107">
        <f t="shared" si="4"/>
        <v>29.038395739412934</v>
      </c>
      <c r="O306" s="92"/>
    </row>
    <row r="307" spans="1:15">
      <c r="A307">
        <v>1</v>
      </c>
      <c r="B307">
        <v>9.2660000000000006E-2</v>
      </c>
      <c r="C307">
        <v>6.09</v>
      </c>
      <c r="D307">
        <v>0.433</v>
      </c>
      <c r="E307">
        <v>6.4950000000000001</v>
      </c>
      <c r="F307">
        <v>18.399999999999999</v>
      </c>
      <c r="G307">
        <v>5.4916999999999998</v>
      </c>
      <c r="H307">
        <v>7</v>
      </c>
      <c r="I307">
        <v>329</v>
      </c>
      <c r="J307">
        <v>16.100000000000001</v>
      </c>
      <c r="K307">
        <v>383.61</v>
      </c>
      <c r="L307">
        <v>8.67</v>
      </c>
      <c r="M307">
        <v>26.4</v>
      </c>
      <c r="N307" s="107">
        <f t="shared" si="4"/>
        <v>29.019823383250266</v>
      </c>
      <c r="O307" s="92"/>
    </row>
    <row r="308" spans="1:15">
      <c r="A308">
        <v>1</v>
      </c>
      <c r="B308">
        <v>0.1</v>
      </c>
      <c r="C308">
        <v>6.09</v>
      </c>
      <c r="D308">
        <v>0.433</v>
      </c>
      <c r="E308">
        <v>6.9820000000000002</v>
      </c>
      <c r="F308">
        <v>17.7</v>
      </c>
      <c r="G308">
        <v>5.4916999999999998</v>
      </c>
      <c r="H308">
        <v>7</v>
      </c>
      <c r="I308">
        <v>329</v>
      </c>
      <c r="J308">
        <v>16.100000000000001</v>
      </c>
      <c r="K308">
        <v>390.43</v>
      </c>
      <c r="L308">
        <v>4.8600000000000003</v>
      </c>
      <c r="M308">
        <v>33.1</v>
      </c>
      <c r="N308" s="107">
        <f t="shared" si="4"/>
        <v>33.072865524912466</v>
      </c>
      <c r="O308" s="92"/>
    </row>
    <row r="309" spans="1:15">
      <c r="A309">
        <v>1</v>
      </c>
      <c r="B309">
        <v>5.5149999999999998E-2</v>
      </c>
      <c r="C309">
        <v>2.1800000000000002</v>
      </c>
      <c r="D309">
        <v>0.47199999999999998</v>
      </c>
      <c r="E309">
        <v>7.2359999999999998</v>
      </c>
      <c r="F309">
        <v>41.1</v>
      </c>
      <c r="G309">
        <v>4.0220000000000002</v>
      </c>
      <c r="H309">
        <v>7</v>
      </c>
      <c r="I309">
        <v>222</v>
      </c>
      <c r="J309">
        <v>18.399999999999999</v>
      </c>
      <c r="K309">
        <v>393.68</v>
      </c>
      <c r="L309">
        <v>6.93</v>
      </c>
      <c r="M309">
        <v>36.1</v>
      </c>
      <c r="N309" s="107">
        <f t="shared" si="4"/>
        <v>32.572450541532852</v>
      </c>
      <c r="O309" s="92"/>
    </row>
    <row r="310" spans="1:15">
      <c r="A310">
        <v>1</v>
      </c>
      <c r="B310">
        <v>5.4789999999999998E-2</v>
      </c>
      <c r="C310">
        <v>2.1800000000000002</v>
      </c>
      <c r="D310">
        <v>0.47199999999999998</v>
      </c>
      <c r="E310">
        <v>6.6159999999999997</v>
      </c>
      <c r="F310">
        <v>58.1</v>
      </c>
      <c r="G310">
        <v>3.37</v>
      </c>
      <c r="H310">
        <v>7</v>
      </c>
      <c r="I310">
        <v>222</v>
      </c>
      <c r="J310">
        <v>18.399999999999999</v>
      </c>
      <c r="K310">
        <v>393.36</v>
      </c>
      <c r="L310">
        <v>8.93</v>
      </c>
      <c r="M310">
        <v>28.4</v>
      </c>
      <c r="N310" s="107">
        <f t="shared" si="4"/>
        <v>29.737119059111965</v>
      </c>
      <c r="O310" s="92"/>
    </row>
    <row r="311" spans="1:15">
      <c r="A311">
        <v>1</v>
      </c>
      <c r="B311">
        <v>7.5029999999999999E-2</v>
      </c>
      <c r="C311">
        <v>2.1800000000000002</v>
      </c>
      <c r="D311">
        <v>0.47199999999999998</v>
      </c>
      <c r="E311">
        <v>7.42</v>
      </c>
      <c r="F311">
        <v>71.900000000000006</v>
      </c>
      <c r="G311">
        <v>3.0992000000000002</v>
      </c>
      <c r="H311">
        <v>7</v>
      </c>
      <c r="I311">
        <v>222</v>
      </c>
      <c r="J311">
        <v>18.399999999999999</v>
      </c>
      <c r="K311">
        <v>396.9</v>
      </c>
      <c r="L311">
        <v>6.47</v>
      </c>
      <c r="M311">
        <v>33.4</v>
      </c>
      <c r="N311" s="107">
        <f t="shared" si="4"/>
        <v>34.62857763010561</v>
      </c>
      <c r="O311" s="92"/>
    </row>
    <row r="312" spans="1:15">
      <c r="A312">
        <v>1</v>
      </c>
      <c r="B312">
        <v>4.9320000000000003E-2</v>
      </c>
      <c r="C312">
        <v>2.1800000000000002</v>
      </c>
      <c r="D312">
        <v>0.47199999999999998</v>
      </c>
      <c r="E312">
        <v>6.8490000000000002</v>
      </c>
      <c r="F312">
        <v>70.3</v>
      </c>
      <c r="G312">
        <v>3.1827000000000001</v>
      </c>
      <c r="H312">
        <v>7</v>
      </c>
      <c r="I312">
        <v>222</v>
      </c>
      <c r="J312">
        <v>18.399999999999999</v>
      </c>
      <c r="K312">
        <v>396.9</v>
      </c>
      <c r="L312">
        <v>7.53</v>
      </c>
      <c r="M312">
        <v>28.2</v>
      </c>
      <c r="N312" s="107">
        <f t="shared" si="4"/>
        <v>31.651373862310791</v>
      </c>
      <c r="O312" s="92"/>
    </row>
    <row r="313" spans="1:15">
      <c r="A313">
        <v>1</v>
      </c>
      <c r="B313">
        <v>0.49297999999999997</v>
      </c>
      <c r="C313">
        <v>9.9</v>
      </c>
      <c r="D313">
        <v>0.54400000000000004</v>
      </c>
      <c r="E313">
        <v>6.6349999999999998</v>
      </c>
      <c r="F313">
        <v>82.5</v>
      </c>
      <c r="G313">
        <v>3.3174999999999999</v>
      </c>
      <c r="H313">
        <v>4</v>
      </c>
      <c r="I313">
        <v>304</v>
      </c>
      <c r="J313">
        <v>18.399999999999999</v>
      </c>
      <c r="K313">
        <v>396.9</v>
      </c>
      <c r="L313">
        <v>4.54</v>
      </c>
      <c r="M313">
        <v>22.8</v>
      </c>
      <c r="N313" s="107">
        <f t="shared" si="4"/>
        <v>29.157299185313381</v>
      </c>
      <c r="O313" s="92"/>
    </row>
    <row r="314" spans="1:15">
      <c r="A314">
        <v>1</v>
      </c>
      <c r="B314">
        <v>0.34939999999999999</v>
      </c>
      <c r="C314">
        <v>9.9</v>
      </c>
      <c r="D314">
        <v>0.54400000000000004</v>
      </c>
      <c r="E314">
        <v>5.9720000000000004</v>
      </c>
      <c r="F314">
        <v>76.7</v>
      </c>
      <c r="G314">
        <v>3.1025</v>
      </c>
      <c r="H314">
        <v>4</v>
      </c>
      <c r="I314">
        <v>304</v>
      </c>
      <c r="J314">
        <v>18.399999999999999</v>
      </c>
      <c r="K314">
        <v>396.24</v>
      </c>
      <c r="L314">
        <v>9.9700000000000006</v>
      </c>
      <c r="M314">
        <v>20.3</v>
      </c>
      <c r="N314" s="107">
        <f t="shared" si="4"/>
        <v>23.888727686176153</v>
      </c>
      <c r="O314" s="92"/>
    </row>
    <row r="315" spans="1:15">
      <c r="A315">
        <v>1</v>
      </c>
      <c r="B315">
        <v>2.6354799999999998</v>
      </c>
      <c r="C315">
        <v>9.9</v>
      </c>
      <c r="D315">
        <v>0.54400000000000004</v>
      </c>
      <c r="E315">
        <v>4.9729999999999999</v>
      </c>
      <c r="F315">
        <v>37.799999999999997</v>
      </c>
      <c r="G315">
        <v>2.5194000000000001</v>
      </c>
      <c r="H315">
        <v>4</v>
      </c>
      <c r="I315">
        <v>304</v>
      </c>
      <c r="J315">
        <v>18.399999999999999</v>
      </c>
      <c r="K315">
        <v>350.45</v>
      </c>
      <c r="L315">
        <v>12.64</v>
      </c>
      <c r="M315">
        <v>16.100000000000001</v>
      </c>
      <c r="N315" s="107">
        <f t="shared" si="4"/>
        <v>18.537520420453863</v>
      </c>
      <c r="O315" s="92"/>
    </row>
    <row r="316" spans="1:15">
      <c r="A316">
        <v>1</v>
      </c>
      <c r="B316">
        <v>0.79040999999999995</v>
      </c>
      <c r="C316">
        <v>9.9</v>
      </c>
      <c r="D316">
        <v>0.54400000000000004</v>
      </c>
      <c r="E316">
        <v>6.1219999999999999</v>
      </c>
      <c r="F316">
        <v>52.8</v>
      </c>
      <c r="G316">
        <v>2.6402999999999999</v>
      </c>
      <c r="H316">
        <v>4</v>
      </c>
      <c r="I316">
        <v>304</v>
      </c>
      <c r="J316">
        <v>18.399999999999999</v>
      </c>
      <c r="K316">
        <v>396.9</v>
      </c>
      <c r="L316">
        <v>5.98</v>
      </c>
      <c r="M316">
        <v>22.1</v>
      </c>
      <c r="N316" s="107">
        <f t="shared" si="4"/>
        <v>27.178428694608705</v>
      </c>
      <c r="O316" s="92"/>
    </row>
    <row r="317" spans="1:15">
      <c r="A317">
        <v>1</v>
      </c>
      <c r="B317">
        <v>0.26168999999999998</v>
      </c>
      <c r="C317">
        <v>9.9</v>
      </c>
      <c r="D317">
        <v>0.54400000000000004</v>
      </c>
      <c r="E317">
        <v>6.0229999999999997</v>
      </c>
      <c r="F317">
        <v>90.4</v>
      </c>
      <c r="G317">
        <v>2.8340000000000001</v>
      </c>
      <c r="H317">
        <v>4</v>
      </c>
      <c r="I317">
        <v>304</v>
      </c>
      <c r="J317">
        <v>18.399999999999999</v>
      </c>
      <c r="K317">
        <v>396.3</v>
      </c>
      <c r="L317">
        <v>11.72</v>
      </c>
      <c r="M317">
        <v>19.399999999999999</v>
      </c>
      <c r="N317" s="107">
        <f t="shared" si="4"/>
        <v>23.475978416581157</v>
      </c>
      <c r="O317" s="92"/>
    </row>
    <row r="318" spans="1:15">
      <c r="A318">
        <v>1</v>
      </c>
      <c r="B318">
        <v>0.26938000000000001</v>
      </c>
      <c r="C318">
        <v>9.9</v>
      </c>
      <c r="D318">
        <v>0.54400000000000004</v>
      </c>
      <c r="E318">
        <v>6.266</v>
      </c>
      <c r="F318">
        <v>82.8</v>
      </c>
      <c r="G318">
        <v>3.2627999999999999</v>
      </c>
      <c r="H318">
        <v>4</v>
      </c>
      <c r="I318">
        <v>304</v>
      </c>
      <c r="J318">
        <v>18.399999999999999</v>
      </c>
      <c r="K318">
        <v>393.39</v>
      </c>
      <c r="L318">
        <v>7.9</v>
      </c>
      <c r="M318">
        <v>21.6</v>
      </c>
      <c r="N318" s="107">
        <f t="shared" si="4"/>
        <v>25.94354871272666</v>
      </c>
      <c r="O318" s="92"/>
    </row>
    <row r="319" spans="1:15">
      <c r="A319">
        <v>1</v>
      </c>
      <c r="B319">
        <v>0.36919999999999997</v>
      </c>
      <c r="C319">
        <v>9.9</v>
      </c>
      <c r="D319">
        <v>0.54400000000000004</v>
      </c>
      <c r="E319">
        <v>6.5670000000000002</v>
      </c>
      <c r="F319">
        <v>87.3</v>
      </c>
      <c r="G319">
        <v>3.6023000000000001</v>
      </c>
      <c r="H319">
        <v>4</v>
      </c>
      <c r="I319">
        <v>304</v>
      </c>
      <c r="J319">
        <v>18.399999999999999</v>
      </c>
      <c r="K319">
        <v>395.69</v>
      </c>
      <c r="L319">
        <v>9.2799999999999994</v>
      </c>
      <c r="M319">
        <v>23.8</v>
      </c>
      <c r="N319" s="107">
        <f t="shared" si="4"/>
        <v>26.034911204045258</v>
      </c>
      <c r="O319" s="92"/>
    </row>
    <row r="320" spans="1:15">
      <c r="A320">
        <v>1</v>
      </c>
      <c r="B320">
        <v>0.25356000000000001</v>
      </c>
      <c r="C320">
        <v>9.9</v>
      </c>
      <c r="D320">
        <v>0.54400000000000004</v>
      </c>
      <c r="E320">
        <v>5.7050000000000001</v>
      </c>
      <c r="F320">
        <v>77.7</v>
      </c>
      <c r="G320">
        <v>3.9449999999999998</v>
      </c>
      <c r="H320">
        <v>4</v>
      </c>
      <c r="I320">
        <v>304</v>
      </c>
      <c r="J320">
        <v>18.399999999999999</v>
      </c>
      <c r="K320">
        <v>396.42</v>
      </c>
      <c r="L320">
        <v>11.5</v>
      </c>
      <c r="M320">
        <v>16.2</v>
      </c>
      <c r="N320" s="107">
        <f t="shared" si="4"/>
        <v>20.986966397882064</v>
      </c>
      <c r="O320" s="92"/>
    </row>
    <row r="321" spans="1:15">
      <c r="A321">
        <v>1</v>
      </c>
      <c r="B321">
        <v>0.31827</v>
      </c>
      <c r="C321">
        <v>9.9</v>
      </c>
      <c r="D321">
        <v>0.54400000000000004</v>
      </c>
      <c r="E321">
        <v>5.9139999999999997</v>
      </c>
      <c r="F321">
        <v>83.2</v>
      </c>
      <c r="G321">
        <v>3.9986000000000002</v>
      </c>
      <c r="H321">
        <v>4</v>
      </c>
      <c r="I321">
        <v>304</v>
      </c>
      <c r="J321">
        <v>18.399999999999999</v>
      </c>
      <c r="K321">
        <v>390.7</v>
      </c>
      <c r="L321">
        <v>18.329999999999998</v>
      </c>
      <c r="M321">
        <v>17.8</v>
      </c>
      <c r="N321" s="107">
        <f t="shared" si="4"/>
        <v>18.10979239145491</v>
      </c>
      <c r="O321" s="92"/>
    </row>
    <row r="322" spans="1:15">
      <c r="A322">
        <v>1</v>
      </c>
      <c r="B322">
        <v>0.24521999999999999</v>
      </c>
      <c r="C322">
        <v>9.9</v>
      </c>
      <c r="D322">
        <v>0.54400000000000004</v>
      </c>
      <c r="E322">
        <v>5.782</v>
      </c>
      <c r="F322">
        <v>71.7</v>
      </c>
      <c r="G322">
        <v>4.0316999999999998</v>
      </c>
      <c r="H322">
        <v>4</v>
      </c>
      <c r="I322">
        <v>304</v>
      </c>
      <c r="J322">
        <v>18.399999999999999</v>
      </c>
      <c r="K322">
        <v>396.9</v>
      </c>
      <c r="L322">
        <v>15.94</v>
      </c>
      <c r="M322">
        <v>19.8</v>
      </c>
      <c r="N322" s="107">
        <f t="shared" si="4"/>
        <v>18.885922972630564</v>
      </c>
      <c r="O322" s="92"/>
    </row>
    <row r="323" spans="1:15">
      <c r="A323">
        <v>1</v>
      </c>
      <c r="B323">
        <v>0.40201999999999999</v>
      </c>
      <c r="C323">
        <v>9.9</v>
      </c>
      <c r="D323">
        <v>0.54400000000000004</v>
      </c>
      <c r="E323">
        <v>6.3819999999999997</v>
      </c>
      <c r="F323">
        <v>67.2</v>
      </c>
      <c r="G323">
        <v>3.5325000000000002</v>
      </c>
      <c r="H323">
        <v>4</v>
      </c>
      <c r="I323">
        <v>304</v>
      </c>
      <c r="J323">
        <v>18.399999999999999</v>
      </c>
      <c r="K323">
        <v>395.21</v>
      </c>
      <c r="L323">
        <v>10.36</v>
      </c>
      <c r="M323">
        <v>23.1</v>
      </c>
      <c r="N323" s="107">
        <f t="shared" si="4"/>
        <v>24.84362073207711</v>
      </c>
      <c r="O323" s="92"/>
    </row>
    <row r="324" spans="1:15">
      <c r="A324">
        <v>1</v>
      </c>
      <c r="B324">
        <v>0.47547</v>
      </c>
      <c r="C324">
        <v>9.9</v>
      </c>
      <c r="D324">
        <v>0.54400000000000004</v>
      </c>
      <c r="E324">
        <v>6.1130000000000004</v>
      </c>
      <c r="F324">
        <v>58.8</v>
      </c>
      <c r="G324">
        <v>4.0019</v>
      </c>
      <c r="H324">
        <v>4</v>
      </c>
      <c r="I324">
        <v>304</v>
      </c>
      <c r="J324">
        <v>18.399999999999999</v>
      </c>
      <c r="K324">
        <v>396.23</v>
      </c>
      <c r="L324">
        <v>12.73</v>
      </c>
      <c r="M324">
        <v>21</v>
      </c>
      <c r="N324" s="107">
        <f t="shared" si="4"/>
        <v>21.959820762315893</v>
      </c>
      <c r="O324" s="92"/>
    </row>
    <row r="325" spans="1:15">
      <c r="A325">
        <v>1</v>
      </c>
      <c r="B325">
        <v>0.1676</v>
      </c>
      <c r="C325">
        <v>7.38</v>
      </c>
      <c r="D325">
        <v>0.49299999999999999</v>
      </c>
      <c r="E325">
        <v>6.4260000000000002</v>
      </c>
      <c r="F325">
        <v>52.3</v>
      </c>
      <c r="G325">
        <v>4.5404</v>
      </c>
      <c r="H325">
        <v>5</v>
      </c>
      <c r="I325">
        <v>287</v>
      </c>
      <c r="J325">
        <v>19.600000000000001</v>
      </c>
      <c r="K325">
        <v>396.9</v>
      </c>
      <c r="L325">
        <v>7.2</v>
      </c>
      <c r="M325">
        <v>23.8</v>
      </c>
      <c r="N325" s="107">
        <f t="shared" ref="N325:N388" si="5">SUMPRODUCT($A$2:$L$2,A325:L325)</f>
        <v>25.538652767712993</v>
      </c>
      <c r="O325" s="92"/>
    </row>
    <row r="326" spans="1:15">
      <c r="A326">
        <v>1</v>
      </c>
      <c r="B326">
        <v>0.18159</v>
      </c>
      <c r="C326">
        <v>7.38</v>
      </c>
      <c r="D326">
        <v>0.49299999999999999</v>
      </c>
      <c r="E326">
        <v>6.3760000000000003</v>
      </c>
      <c r="F326">
        <v>54.3</v>
      </c>
      <c r="G326">
        <v>4.5404</v>
      </c>
      <c r="H326">
        <v>5</v>
      </c>
      <c r="I326">
        <v>287</v>
      </c>
      <c r="J326">
        <v>19.600000000000001</v>
      </c>
      <c r="K326">
        <v>396.9</v>
      </c>
      <c r="L326">
        <v>6.87</v>
      </c>
      <c r="M326">
        <v>23.1</v>
      </c>
      <c r="N326" s="107">
        <f t="shared" si="5"/>
        <v>25.501467499021928</v>
      </c>
      <c r="O326" s="92"/>
    </row>
    <row r="327" spans="1:15">
      <c r="A327">
        <v>1</v>
      </c>
      <c r="B327">
        <v>0.35114000000000001</v>
      </c>
      <c r="C327">
        <v>7.38</v>
      </c>
      <c r="D327">
        <v>0.49299999999999999</v>
      </c>
      <c r="E327">
        <v>6.0410000000000004</v>
      </c>
      <c r="F327">
        <v>49.9</v>
      </c>
      <c r="G327">
        <v>4.7210999999999999</v>
      </c>
      <c r="H327">
        <v>5</v>
      </c>
      <c r="I327">
        <v>287</v>
      </c>
      <c r="J327">
        <v>19.600000000000001</v>
      </c>
      <c r="K327">
        <v>396.9</v>
      </c>
      <c r="L327">
        <v>7.7</v>
      </c>
      <c r="M327">
        <v>20.399999999999999</v>
      </c>
      <c r="N327" s="107">
        <f t="shared" si="5"/>
        <v>23.476174714583397</v>
      </c>
      <c r="O327" s="92"/>
    </row>
    <row r="328" spans="1:15">
      <c r="A328">
        <v>1</v>
      </c>
      <c r="B328">
        <v>0.28392000000000001</v>
      </c>
      <c r="C328">
        <v>7.38</v>
      </c>
      <c r="D328">
        <v>0.49299999999999999</v>
      </c>
      <c r="E328">
        <v>5.7080000000000002</v>
      </c>
      <c r="F328">
        <v>74.3</v>
      </c>
      <c r="G328">
        <v>4.7210999999999999</v>
      </c>
      <c r="H328">
        <v>5</v>
      </c>
      <c r="I328">
        <v>287</v>
      </c>
      <c r="J328">
        <v>19.600000000000001</v>
      </c>
      <c r="K328">
        <v>391.13</v>
      </c>
      <c r="L328">
        <v>11.74</v>
      </c>
      <c r="M328">
        <v>18.5</v>
      </c>
      <c r="N328" s="107">
        <f t="shared" si="5"/>
        <v>19.883629624163024</v>
      </c>
      <c r="O328" s="92"/>
    </row>
    <row r="329" spans="1:15">
      <c r="A329">
        <v>1</v>
      </c>
      <c r="B329">
        <v>0.34109</v>
      </c>
      <c r="C329">
        <v>7.38</v>
      </c>
      <c r="D329">
        <v>0.49299999999999999</v>
      </c>
      <c r="E329">
        <v>6.415</v>
      </c>
      <c r="F329">
        <v>40.1</v>
      </c>
      <c r="G329">
        <v>4.7210999999999999</v>
      </c>
      <c r="H329">
        <v>5</v>
      </c>
      <c r="I329">
        <v>287</v>
      </c>
      <c r="J329">
        <v>19.600000000000001</v>
      </c>
      <c r="K329">
        <v>396.9</v>
      </c>
      <c r="L329">
        <v>6.12</v>
      </c>
      <c r="M329">
        <v>25</v>
      </c>
      <c r="N329" s="107">
        <f t="shared" si="5"/>
        <v>25.856584054325438</v>
      </c>
      <c r="O329" s="92"/>
    </row>
    <row r="330" spans="1:15">
      <c r="A330">
        <v>1</v>
      </c>
      <c r="B330">
        <v>0.19186</v>
      </c>
      <c r="C330">
        <v>7.38</v>
      </c>
      <c r="D330">
        <v>0.49299999999999999</v>
      </c>
      <c r="E330">
        <v>6.431</v>
      </c>
      <c r="F330">
        <v>14.7</v>
      </c>
      <c r="G330">
        <v>5.4158999999999997</v>
      </c>
      <c r="H330">
        <v>5</v>
      </c>
      <c r="I330">
        <v>287</v>
      </c>
      <c r="J330">
        <v>19.600000000000001</v>
      </c>
      <c r="K330">
        <v>393.68</v>
      </c>
      <c r="L330">
        <v>5.08</v>
      </c>
      <c r="M330">
        <v>24.6</v>
      </c>
      <c r="N330" s="107">
        <f t="shared" si="5"/>
        <v>25.677945050406944</v>
      </c>
      <c r="O330" s="92"/>
    </row>
    <row r="331" spans="1:15">
      <c r="A331">
        <v>1</v>
      </c>
      <c r="B331">
        <v>0.30347000000000002</v>
      </c>
      <c r="C331">
        <v>7.38</v>
      </c>
      <c r="D331">
        <v>0.49299999999999999</v>
      </c>
      <c r="E331">
        <v>6.3120000000000003</v>
      </c>
      <c r="F331">
        <v>28.9</v>
      </c>
      <c r="G331">
        <v>5.4158999999999997</v>
      </c>
      <c r="H331">
        <v>5</v>
      </c>
      <c r="I331">
        <v>287</v>
      </c>
      <c r="J331">
        <v>19.600000000000001</v>
      </c>
      <c r="K331">
        <v>396.9</v>
      </c>
      <c r="L331">
        <v>6.15</v>
      </c>
      <c r="M331">
        <v>23</v>
      </c>
      <c r="N331" s="107">
        <f t="shared" si="5"/>
        <v>24.613870067914348</v>
      </c>
      <c r="O331" s="92"/>
    </row>
    <row r="332" spans="1:15">
      <c r="A332">
        <v>1</v>
      </c>
      <c r="B332">
        <v>0.24102999999999999</v>
      </c>
      <c r="C332">
        <v>7.38</v>
      </c>
      <c r="D332">
        <v>0.49299999999999999</v>
      </c>
      <c r="E332">
        <v>6.0830000000000002</v>
      </c>
      <c r="F332">
        <v>43.7</v>
      </c>
      <c r="G332">
        <v>5.4158999999999997</v>
      </c>
      <c r="H332">
        <v>5</v>
      </c>
      <c r="I332">
        <v>287</v>
      </c>
      <c r="J332">
        <v>19.600000000000001</v>
      </c>
      <c r="K332">
        <v>396.9</v>
      </c>
      <c r="L332">
        <v>12.79</v>
      </c>
      <c r="M332">
        <v>22.2</v>
      </c>
      <c r="N332" s="107">
        <f t="shared" si="5"/>
        <v>20.161642152464115</v>
      </c>
      <c r="O332" s="92"/>
    </row>
    <row r="333" spans="1:15">
      <c r="A333">
        <v>1</v>
      </c>
      <c r="B333">
        <v>6.6170000000000007E-2</v>
      </c>
      <c r="C333">
        <v>3.24</v>
      </c>
      <c r="D333">
        <v>0.46</v>
      </c>
      <c r="E333">
        <v>5.8680000000000003</v>
      </c>
      <c r="F333">
        <v>25.8</v>
      </c>
      <c r="G333">
        <v>5.2145999999999999</v>
      </c>
      <c r="H333">
        <v>4</v>
      </c>
      <c r="I333">
        <v>430</v>
      </c>
      <c r="J333">
        <v>16.899999999999999</v>
      </c>
      <c r="K333">
        <v>382.44</v>
      </c>
      <c r="L333">
        <v>9.9700000000000006</v>
      </c>
      <c r="M333">
        <v>19.3</v>
      </c>
      <c r="N333" s="107">
        <f t="shared" si="5"/>
        <v>22.636509031199289</v>
      </c>
      <c r="O333" s="92"/>
    </row>
    <row r="334" spans="1:15">
      <c r="A334">
        <v>1</v>
      </c>
      <c r="B334">
        <v>6.7239999999999994E-2</v>
      </c>
      <c r="C334">
        <v>3.24</v>
      </c>
      <c r="D334">
        <v>0.46</v>
      </c>
      <c r="E334">
        <v>6.3330000000000002</v>
      </c>
      <c r="F334">
        <v>17.2</v>
      </c>
      <c r="G334">
        <v>5.2145999999999999</v>
      </c>
      <c r="H334">
        <v>4</v>
      </c>
      <c r="I334">
        <v>430</v>
      </c>
      <c r="J334">
        <v>16.899999999999999</v>
      </c>
      <c r="K334">
        <v>375.21</v>
      </c>
      <c r="L334">
        <v>7.34</v>
      </c>
      <c r="M334">
        <v>22.6</v>
      </c>
      <c r="N334" s="107">
        <f t="shared" si="5"/>
        <v>25.863445909863643</v>
      </c>
      <c r="O334" s="92"/>
    </row>
    <row r="335" spans="1:15">
      <c r="A335">
        <v>1</v>
      </c>
      <c r="B335">
        <v>4.5440000000000001E-2</v>
      </c>
      <c r="C335">
        <v>3.24</v>
      </c>
      <c r="D335">
        <v>0.46</v>
      </c>
      <c r="E335">
        <v>6.1440000000000001</v>
      </c>
      <c r="F335">
        <v>32.200000000000003</v>
      </c>
      <c r="G335">
        <v>5.8735999999999997</v>
      </c>
      <c r="H335">
        <v>4</v>
      </c>
      <c r="I335">
        <v>430</v>
      </c>
      <c r="J335">
        <v>16.899999999999999</v>
      </c>
      <c r="K335">
        <v>368.57</v>
      </c>
      <c r="L335">
        <v>9.09</v>
      </c>
      <c r="M335">
        <v>19.8</v>
      </c>
      <c r="N335" s="107">
        <f t="shared" si="5"/>
        <v>23.274127165290686</v>
      </c>
      <c r="O335" s="92"/>
    </row>
    <row r="336" spans="1:15">
      <c r="A336">
        <v>1</v>
      </c>
      <c r="B336">
        <v>5.0229999999999997E-2</v>
      </c>
      <c r="C336">
        <v>6.06</v>
      </c>
      <c r="D336">
        <v>0.43790000000000001</v>
      </c>
      <c r="E336">
        <v>5.7060000000000004</v>
      </c>
      <c r="F336">
        <v>28.4</v>
      </c>
      <c r="G336">
        <v>6.6406999999999998</v>
      </c>
      <c r="H336">
        <v>1</v>
      </c>
      <c r="I336">
        <v>304</v>
      </c>
      <c r="J336">
        <v>16.899999999999999</v>
      </c>
      <c r="K336">
        <v>394.02</v>
      </c>
      <c r="L336">
        <v>12.43</v>
      </c>
      <c r="M336">
        <v>17.100000000000001</v>
      </c>
      <c r="N336" s="107">
        <f t="shared" si="5"/>
        <v>19.972949888735688</v>
      </c>
      <c r="O336" s="92"/>
    </row>
    <row r="337" spans="1:15">
      <c r="A337">
        <v>1</v>
      </c>
      <c r="B337">
        <v>3.4660000000000003E-2</v>
      </c>
      <c r="C337">
        <v>6.06</v>
      </c>
      <c r="D337">
        <v>0.43790000000000001</v>
      </c>
      <c r="E337">
        <v>6.0309999999999997</v>
      </c>
      <c r="F337">
        <v>23.3</v>
      </c>
      <c r="G337">
        <v>6.6406999999999998</v>
      </c>
      <c r="H337">
        <v>1</v>
      </c>
      <c r="I337">
        <v>304</v>
      </c>
      <c r="J337">
        <v>16.899999999999999</v>
      </c>
      <c r="K337">
        <v>362.25</v>
      </c>
      <c r="L337">
        <v>7.83</v>
      </c>
      <c r="M337">
        <v>19.399999999999999</v>
      </c>
      <c r="N337" s="107">
        <f t="shared" si="5"/>
        <v>23.414518050536159</v>
      </c>
      <c r="O337" s="92"/>
    </row>
    <row r="338" spans="1:15">
      <c r="A338">
        <v>1</v>
      </c>
      <c r="B338">
        <v>5.083E-2</v>
      </c>
      <c r="C338">
        <v>5.19</v>
      </c>
      <c r="D338">
        <v>0.51500000000000001</v>
      </c>
      <c r="E338">
        <v>6.3159999999999998</v>
      </c>
      <c r="F338">
        <v>38.1</v>
      </c>
      <c r="G338">
        <v>6.4584000000000001</v>
      </c>
      <c r="H338">
        <v>5</v>
      </c>
      <c r="I338">
        <v>224</v>
      </c>
      <c r="J338">
        <v>20.2</v>
      </c>
      <c r="K338">
        <v>389.71</v>
      </c>
      <c r="L338">
        <v>5.68</v>
      </c>
      <c r="M338">
        <v>22.2</v>
      </c>
      <c r="N338" s="107">
        <f t="shared" si="5"/>
        <v>23.122233349918481</v>
      </c>
      <c r="O338" s="92"/>
    </row>
    <row r="339" spans="1:15">
      <c r="A339">
        <v>1</v>
      </c>
      <c r="B339">
        <v>3.7379999999999997E-2</v>
      </c>
      <c r="C339">
        <v>5.19</v>
      </c>
      <c r="D339">
        <v>0.51500000000000001</v>
      </c>
      <c r="E339">
        <v>6.31</v>
      </c>
      <c r="F339">
        <v>38.5</v>
      </c>
      <c r="G339">
        <v>6.4584000000000001</v>
      </c>
      <c r="H339">
        <v>5</v>
      </c>
      <c r="I339">
        <v>224</v>
      </c>
      <c r="J339">
        <v>20.2</v>
      </c>
      <c r="K339">
        <v>389.4</v>
      </c>
      <c r="L339">
        <v>6.75</v>
      </c>
      <c r="M339">
        <v>20.7</v>
      </c>
      <c r="N339" s="107">
        <f t="shared" si="5"/>
        <v>22.533237303884242</v>
      </c>
      <c r="O339" s="92"/>
    </row>
    <row r="340" spans="1:15">
      <c r="A340">
        <v>1</v>
      </c>
      <c r="B340">
        <v>3.9609999999999999E-2</v>
      </c>
      <c r="C340">
        <v>5.19</v>
      </c>
      <c r="D340">
        <v>0.51500000000000001</v>
      </c>
      <c r="E340">
        <v>6.0369999999999999</v>
      </c>
      <c r="F340">
        <v>34.5</v>
      </c>
      <c r="G340">
        <v>5.9852999999999996</v>
      </c>
      <c r="H340">
        <v>5</v>
      </c>
      <c r="I340">
        <v>224</v>
      </c>
      <c r="J340">
        <v>20.2</v>
      </c>
      <c r="K340">
        <v>396.9</v>
      </c>
      <c r="L340">
        <v>8.01</v>
      </c>
      <c r="M340">
        <v>21.1</v>
      </c>
      <c r="N340" s="107">
        <f t="shared" si="5"/>
        <v>21.416135898076554</v>
      </c>
      <c r="O340" s="92"/>
    </row>
    <row r="341" spans="1:15">
      <c r="A341">
        <v>1</v>
      </c>
      <c r="B341">
        <v>3.4270000000000002E-2</v>
      </c>
      <c r="C341">
        <v>5.19</v>
      </c>
      <c r="D341">
        <v>0.51500000000000001</v>
      </c>
      <c r="E341">
        <v>5.8689999999999998</v>
      </c>
      <c r="F341">
        <v>46.3</v>
      </c>
      <c r="G341">
        <v>5.2310999999999996</v>
      </c>
      <c r="H341">
        <v>5</v>
      </c>
      <c r="I341">
        <v>224</v>
      </c>
      <c r="J341">
        <v>20.2</v>
      </c>
      <c r="K341">
        <v>396.9</v>
      </c>
      <c r="L341">
        <v>9.8000000000000007</v>
      </c>
      <c r="M341">
        <v>19.5</v>
      </c>
      <c r="N341" s="107">
        <f t="shared" si="5"/>
        <v>20.673800750643128</v>
      </c>
      <c r="O341" s="92"/>
    </row>
    <row r="342" spans="1:15">
      <c r="A342">
        <v>1</v>
      </c>
      <c r="B342">
        <v>3.041E-2</v>
      </c>
      <c r="C342">
        <v>5.19</v>
      </c>
      <c r="D342">
        <v>0.51500000000000001</v>
      </c>
      <c r="E342">
        <v>5.8949999999999996</v>
      </c>
      <c r="F342">
        <v>59.6</v>
      </c>
      <c r="G342">
        <v>5.6150000000000002</v>
      </c>
      <c r="H342">
        <v>5</v>
      </c>
      <c r="I342">
        <v>224</v>
      </c>
      <c r="J342">
        <v>20.2</v>
      </c>
      <c r="K342">
        <v>394.81</v>
      </c>
      <c r="L342">
        <v>10.56</v>
      </c>
      <c r="M342">
        <v>18.5</v>
      </c>
      <c r="N342" s="107">
        <f t="shared" si="5"/>
        <v>19.860693967549292</v>
      </c>
      <c r="O342" s="92"/>
    </row>
    <row r="343" spans="1:15">
      <c r="A343">
        <v>1</v>
      </c>
      <c r="B343">
        <v>3.3059999999999999E-2</v>
      </c>
      <c r="C343">
        <v>5.19</v>
      </c>
      <c r="D343">
        <v>0.51500000000000001</v>
      </c>
      <c r="E343">
        <v>6.0590000000000002</v>
      </c>
      <c r="F343">
        <v>37.299999999999997</v>
      </c>
      <c r="G343">
        <v>4.8121999999999998</v>
      </c>
      <c r="H343">
        <v>5</v>
      </c>
      <c r="I343">
        <v>224</v>
      </c>
      <c r="J343">
        <v>20.2</v>
      </c>
      <c r="K343">
        <v>396.14</v>
      </c>
      <c r="L343">
        <v>8.51</v>
      </c>
      <c r="M343">
        <v>20.6</v>
      </c>
      <c r="N343" s="107">
        <f t="shared" si="5"/>
        <v>22.64867866158351</v>
      </c>
      <c r="O343" s="92"/>
    </row>
    <row r="344" spans="1:15">
      <c r="A344">
        <v>1</v>
      </c>
      <c r="B344">
        <v>5.4969999999999998E-2</v>
      </c>
      <c r="C344">
        <v>5.19</v>
      </c>
      <c r="D344">
        <v>0.51500000000000001</v>
      </c>
      <c r="E344">
        <v>5.9850000000000003</v>
      </c>
      <c r="F344">
        <v>45.4</v>
      </c>
      <c r="G344">
        <v>4.8121999999999998</v>
      </c>
      <c r="H344">
        <v>5</v>
      </c>
      <c r="I344">
        <v>224</v>
      </c>
      <c r="J344">
        <v>20.2</v>
      </c>
      <c r="K344">
        <v>396.9</v>
      </c>
      <c r="L344">
        <v>9.74</v>
      </c>
      <c r="M344">
        <v>19</v>
      </c>
      <c r="N344" s="107">
        <f t="shared" si="5"/>
        <v>21.685120075043471</v>
      </c>
      <c r="O344" s="92"/>
    </row>
    <row r="345" spans="1:15">
      <c r="A345">
        <v>1</v>
      </c>
      <c r="B345">
        <v>6.1510000000000002E-2</v>
      </c>
      <c r="C345">
        <v>5.19</v>
      </c>
      <c r="D345">
        <v>0.51500000000000001</v>
      </c>
      <c r="E345">
        <v>5.968</v>
      </c>
      <c r="F345">
        <v>58.5</v>
      </c>
      <c r="G345">
        <v>4.8121999999999998</v>
      </c>
      <c r="H345">
        <v>5</v>
      </c>
      <c r="I345">
        <v>224</v>
      </c>
      <c r="J345">
        <v>20.2</v>
      </c>
      <c r="K345">
        <v>396.9</v>
      </c>
      <c r="L345">
        <v>9.2899999999999991</v>
      </c>
      <c r="M345">
        <v>18.7</v>
      </c>
      <c r="N345" s="107">
        <f t="shared" si="5"/>
        <v>21.816789109127118</v>
      </c>
      <c r="O345" s="92"/>
    </row>
    <row r="346" spans="1:15">
      <c r="A346">
        <v>1</v>
      </c>
      <c r="B346">
        <v>1.3010000000000001E-2</v>
      </c>
      <c r="C346">
        <v>1.52</v>
      </c>
      <c r="D346">
        <v>0.442</v>
      </c>
      <c r="E346">
        <v>7.2409999999999997</v>
      </c>
      <c r="F346">
        <v>49.3</v>
      </c>
      <c r="G346">
        <v>7.0378999999999996</v>
      </c>
      <c r="H346">
        <v>1</v>
      </c>
      <c r="I346">
        <v>284</v>
      </c>
      <c r="J346">
        <v>15.5</v>
      </c>
      <c r="K346">
        <v>394.74</v>
      </c>
      <c r="L346">
        <v>5.49</v>
      </c>
      <c r="M346">
        <v>32.700000000000003</v>
      </c>
      <c r="N346" s="107">
        <f t="shared" si="5"/>
        <v>30.991913900146422</v>
      </c>
      <c r="O346" s="92"/>
    </row>
    <row r="347" spans="1:15">
      <c r="A347">
        <v>1</v>
      </c>
      <c r="B347">
        <v>2.4979999999999999E-2</v>
      </c>
      <c r="C347">
        <v>1.89</v>
      </c>
      <c r="D347">
        <v>0.51800000000000002</v>
      </c>
      <c r="E347">
        <v>6.54</v>
      </c>
      <c r="F347">
        <v>59.7</v>
      </c>
      <c r="G347">
        <v>6.2668999999999997</v>
      </c>
      <c r="H347">
        <v>1</v>
      </c>
      <c r="I347">
        <v>422</v>
      </c>
      <c r="J347">
        <v>15.9</v>
      </c>
      <c r="K347">
        <v>389.96</v>
      </c>
      <c r="L347">
        <v>8.65</v>
      </c>
      <c r="M347">
        <v>16.5</v>
      </c>
      <c r="N347" s="107">
        <f t="shared" si="5"/>
        <v>24.028612872866404</v>
      </c>
      <c r="O347" s="92"/>
    </row>
    <row r="348" spans="1:15">
      <c r="A348">
        <v>1</v>
      </c>
      <c r="B348">
        <v>2.5430000000000001E-2</v>
      </c>
      <c r="C348">
        <v>3.78</v>
      </c>
      <c r="D348">
        <v>0.48399999999999999</v>
      </c>
      <c r="E348">
        <v>6.6959999999999997</v>
      </c>
      <c r="F348">
        <v>56.4</v>
      </c>
      <c r="G348">
        <v>5.7321</v>
      </c>
      <c r="H348">
        <v>5</v>
      </c>
      <c r="I348">
        <v>370</v>
      </c>
      <c r="J348">
        <v>17.600000000000001</v>
      </c>
      <c r="K348">
        <v>396.9</v>
      </c>
      <c r="L348">
        <v>7.18</v>
      </c>
      <c r="M348">
        <v>23.9</v>
      </c>
      <c r="N348" s="107">
        <f t="shared" si="5"/>
        <v>26.663294013804993</v>
      </c>
      <c r="O348" s="92"/>
    </row>
    <row r="349" spans="1:15">
      <c r="A349">
        <v>1</v>
      </c>
      <c r="B349">
        <v>3.049E-2</v>
      </c>
      <c r="C349">
        <v>3.78</v>
      </c>
      <c r="D349">
        <v>0.48399999999999999</v>
      </c>
      <c r="E349">
        <v>6.8739999999999997</v>
      </c>
      <c r="F349">
        <v>28.1</v>
      </c>
      <c r="G349">
        <v>6.4653999999999998</v>
      </c>
      <c r="H349">
        <v>5</v>
      </c>
      <c r="I349">
        <v>370</v>
      </c>
      <c r="J349">
        <v>17.600000000000001</v>
      </c>
      <c r="K349">
        <v>387.97</v>
      </c>
      <c r="L349">
        <v>4.6100000000000003</v>
      </c>
      <c r="M349">
        <v>31.2</v>
      </c>
      <c r="N349" s="107">
        <f t="shared" si="5"/>
        <v>27.836931098761433</v>
      </c>
      <c r="O349" s="92"/>
    </row>
    <row r="350" spans="1:15">
      <c r="A350">
        <v>1</v>
      </c>
      <c r="B350">
        <v>3.1130000000000001E-2</v>
      </c>
      <c r="C350">
        <v>4.3899999999999997</v>
      </c>
      <c r="D350">
        <v>0.442</v>
      </c>
      <c r="E350">
        <v>6.0140000000000002</v>
      </c>
      <c r="F350">
        <v>48.5</v>
      </c>
      <c r="G350">
        <v>8.0136000000000003</v>
      </c>
      <c r="H350">
        <v>3</v>
      </c>
      <c r="I350">
        <v>352</v>
      </c>
      <c r="J350">
        <v>18.8</v>
      </c>
      <c r="K350">
        <v>385.64</v>
      </c>
      <c r="L350">
        <v>10.53</v>
      </c>
      <c r="M350">
        <v>17.5</v>
      </c>
      <c r="N350" s="107">
        <f t="shared" si="5"/>
        <v>18.263491401029654</v>
      </c>
      <c r="O350" s="92"/>
    </row>
    <row r="351" spans="1:15">
      <c r="A351">
        <v>1</v>
      </c>
      <c r="B351">
        <v>6.1620000000000001E-2</v>
      </c>
      <c r="C351">
        <v>4.3899999999999997</v>
      </c>
      <c r="D351">
        <v>0.442</v>
      </c>
      <c r="E351">
        <v>5.8979999999999997</v>
      </c>
      <c r="F351">
        <v>52.3</v>
      </c>
      <c r="G351">
        <v>8.0136000000000003</v>
      </c>
      <c r="H351">
        <v>3</v>
      </c>
      <c r="I351">
        <v>352</v>
      </c>
      <c r="J351">
        <v>18.8</v>
      </c>
      <c r="K351">
        <v>364.61</v>
      </c>
      <c r="L351">
        <v>12.67</v>
      </c>
      <c r="M351">
        <v>17.2</v>
      </c>
      <c r="N351" s="107">
        <f t="shared" si="5"/>
        <v>16.446779498612287</v>
      </c>
      <c r="O351" s="92"/>
    </row>
    <row r="352" spans="1:15">
      <c r="A352">
        <v>1</v>
      </c>
      <c r="B352">
        <v>1.8700000000000001E-2</v>
      </c>
      <c r="C352">
        <v>4.1500000000000004</v>
      </c>
      <c r="D352">
        <v>0.42899999999999999</v>
      </c>
      <c r="E352">
        <v>6.516</v>
      </c>
      <c r="F352">
        <v>27.7</v>
      </c>
      <c r="G352">
        <v>8.5352999999999994</v>
      </c>
      <c r="H352">
        <v>4</v>
      </c>
      <c r="I352">
        <v>351</v>
      </c>
      <c r="J352">
        <v>17.899999999999999</v>
      </c>
      <c r="K352">
        <v>392.43</v>
      </c>
      <c r="L352">
        <v>6.36</v>
      </c>
      <c r="M352">
        <v>23.1</v>
      </c>
      <c r="N352" s="107">
        <f t="shared" si="5"/>
        <v>23.551216335650693</v>
      </c>
      <c r="O352" s="92"/>
    </row>
    <row r="353" spans="1:15">
      <c r="A353">
        <v>1</v>
      </c>
      <c r="B353">
        <v>1.5010000000000001E-2</v>
      </c>
      <c r="C353">
        <v>2.0099999999999998</v>
      </c>
      <c r="D353">
        <v>0.435</v>
      </c>
      <c r="E353">
        <v>6.6349999999999998</v>
      </c>
      <c r="F353">
        <v>29.7</v>
      </c>
      <c r="G353">
        <v>8.3439999999999994</v>
      </c>
      <c r="H353">
        <v>4</v>
      </c>
      <c r="I353">
        <v>280</v>
      </c>
      <c r="J353">
        <v>17</v>
      </c>
      <c r="K353">
        <v>390.94</v>
      </c>
      <c r="L353">
        <v>5.99</v>
      </c>
      <c r="M353">
        <v>24.5</v>
      </c>
      <c r="N353" s="107">
        <f t="shared" si="5"/>
        <v>26.088335624680148</v>
      </c>
      <c r="O353" s="92"/>
    </row>
    <row r="354" spans="1:15">
      <c r="A354">
        <v>1</v>
      </c>
      <c r="B354">
        <v>2.8989999999999998E-2</v>
      </c>
      <c r="C354">
        <v>1.25</v>
      </c>
      <c r="D354">
        <v>0.42899999999999999</v>
      </c>
      <c r="E354">
        <v>6.9390000000000001</v>
      </c>
      <c r="F354">
        <v>34.5</v>
      </c>
      <c r="G354">
        <v>8.7920999999999996</v>
      </c>
      <c r="H354">
        <v>1</v>
      </c>
      <c r="I354">
        <v>335</v>
      </c>
      <c r="J354">
        <v>19.7</v>
      </c>
      <c r="K354">
        <v>389.85</v>
      </c>
      <c r="L354">
        <v>5.89</v>
      </c>
      <c r="M354">
        <v>26.6</v>
      </c>
      <c r="N354" s="107">
        <f t="shared" si="5"/>
        <v>22.337938681292755</v>
      </c>
      <c r="O354" s="92"/>
    </row>
    <row r="355" spans="1:15">
      <c r="A355">
        <v>1</v>
      </c>
      <c r="B355">
        <v>6.2109999999999999E-2</v>
      </c>
      <c r="C355">
        <v>1.25</v>
      </c>
      <c r="D355">
        <v>0.42899999999999999</v>
      </c>
      <c r="E355">
        <v>6.49</v>
      </c>
      <c r="F355">
        <v>44.4</v>
      </c>
      <c r="G355">
        <v>8.7920999999999996</v>
      </c>
      <c r="H355">
        <v>1</v>
      </c>
      <c r="I355">
        <v>335</v>
      </c>
      <c r="J355">
        <v>19.7</v>
      </c>
      <c r="K355">
        <v>396.9</v>
      </c>
      <c r="L355">
        <v>5.98</v>
      </c>
      <c r="M355">
        <v>22.9</v>
      </c>
      <c r="N355" s="107">
        <f t="shared" si="5"/>
        <v>20.501125458163962</v>
      </c>
      <c r="O355" s="92"/>
    </row>
    <row r="356" spans="1:15">
      <c r="A356">
        <v>1</v>
      </c>
      <c r="B356">
        <v>7.9500000000000001E-2</v>
      </c>
      <c r="C356">
        <v>1.69</v>
      </c>
      <c r="D356">
        <v>0.41099999999999998</v>
      </c>
      <c r="E356">
        <v>6.5789999999999997</v>
      </c>
      <c r="F356">
        <v>35.9</v>
      </c>
      <c r="G356">
        <v>10.7103</v>
      </c>
      <c r="H356">
        <v>4</v>
      </c>
      <c r="I356">
        <v>411</v>
      </c>
      <c r="J356">
        <v>18.3</v>
      </c>
      <c r="K356">
        <v>370.78</v>
      </c>
      <c r="L356">
        <v>5.49</v>
      </c>
      <c r="M356">
        <v>24.1</v>
      </c>
      <c r="N356" s="107">
        <f t="shared" si="5"/>
        <v>20.560836696356667</v>
      </c>
      <c r="O356" s="92"/>
    </row>
    <row r="357" spans="1:15">
      <c r="A357">
        <v>1</v>
      </c>
      <c r="B357">
        <v>7.2440000000000004E-2</v>
      </c>
      <c r="C357">
        <v>1.69</v>
      </c>
      <c r="D357">
        <v>0.41099999999999998</v>
      </c>
      <c r="E357">
        <v>5.8840000000000003</v>
      </c>
      <c r="F357">
        <v>18.5</v>
      </c>
      <c r="G357">
        <v>10.7103</v>
      </c>
      <c r="H357">
        <v>4</v>
      </c>
      <c r="I357">
        <v>411</v>
      </c>
      <c r="J357">
        <v>18.3</v>
      </c>
      <c r="K357">
        <v>392.33</v>
      </c>
      <c r="L357">
        <v>7.79</v>
      </c>
      <c r="M357">
        <v>18.600000000000001</v>
      </c>
      <c r="N357" s="107">
        <f t="shared" si="5"/>
        <v>16.780604088347427</v>
      </c>
      <c r="O357" s="92"/>
    </row>
    <row r="358" spans="1:15">
      <c r="A358">
        <v>1</v>
      </c>
      <c r="B358">
        <v>1.7090000000000001E-2</v>
      </c>
      <c r="C358">
        <v>2.02</v>
      </c>
      <c r="D358">
        <v>0.41</v>
      </c>
      <c r="E358">
        <v>6.7279999999999998</v>
      </c>
      <c r="F358">
        <v>36.1</v>
      </c>
      <c r="G358">
        <v>12.1265</v>
      </c>
      <c r="H358">
        <v>5</v>
      </c>
      <c r="I358">
        <v>187</v>
      </c>
      <c r="J358">
        <v>17</v>
      </c>
      <c r="K358">
        <v>384.46</v>
      </c>
      <c r="L358">
        <v>4.5</v>
      </c>
      <c r="M358">
        <v>30.1</v>
      </c>
      <c r="N358" s="107">
        <f t="shared" si="5"/>
        <v>24.355428462425703</v>
      </c>
      <c r="O358" s="92"/>
    </row>
    <row r="359" spans="1:15">
      <c r="A359">
        <v>1</v>
      </c>
      <c r="B359">
        <v>4.301E-2</v>
      </c>
      <c r="C359">
        <v>1.91</v>
      </c>
      <c r="D359">
        <v>0.41299999999999998</v>
      </c>
      <c r="E359">
        <v>5.6630000000000003</v>
      </c>
      <c r="F359">
        <v>21.9</v>
      </c>
      <c r="G359">
        <v>10.585699999999999</v>
      </c>
      <c r="H359">
        <v>4</v>
      </c>
      <c r="I359">
        <v>334</v>
      </c>
      <c r="J359">
        <v>22</v>
      </c>
      <c r="K359">
        <v>382.8</v>
      </c>
      <c r="L359">
        <v>8.0500000000000007</v>
      </c>
      <c r="M359">
        <v>18.2</v>
      </c>
      <c r="N359" s="107">
        <f t="shared" si="5"/>
        <v>12.417086488321146</v>
      </c>
      <c r="O359" s="92"/>
    </row>
    <row r="360" spans="1:15">
      <c r="A360">
        <v>1</v>
      </c>
      <c r="B360">
        <v>0.10659</v>
      </c>
      <c r="C360">
        <v>1.91</v>
      </c>
      <c r="D360">
        <v>0.41299999999999998</v>
      </c>
      <c r="E360">
        <v>5.9359999999999999</v>
      </c>
      <c r="F360">
        <v>19.5</v>
      </c>
      <c r="G360">
        <v>10.585699999999999</v>
      </c>
      <c r="H360">
        <v>4</v>
      </c>
      <c r="I360">
        <v>334</v>
      </c>
      <c r="J360">
        <v>22</v>
      </c>
      <c r="K360">
        <v>376.04</v>
      </c>
      <c r="L360">
        <v>5.57</v>
      </c>
      <c r="M360">
        <v>20.6</v>
      </c>
      <c r="N360" s="107">
        <f t="shared" si="5"/>
        <v>14.764739268141728</v>
      </c>
      <c r="O360" s="92"/>
    </row>
    <row r="361" spans="1:15">
      <c r="A361">
        <v>1</v>
      </c>
      <c r="B361">
        <v>8.9829600000000003</v>
      </c>
      <c r="C361">
        <v>18.100000000000001</v>
      </c>
      <c r="D361">
        <v>0.77</v>
      </c>
      <c r="E361">
        <v>6.2119999999999997</v>
      </c>
      <c r="F361">
        <v>97.4</v>
      </c>
      <c r="G361">
        <v>2.1221999999999999</v>
      </c>
      <c r="H361">
        <v>24</v>
      </c>
      <c r="I361">
        <v>666</v>
      </c>
      <c r="J361">
        <v>20.2</v>
      </c>
      <c r="K361">
        <v>377.73</v>
      </c>
      <c r="L361">
        <v>17.600000000000001</v>
      </c>
      <c r="M361">
        <v>17.8</v>
      </c>
      <c r="N361" s="107">
        <f t="shared" si="5"/>
        <v>17.146379131870226</v>
      </c>
      <c r="O361" s="92"/>
    </row>
    <row r="362" spans="1:15">
      <c r="A362">
        <v>1</v>
      </c>
      <c r="B362">
        <v>3.8496999999999999</v>
      </c>
      <c r="C362">
        <v>18.100000000000001</v>
      </c>
      <c r="D362">
        <v>0.77</v>
      </c>
      <c r="E362">
        <v>6.3949999999999996</v>
      </c>
      <c r="F362">
        <v>91</v>
      </c>
      <c r="G362">
        <v>2.5051999999999999</v>
      </c>
      <c r="H362">
        <v>24</v>
      </c>
      <c r="I362">
        <v>666</v>
      </c>
      <c r="J362">
        <v>20.2</v>
      </c>
      <c r="K362">
        <v>391.34</v>
      </c>
      <c r="L362">
        <v>13.27</v>
      </c>
      <c r="M362">
        <v>21.7</v>
      </c>
      <c r="N362" s="107">
        <f t="shared" si="5"/>
        <v>20.383888243603089</v>
      </c>
      <c r="O362" s="92"/>
    </row>
    <row r="363" spans="1:15">
      <c r="A363">
        <v>1</v>
      </c>
      <c r="B363">
        <v>5.2017699999999998</v>
      </c>
      <c r="C363">
        <v>18.100000000000001</v>
      </c>
      <c r="D363">
        <v>0.77</v>
      </c>
      <c r="E363">
        <v>6.1269999999999998</v>
      </c>
      <c r="F363">
        <v>83.4</v>
      </c>
      <c r="G363">
        <v>2.7227000000000001</v>
      </c>
      <c r="H363">
        <v>24</v>
      </c>
      <c r="I363">
        <v>666</v>
      </c>
      <c r="J363">
        <v>20.2</v>
      </c>
      <c r="K363">
        <v>395.43</v>
      </c>
      <c r="L363">
        <v>11.48</v>
      </c>
      <c r="M363">
        <v>22.7</v>
      </c>
      <c r="N363" s="107">
        <f t="shared" si="5"/>
        <v>19.889228739926246</v>
      </c>
      <c r="O363" s="92"/>
    </row>
    <row r="364" spans="1:15">
      <c r="A364">
        <v>1</v>
      </c>
      <c r="B364">
        <v>4.2613099999999999</v>
      </c>
      <c r="C364">
        <v>18.100000000000001</v>
      </c>
      <c r="D364">
        <v>0.77</v>
      </c>
      <c r="E364">
        <v>6.1120000000000001</v>
      </c>
      <c r="F364">
        <v>81.3</v>
      </c>
      <c r="G364">
        <v>2.5091000000000001</v>
      </c>
      <c r="H364">
        <v>24</v>
      </c>
      <c r="I364">
        <v>666</v>
      </c>
      <c r="J364">
        <v>20.2</v>
      </c>
      <c r="K364">
        <v>390.74</v>
      </c>
      <c r="L364">
        <v>12.67</v>
      </c>
      <c r="M364">
        <v>22.6</v>
      </c>
      <c r="N364" s="107">
        <f t="shared" si="5"/>
        <v>19.518362927657904</v>
      </c>
      <c r="O364" s="92"/>
    </row>
    <row r="365" spans="1:15">
      <c r="A365">
        <v>1</v>
      </c>
      <c r="B365">
        <v>4.5419200000000002</v>
      </c>
      <c r="C365">
        <v>18.100000000000001</v>
      </c>
      <c r="D365">
        <v>0.77</v>
      </c>
      <c r="E365">
        <v>6.3979999999999997</v>
      </c>
      <c r="F365">
        <v>88</v>
      </c>
      <c r="G365">
        <v>2.5182000000000002</v>
      </c>
      <c r="H365">
        <v>24</v>
      </c>
      <c r="I365">
        <v>666</v>
      </c>
      <c r="J365">
        <v>20.2</v>
      </c>
      <c r="K365">
        <v>374.56</v>
      </c>
      <c r="L365">
        <v>7.79</v>
      </c>
      <c r="M365">
        <v>25</v>
      </c>
      <c r="N365" s="107">
        <f t="shared" si="5"/>
        <v>23.028796286413787</v>
      </c>
      <c r="O365" s="92"/>
    </row>
    <row r="366" spans="1:15">
      <c r="A366">
        <v>1</v>
      </c>
      <c r="B366">
        <v>3.83684</v>
      </c>
      <c r="C366">
        <v>18.100000000000001</v>
      </c>
      <c r="D366">
        <v>0.77</v>
      </c>
      <c r="E366">
        <v>6.2510000000000003</v>
      </c>
      <c r="F366">
        <v>91.1</v>
      </c>
      <c r="G366">
        <v>2.2955000000000001</v>
      </c>
      <c r="H366">
        <v>24</v>
      </c>
      <c r="I366">
        <v>666</v>
      </c>
      <c r="J366">
        <v>20.2</v>
      </c>
      <c r="K366">
        <v>350.65</v>
      </c>
      <c r="L366">
        <v>14.19</v>
      </c>
      <c r="M366">
        <v>19.899999999999999</v>
      </c>
      <c r="N366" s="107">
        <f t="shared" si="5"/>
        <v>19.168012858895484</v>
      </c>
      <c r="O366" s="92"/>
    </row>
    <row r="367" spans="1:15">
      <c r="A367">
        <v>1</v>
      </c>
      <c r="B367">
        <v>3.67822</v>
      </c>
      <c r="C367">
        <v>18.100000000000001</v>
      </c>
      <c r="D367">
        <v>0.77</v>
      </c>
      <c r="E367">
        <v>5.3620000000000001</v>
      </c>
      <c r="F367">
        <v>96.2</v>
      </c>
      <c r="G367">
        <v>2.1036000000000001</v>
      </c>
      <c r="H367">
        <v>24</v>
      </c>
      <c r="I367">
        <v>666</v>
      </c>
      <c r="J367">
        <v>20.2</v>
      </c>
      <c r="K367">
        <v>380.79</v>
      </c>
      <c r="L367">
        <v>10.19</v>
      </c>
      <c r="M367">
        <v>20.8</v>
      </c>
      <c r="N367" s="107">
        <f t="shared" si="5"/>
        <v>18.178300182995777</v>
      </c>
      <c r="O367" s="92"/>
    </row>
    <row r="368" spans="1:15">
      <c r="A368">
        <v>1</v>
      </c>
      <c r="B368">
        <v>4.2223899999999999</v>
      </c>
      <c r="C368">
        <v>18.100000000000001</v>
      </c>
      <c r="D368">
        <v>0.77</v>
      </c>
      <c r="E368">
        <v>5.8029999999999999</v>
      </c>
      <c r="F368">
        <v>89</v>
      </c>
      <c r="G368">
        <v>1.9047000000000001</v>
      </c>
      <c r="H368">
        <v>24</v>
      </c>
      <c r="I368">
        <v>666</v>
      </c>
      <c r="J368">
        <v>20.2</v>
      </c>
      <c r="K368">
        <v>353.04</v>
      </c>
      <c r="L368">
        <v>14.64</v>
      </c>
      <c r="M368">
        <v>16.8</v>
      </c>
      <c r="N368" s="107">
        <f t="shared" si="5"/>
        <v>17.568589306851088</v>
      </c>
      <c r="O368" s="92"/>
    </row>
    <row r="369" spans="1:15">
      <c r="A369">
        <v>1</v>
      </c>
      <c r="B369">
        <v>3.4742799999999998</v>
      </c>
      <c r="C369">
        <v>18.100000000000001</v>
      </c>
      <c r="D369">
        <v>0.71799999999999997</v>
      </c>
      <c r="E369">
        <v>8.7799999999999994</v>
      </c>
      <c r="F369">
        <v>82.9</v>
      </c>
      <c r="G369">
        <v>1.9047000000000001</v>
      </c>
      <c r="H369">
        <v>24</v>
      </c>
      <c r="I369">
        <v>666</v>
      </c>
      <c r="J369">
        <v>20.2</v>
      </c>
      <c r="K369">
        <v>354.55</v>
      </c>
      <c r="L369">
        <v>5.29</v>
      </c>
      <c r="M369">
        <v>21.9</v>
      </c>
      <c r="N369" s="107">
        <f t="shared" si="5"/>
        <v>35.642937515098112</v>
      </c>
      <c r="O369" s="92"/>
    </row>
    <row r="370" spans="1:15">
      <c r="A370">
        <v>1</v>
      </c>
      <c r="B370">
        <v>4.5558699999999996</v>
      </c>
      <c r="C370">
        <v>18.100000000000001</v>
      </c>
      <c r="D370">
        <v>0.71799999999999997</v>
      </c>
      <c r="E370">
        <v>3.5609999999999999</v>
      </c>
      <c r="F370">
        <v>87.9</v>
      </c>
      <c r="G370">
        <v>1.6132</v>
      </c>
      <c r="H370">
        <v>24</v>
      </c>
      <c r="I370">
        <v>666</v>
      </c>
      <c r="J370">
        <v>20.2</v>
      </c>
      <c r="K370">
        <v>354.7</v>
      </c>
      <c r="L370">
        <v>7.12</v>
      </c>
      <c r="M370">
        <v>27.5</v>
      </c>
      <c r="N370" s="107">
        <f t="shared" si="5"/>
        <v>13.647045733933943</v>
      </c>
      <c r="O370" s="92"/>
    </row>
    <row r="371" spans="1:15">
      <c r="A371">
        <v>1</v>
      </c>
      <c r="B371">
        <v>3.6969500000000002</v>
      </c>
      <c r="C371">
        <v>18.100000000000001</v>
      </c>
      <c r="D371">
        <v>0.71799999999999997</v>
      </c>
      <c r="E371">
        <v>4.9630000000000001</v>
      </c>
      <c r="F371">
        <v>91.4</v>
      </c>
      <c r="G371">
        <v>1.7523</v>
      </c>
      <c r="H371">
        <v>24</v>
      </c>
      <c r="I371">
        <v>666</v>
      </c>
      <c r="J371">
        <v>20.2</v>
      </c>
      <c r="K371">
        <v>316.02999999999997</v>
      </c>
      <c r="L371">
        <v>14</v>
      </c>
      <c r="M371">
        <v>21.9</v>
      </c>
      <c r="N371" s="107">
        <f t="shared" si="5"/>
        <v>15.277007649310899</v>
      </c>
      <c r="O371" s="92"/>
    </row>
    <row r="372" spans="1:15">
      <c r="A372">
        <v>1</v>
      </c>
      <c r="B372">
        <v>13.5222</v>
      </c>
      <c r="C372">
        <v>18.100000000000001</v>
      </c>
      <c r="D372">
        <v>0.63100000000000001</v>
      </c>
      <c r="E372">
        <v>3.863</v>
      </c>
      <c r="F372">
        <v>100</v>
      </c>
      <c r="G372">
        <v>1.5105999999999999</v>
      </c>
      <c r="H372">
        <v>24</v>
      </c>
      <c r="I372">
        <v>666</v>
      </c>
      <c r="J372">
        <v>20.2</v>
      </c>
      <c r="K372">
        <v>131.41999999999999</v>
      </c>
      <c r="L372">
        <v>13.33</v>
      </c>
      <c r="M372">
        <v>23.1</v>
      </c>
      <c r="N372" s="107">
        <f t="shared" si="5"/>
        <v>10.132861619396159</v>
      </c>
      <c r="O372" s="92"/>
    </row>
    <row r="373" spans="1:15">
      <c r="A373">
        <v>1</v>
      </c>
      <c r="B373">
        <v>4.8982200000000002</v>
      </c>
      <c r="C373">
        <v>18.100000000000001</v>
      </c>
      <c r="D373">
        <v>0.63100000000000001</v>
      </c>
      <c r="E373">
        <v>4.97</v>
      </c>
      <c r="F373">
        <v>100</v>
      </c>
      <c r="G373">
        <v>1.3325</v>
      </c>
      <c r="H373">
        <v>24</v>
      </c>
      <c r="I373">
        <v>666</v>
      </c>
      <c r="J373">
        <v>20.2</v>
      </c>
      <c r="K373">
        <v>375.52</v>
      </c>
      <c r="L373">
        <v>3.26</v>
      </c>
      <c r="M373">
        <v>50</v>
      </c>
      <c r="N373" s="107">
        <f t="shared" si="5"/>
        <v>23.443184795564036</v>
      </c>
      <c r="O373" s="92"/>
    </row>
    <row r="374" spans="1:15">
      <c r="A374">
        <v>1</v>
      </c>
      <c r="B374">
        <v>5.6699799999999998</v>
      </c>
      <c r="C374">
        <v>18.100000000000001</v>
      </c>
      <c r="D374">
        <v>0.63100000000000001</v>
      </c>
      <c r="E374">
        <v>6.6829999999999998</v>
      </c>
      <c r="F374">
        <v>96.8</v>
      </c>
      <c r="G374">
        <v>1.3567</v>
      </c>
      <c r="H374">
        <v>24</v>
      </c>
      <c r="I374">
        <v>666</v>
      </c>
      <c r="J374">
        <v>20.2</v>
      </c>
      <c r="K374">
        <v>375.33</v>
      </c>
      <c r="L374">
        <v>3.73</v>
      </c>
      <c r="M374">
        <v>50</v>
      </c>
      <c r="N374" s="107">
        <f t="shared" si="5"/>
        <v>30.073321421071533</v>
      </c>
      <c r="O374" s="92"/>
    </row>
    <row r="375" spans="1:15">
      <c r="A375">
        <v>1</v>
      </c>
      <c r="B375">
        <v>6.5387599999999999</v>
      </c>
      <c r="C375">
        <v>18.100000000000001</v>
      </c>
      <c r="D375">
        <v>0.63100000000000001</v>
      </c>
      <c r="E375">
        <v>7.016</v>
      </c>
      <c r="F375">
        <v>97.5</v>
      </c>
      <c r="G375">
        <v>1.2023999999999999</v>
      </c>
      <c r="H375">
        <v>24</v>
      </c>
      <c r="I375">
        <v>666</v>
      </c>
      <c r="J375">
        <v>20.2</v>
      </c>
      <c r="K375">
        <v>392.05</v>
      </c>
      <c r="L375">
        <v>2.96</v>
      </c>
      <c r="M375">
        <v>50</v>
      </c>
      <c r="N375" s="107">
        <f t="shared" si="5"/>
        <v>32.094190361255066</v>
      </c>
      <c r="O375" s="92"/>
    </row>
    <row r="376" spans="1:15">
      <c r="A376">
        <v>1</v>
      </c>
      <c r="B376">
        <v>9.2323000000000004</v>
      </c>
      <c r="C376">
        <v>18.100000000000001</v>
      </c>
      <c r="D376">
        <v>0.63100000000000001</v>
      </c>
      <c r="E376">
        <v>6.2160000000000002</v>
      </c>
      <c r="F376">
        <v>100</v>
      </c>
      <c r="G376">
        <v>1.1691</v>
      </c>
      <c r="H376">
        <v>24</v>
      </c>
      <c r="I376">
        <v>666</v>
      </c>
      <c r="J376">
        <v>20.2</v>
      </c>
      <c r="K376">
        <v>366.15</v>
      </c>
      <c r="L376">
        <v>9.5299999999999994</v>
      </c>
      <c r="M376">
        <v>50</v>
      </c>
      <c r="N376" s="107">
        <f t="shared" si="5"/>
        <v>24.884922059069716</v>
      </c>
      <c r="O376" s="92"/>
    </row>
    <row r="377" spans="1:15">
      <c r="A377">
        <v>1</v>
      </c>
      <c r="B377">
        <v>8.2672500000000007</v>
      </c>
      <c r="C377">
        <v>18.100000000000001</v>
      </c>
      <c r="D377">
        <v>0.66800000000000004</v>
      </c>
      <c r="E377">
        <v>5.875</v>
      </c>
      <c r="F377">
        <v>89.6</v>
      </c>
      <c r="G377">
        <v>1.1295999999999999</v>
      </c>
      <c r="H377">
        <v>24</v>
      </c>
      <c r="I377">
        <v>666</v>
      </c>
      <c r="J377">
        <v>20.2</v>
      </c>
      <c r="K377">
        <v>347.88</v>
      </c>
      <c r="L377">
        <v>8.8800000000000008</v>
      </c>
      <c r="M377">
        <v>50</v>
      </c>
      <c r="N377" s="107">
        <f t="shared" si="5"/>
        <v>23.172269720846735</v>
      </c>
      <c r="O377" s="92"/>
    </row>
    <row r="378" spans="1:15">
      <c r="A378">
        <v>1</v>
      </c>
      <c r="B378">
        <v>11.1081</v>
      </c>
      <c r="C378">
        <v>18.100000000000001</v>
      </c>
      <c r="D378">
        <v>0.66800000000000004</v>
      </c>
      <c r="E378">
        <v>4.9059999999999997</v>
      </c>
      <c r="F378">
        <v>100</v>
      </c>
      <c r="G378">
        <v>1.1741999999999999</v>
      </c>
      <c r="H378">
        <v>24</v>
      </c>
      <c r="I378">
        <v>666</v>
      </c>
      <c r="J378">
        <v>20.2</v>
      </c>
      <c r="K378">
        <v>396.9</v>
      </c>
      <c r="L378">
        <v>34.770000000000003</v>
      </c>
      <c r="M378">
        <v>13.8</v>
      </c>
      <c r="N378" s="107">
        <f t="shared" si="5"/>
        <v>5.7378457749645477</v>
      </c>
      <c r="O378" s="92"/>
    </row>
    <row r="379" spans="1:15">
      <c r="A379">
        <v>1</v>
      </c>
      <c r="B379">
        <v>18.498200000000001</v>
      </c>
      <c r="C379">
        <v>18.100000000000001</v>
      </c>
      <c r="D379">
        <v>0.66800000000000004</v>
      </c>
      <c r="E379">
        <v>4.1379999999999999</v>
      </c>
      <c r="F379">
        <v>100</v>
      </c>
      <c r="G379">
        <v>1.137</v>
      </c>
      <c r="H379">
        <v>24</v>
      </c>
      <c r="I379">
        <v>666</v>
      </c>
      <c r="J379">
        <v>20.2</v>
      </c>
      <c r="K379">
        <v>396.9</v>
      </c>
      <c r="L379">
        <v>37.97</v>
      </c>
      <c r="M379">
        <v>13.8</v>
      </c>
      <c r="N379" s="107">
        <f t="shared" si="5"/>
        <v>0.20935909495610616</v>
      </c>
      <c r="O379" s="92"/>
    </row>
    <row r="380" spans="1:15">
      <c r="A380">
        <v>1</v>
      </c>
      <c r="B380">
        <v>19.609100000000002</v>
      </c>
      <c r="C380">
        <v>18.100000000000001</v>
      </c>
      <c r="D380">
        <v>0.67100000000000004</v>
      </c>
      <c r="E380">
        <v>7.3129999999999997</v>
      </c>
      <c r="F380">
        <v>97.9</v>
      </c>
      <c r="G380">
        <v>1.3163</v>
      </c>
      <c r="H380">
        <v>24</v>
      </c>
      <c r="I380">
        <v>666</v>
      </c>
      <c r="J380">
        <v>20.2</v>
      </c>
      <c r="K380">
        <v>396.9</v>
      </c>
      <c r="L380">
        <v>13.44</v>
      </c>
      <c r="M380">
        <v>15</v>
      </c>
      <c r="N380" s="107">
        <f t="shared" si="5"/>
        <v>25.645748366441065</v>
      </c>
      <c r="O380" s="92"/>
    </row>
    <row r="381" spans="1:15">
      <c r="A381">
        <v>1</v>
      </c>
      <c r="B381">
        <v>15.288</v>
      </c>
      <c r="C381">
        <v>18.100000000000001</v>
      </c>
      <c r="D381">
        <v>0.67100000000000004</v>
      </c>
      <c r="E381">
        <v>6.649</v>
      </c>
      <c r="F381">
        <v>93.3</v>
      </c>
      <c r="G381">
        <v>1.3449</v>
      </c>
      <c r="H381">
        <v>24</v>
      </c>
      <c r="I381">
        <v>666</v>
      </c>
      <c r="J381">
        <v>20.2</v>
      </c>
      <c r="K381">
        <v>363.02</v>
      </c>
      <c r="L381">
        <v>23.24</v>
      </c>
      <c r="M381">
        <v>13.9</v>
      </c>
      <c r="N381" s="107">
        <f t="shared" si="5"/>
        <v>17.885191530017405</v>
      </c>
      <c r="O381" s="92"/>
    </row>
    <row r="382" spans="1:15">
      <c r="A382">
        <v>1</v>
      </c>
      <c r="B382">
        <v>9.8234899999999996</v>
      </c>
      <c r="C382">
        <v>18.100000000000001</v>
      </c>
      <c r="D382">
        <v>0.67100000000000004</v>
      </c>
      <c r="E382">
        <v>6.7939999999999996</v>
      </c>
      <c r="F382">
        <v>98.8</v>
      </c>
      <c r="G382">
        <v>1.3580000000000001</v>
      </c>
      <c r="H382">
        <v>24</v>
      </c>
      <c r="I382">
        <v>666</v>
      </c>
      <c r="J382">
        <v>20.2</v>
      </c>
      <c r="K382">
        <v>396.9</v>
      </c>
      <c r="L382">
        <v>21.24</v>
      </c>
      <c r="M382">
        <v>13.3</v>
      </c>
      <c r="N382" s="107">
        <f t="shared" si="5"/>
        <v>20.394588141125531</v>
      </c>
      <c r="O382" s="92"/>
    </row>
    <row r="383" spans="1:15">
      <c r="A383">
        <v>1</v>
      </c>
      <c r="B383">
        <v>23.648199999999999</v>
      </c>
      <c r="C383">
        <v>18.100000000000001</v>
      </c>
      <c r="D383">
        <v>0.67100000000000004</v>
      </c>
      <c r="E383">
        <v>6.38</v>
      </c>
      <c r="F383">
        <v>96.2</v>
      </c>
      <c r="G383">
        <v>1.3861000000000001</v>
      </c>
      <c r="H383">
        <v>24</v>
      </c>
      <c r="I383">
        <v>666</v>
      </c>
      <c r="J383">
        <v>20.2</v>
      </c>
      <c r="K383">
        <v>396.9</v>
      </c>
      <c r="L383">
        <v>23.69</v>
      </c>
      <c r="M383">
        <v>13.1</v>
      </c>
      <c r="N383" s="107">
        <f t="shared" si="5"/>
        <v>15.964740560634066</v>
      </c>
      <c r="O383" s="92"/>
    </row>
    <row r="384" spans="1:15">
      <c r="A384">
        <v>1</v>
      </c>
      <c r="B384">
        <v>17.866700000000002</v>
      </c>
      <c r="C384">
        <v>18.100000000000001</v>
      </c>
      <c r="D384">
        <v>0.67100000000000004</v>
      </c>
      <c r="E384">
        <v>6.2229999999999999</v>
      </c>
      <c r="F384">
        <v>100</v>
      </c>
      <c r="G384">
        <v>1.3861000000000001</v>
      </c>
      <c r="H384">
        <v>24</v>
      </c>
      <c r="I384">
        <v>666</v>
      </c>
      <c r="J384">
        <v>20.2</v>
      </c>
      <c r="K384">
        <v>393.74</v>
      </c>
      <c r="L384">
        <v>21.78</v>
      </c>
      <c r="M384">
        <v>10.199999999999999</v>
      </c>
      <c r="N384" s="107">
        <f t="shared" si="5"/>
        <v>16.884575114862514</v>
      </c>
      <c r="O384" s="92"/>
    </row>
    <row r="385" spans="1:15">
      <c r="A385">
        <v>1</v>
      </c>
      <c r="B385">
        <v>88.976200000000006</v>
      </c>
      <c r="C385">
        <v>18.100000000000001</v>
      </c>
      <c r="D385">
        <v>0.67100000000000004</v>
      </c>
      <c r="E385">
        <v>6.968</v>
      </c>
      <c r="F385">
        <v>91.9</v>
      </c>
      <c r="G385">
        <v>1.4165000000000001</v>
      </c>
      <c r="H385">
        <v>24</v>
      </c>
      <c r="I385">
        <v>666</v>
      </c>
      <c r="J385">
        <v>20.2</v>
      </c>
      <c r="K385">
        <v>396.9</v>
      </c>
      <c r="L385">
        <v>17.21</v>
      </c>
      <c r="M385">
        <v>10.4</v>
      </c>
      <c r="N385" s="107">
        <f t="shared" si="5"/>
        <v>14.982485491812643</v>
      </c>
      <c r="O385" s="92"/>
    </row>
    <row r="386" spans="1:15">
      <c r="A386">
        <v>1</v>
      </c>
      <c r="B386">
        <v>15.8744</v>
      </c>
      <c r="C386">
        <v>18.100000000000001</v>
      </c>
      <c r="D386">
        <v>0.67100000000000004</v>
      </c>
      <c r="E386">
        <v>6.5449999999999999</v>
      </c>
      <c r="F386">
        <v>99.1</v>
      </c>
      <c r="G386">
        <v>1.5192000000000001</v>
      </c>
      <c r="H386">
        <v>24</v>
      </c>
      <c r="I386">
        <v>666</v>
      </c>
      <c r="J386">
        <v>20.2</v>
      </c>
      <c r="K386">
        <v>396.9</v>
      </c>
      <c r="L386">
        <v>21.08</v>
      </c>
      <c r="M386">
        <v>10.9</v>
      </c>
      <c r="N386" s="107">
        <f t="shared" si="5"/>
        <v>18.64252742537245</v>
      </c>
      <c r="O386" s="92"/>
    </row>
    <row r="387" spans="1:15">
      <c r="A387">
        <v>1</v>
      </c>
      <c r="B387">
        <v>9.1870200000000004</v>
      </c>
      <c r="C387">
        <v>18.100000000000001</v>
      </c>
      <c r="D387">
        <v>0.7</v>
      </c>
      <c r="E387">
        <v>5.5359999999999996</v>
      </c>
      <c r="F387">
        <v>100</v>
      </c>
      <c r="G387">
        <v>1.5804</v>
      </c>
      <c r="H387">
        <v>24</v>
      </c>
      <c r="I387">
        <v>666</v>
      </c>
      <c r="J387">
        <v>20.2</v>
      </c>
      <c r="K387">
        <v>396.9</v>
      </c>
      <c r="L387">
        <v>23.6</v>
      </c>
      <c r="M387">
        <v>11.3</v>
      </c>
      <c r="N387" s="107">
        <f t="shared" si="5"/>
        <v>13.306294680730124</v>
      </c>
      <c r="O387" s="92"/>
    </row>
    <row r="388" spans="1:15">
      <c r="A388">
        <v>1</v>
      </c>
      <c r="B388">
        <v>7.9924799999999996</v>
      </c>
      <c r="C388">
        <v>18.100000000000001</v>
      </c>
      <c r="D388">
        <v>0.7</v>
      </c>
      <c r="E388">
        <v>5.52</v>
      </c>
      <c r="F388">
        <v>100</v>
      </c>
      <c r="G388">
        <v>1.5330999999999999</v>
      </c>
      <c r="H388">
        <v>24</v>
      </c>
      <c r="I388">
        <v>666</v>
      </c>
      <c r="J388">
        <v>20.2</v>
      </c>
      <c r="K388">
        <v>396.9</v>
      </c>
      <c r="L388">
        <v>24.56</v>
      </c>
      <c r="M388">
        <v>12.3</v>
      </c>
      <c r="N388" s="107">
        <f t="shared" si="5"/>
        <v>12.917794831448642</v>
      </c>
      <c r="O388" s="92"/>
    </row>
    <row r="389" spans="1:15">
      <c r="A389">
        <v>1</v>
      </c>
      <c r="B389">
        <v>20.084900000000001</v>
      </c>
      <c r="C389">
        <v>18.100000000000001</v>
      </c>
      <c r="D389">
        <v>0.7</v>
      </c>
      <c r="E389">
        <v>4.3680000000000003</v>
      </c>
      <c r="F389">
        <v>91.2</v>
      </c>
      <c r="G389">
        <v>1.4395</v>
      </c>
      <c r="H389">
        <v>24</v>
      </c>
      <c r="I389">
        <v>666</v>
      </c>
      <c r="J389">
        <v>20.2</v>
      </c>
      <c r="K389">
        <v>285.83</v>
      </c>
      <c r="L389">
        <v>30.63</v>
      </c>
      <c r="M389">
        <v>8.8000000000000007</v>
      </c>
      <c r="N389" s="107">
        <f t="shared" ref="N389:N452" si="6">SUMPRODUCT($A$2:$L$2,A389:L389)</f>
        <v>2.8286781559723906</v>
      </c>
      <c r="O389" s="92"/>
    </row>
    <row r="390" spans="1:15">
      <c r="A390">
        <v>1</v>
      </c>
      <c r="B390">
        <v>16.811800000000002</v>
      </c>
      <c r="C390">
        <v>18.100000000000001</v>
      </c>
      <c r="D390">
        <v>0.7</v>
      </c>
      <c r="E390">
        <v>5.2770000000000001</v>
      </c>
      <c r="F390">
        <v>98.1</v>
      </c>
      <c r="G390">
        <v>1.4260999999999999</v>
      </c>
      <c r="H390">
        <v>24</v>
      </c>
      <c r="I390">
        <v>666</v>
      </c>
      <c r="J390">
        <v>20.2</v>
      </c>
      <c r="K390">
        <v>396.9</v>
      </c>
      <c r="L390">
        <v>30.81</v>
      </c>
      <c r="M390">
        <v>7.2</v>
      </c>
      <c r="N390" s="107">
        <f t="shared" si="6"/>
        <v>7.868602219307423</v>
      </c>
      <c r="O390" s="92"/>
    </row>
    <row r="391" spans="1:15">
      <c r="A391">
        <v>1</v>
      </c>
      <c r="B391">
        <v>24.393799999999999</v>
      </c>
      <c r="C391">
        <v>18.100000000000001</v>
      </c>
      <c r="D391">
        <v>0.7</v>
      </c>
      <c r="E391">
        <v>4.6520000000000001</v>
      </c>
      <c r="F391">
        <v>100</v>
      </c>
      <c r="G391">
        <v>1.4672000000000001</v>
      </c>
      <c r="H391">
        <v>24</v>
      </c>
      <c r="I391">
        <v>666</v>
      </c>
      <c r="J391">
        <v>20.2</v>
      </c>
      <c r="K391">
        <v>396.9</v>
      </c>
      <c r="L391">
        <v>28.28</v>
      </c>
      <c r="M391">
        <v>10.5</v>
      </c>
      <c r="N391" s="107">
        <f t="shared" si="6"/>
        <v>5.8117863301043204</v>
      </c>
      <c r="O391" s="92"/>
    </row>
    <row r="392" spans="1:15">
      <c r="A392">
        <v>1</v>
      </c>
      <c r="B392">
        <v>22.597100000000001</v>
      </c>
      <c r="C392">
        <v>18.100000000000001</v>
      </c>
      <c r="D392">
        <v>0.7</v>
      </c>
      <c r="E392">
        <v>5</v>
      </c>
      <c r="F392">
        <v>89.5</v>
      </c>
      <c r="G392">
        <v>1.5184</v>
      </c>
      <c r="H392">
        <v>24</v>
      </c>
      <c r="I392">
        <v>666</v>
      </c>
      <c r="J392">
        <v>20.2</v>
      </c>
      <c r="K392">
        <v>396.9</v>
      </c>
      <c r="L392">
        <v>31.99</v>
      </c>
      <c r="M392">
        <v>7.4</v>
      </c>
      <c r="N392" s="107">
        <f t="shared" si="6"/>
        <v>5.4332646499395736</v>
      </c>
      <c r="O392" s="92"/>
    </row>
    <row r="393" spans="1:15">
      <c r="A393">
        <v>1</v>
      </c>
      <c r="B393">
        <v>14.3337</v>
      </c>
      <c r="C393">
        <v>18.100000000000001</v>
      </c>
      <c r="D393">
        <v>0.7</v>
      </c>
      <c r="E393">
        <v>4.88</v>
      </c>
      <c r="F393">
        <v>100</v>
      </c>
      <c r="G393">
        <v>1.5894999999999999</v>
      </c>
      <c r="H393">
        <v>24</v>
      </c>
      <c r="I393">
        <v>666</v>
      </c>
      <c r="J393">
        <v>20.2</v>
      </c>
      <c r="K393">
        <v>372.92</v>
      </c>
      <c r="L393">
        <v>30.62</v>
      </c>
      <c r="M393">
        <v>10.199999999999999</v>
      </c>
      <c r="N393" s="107">
        <f t="shared" si="6"/>
        <v>6.1680186659649792</v>
      </c>
      <c r="O393" s="92"/>
    </row>
    <row r="394" spans="1:15">
      <c r="A394">
        <v>1</v>
      </c>
      <c r="B394">
        <v>8.1517400000000002</v>
      </c>
      <c r="C394">
        <v>18.100000000000001</v>
      </c>
      <c r="D394">
        <v>0.7</v>
      </c>
      <c r="E394">
        <v>5.39</v>
      </c>
      <c r="F394">
        <v>98.9</v>
      </c>
      <c r="G394">
        <v>1.7281</v>
      </c>
      <c r="H394">
        <v>24</v>
      </c>
      <c r="I394">
        <v>666</v>
      </c>
      <c r="J394">
        <v>20.2</v>
      </c>
      <c r="K394">
        <v>396.9</v>
      </c>
      <c r="L394">
        <v>20.85</v>
      </c>
      <c r="M394">
        <v>11.5</v>
      </c>
      <c r="N394" s="107">
        <f t="shared" si="6"/>
        <v>14.08660147207353</v>
      </c>
      <c r="O394" s="92"/>
    </row>
    <row r="395" spans="1:15">
      <c r="A395">
        <v>1</v>
      </c>
      <c r="B395">
        <v>6.9621500000000003</v>
      </c>
      <c r="C395">
        <v>18.100000000000001</v>
      </c>
      <c r="D395">
        <v>0.7</v>
      </c>
      <c r="E395">
        <v>5.7130000000000001</v>
      </c>
      <c r="F395">
        <v>97</v>
      </c>
      <c r="G395">
        <v>1.9265000000000001</v>
      </c>
      <c r="H395">
        <v>24</v>
      </c>
      <c r="I395">
        <v>666</v>
      </c>
      <c r="J395">
        <v>20.2</v>
      </c>
      <c r="K395">
        <v>394.43</v>
      </c>
      <c r="L395">
        <v>17.11</v>
      </c>
      <c r="M395">
        <v>15.1</v>
      </c>
      <c r="N395" s="107">
        <f t="shared" si="6"/>
        <v>17.229992432596731</v>
      </c>
      <c r="O395" s="92"/>
    </row>
    <row r="396" spans="1:15">
      <c r="A396">
        <v>1</v>
      </c>
      <c r="B396">
        <v>5.29305</v>
      </c>
      <c r="C396">
        <v>18.100000000000001</v>
      </c>
      <c r="D396">
        <v>0.7</v>
      </c>
      <c r="E396">
        <v>6.0510000000000002</v>
      </c>
      <c r="F396">
        <v>82.5</v>
      </c>
      <c r="G396">
        <v>2.1678000000000002</v>
      </c>
      <c r="H396">
        <v>24</v>
      </c>
      <c r="I396">
        <v>666</v>
      </c>
      <c r="J396">
        <v>20.2</v>
      </c>
      <c r="K396">
        <v>378.38</v>
      </c>
      <c r="L396">
        <v>18.760000000000002</v>
      </c>
      <c r="M396">
        <v>23.2</v>
      </c>
      <c r="N396" s="107">
        <f t="shared" si="6"/>
        <v>17.501564407683276</v>
      </c>
      <c r="O396" s="92"/>
    </row>
    <row r="397" spans="1:15">
      <c r="A397">
        <v>1</v>
      </c>
      <c r="B397">
        <v>11.5779</v>
      </c>
      <c r="C397">
        <v>18.100000000000001</v>
      </c>
      <c r="D397">
        <v>0.7</v>
      </c>
      <c r="E397">
        <v>5.0359999999999996</v>
      </c>
      <c r="F397">
        <v>97</v>
      </c>
      <c r="G397">
        <v>1.77</v>
      </c>
      <c r="H397">
        <v>24</v>
      </c>
      <c r="I397">
        <v>666</v>
      </c>
      <c r="J397">
        <v>20.2</v>
      </c>
      <c r="K397">
        <v>396.9</v>
      </c>
      <c r="L397">
        <v>25.68</v>
      </c>
      <c r="M397">
        <v>9.6999999999999993</v>
      </c>
      <c r="N397" s="107">
        <f t="shared" si="6"/>
        <v>9.7082229659044721</v>
      </c>
      <c r="O397" s="92"/>
    </row>
    <row r="398" spans="1:15">
      <c r="A398">
        <v>1</v>
      </c>
      <c r="B398">
        <v>8.6447599999999998</v>
      </c>
      <c r="C398">
        <v>18.100000000000001</v>
      </c>
      <c r="D398">
        <v>0.69299999999999995</v>
      </c>
      <c r="E398">
        <v>6.1929999999999996</v>
      </c>
      <c r="F398">
        <v>92.6</v>
      </c>
      <c r="G398">
        <v>1.7911999999999999</v>
      </c>
      <c r="H398">
        <v>24</v>
      </c>
      <c r="I398">
        <v>666</v>
      </c>
      <c r="J398">
        <v>20.2</v>
      </c>
      <c r="K398">
        <v>396.9</v>
      </c>
      <c r="L398">
        <v>15.17</v>
      </c>
      <c r="M398">
        <v>13.8</v>
      </c>
      <c r="N398" s="107">
        <f t="shared" si="6"/>
        <v>20.354874848757522</v>
      </c>
      <c r="O398" s="92"/>
    </row>
    <row r="399" spans="1:15">
      <c r="A399">
        <v>1</v>
      </c>
      <c r="B399">
        <v>13.3598</v>
      </c>
      <c r="C399">
        <v>18.100000000000001</v>
      </c>
      <c r="D399">
        <v>0.69299999999999995</v>
      </c>
      <c r="E399">
        <v>5.8869999999999996</v>
      </c>
      <c r="F399">
        <v>94.7</v>
      </c>
      <c r="G399">
        <v>1.7821</v>
      </c>
      <c r="H399">
        <v>24</v>
      </c>
      <c r="I399">
        <v>666</v>
      </c>
      <c r="J399">
        <v>20.2</v>
      </c>
      <c r="K399">
        <v>396.9</v>
      </c>
      <c r="L399">
        <v>16.350000000000001</v>
      </c>
      <c r="M399">
        <v>12.7</v>
      </c>
      <c r="N399" s="107">
        <f t="shared" si="6"/>
        <v>18.006439359822558</v>
      </c>
      <c r="O399" s="92"/>
    </row>
    <row r="400" spans="1:15">
      <c r="A400">
        <v>1</v>
      </c>
      <c r="B400">
        <v>8.7167499999999993</v>
      </c>
      <c r="C400">
        <v>18.100000000000001</v>
      </c>
      <c r="D400">
        <v>0.69299999999999995</v>
      </c>
      <c r="E400">
        <v>6.4710000000000001</v>
      </c>
      <c r="F400">
        <v>98.8</v>
      </c>
      <c r="G400">
        <v>1.7257</v>
      </c>
      <c r="H400">
        <v>24</v>
      </c>
      <c r="I400">
        <v>666</v>
      </c>
      <c r="J400">
        <v>20.2</v>
      </c>
      <c r="K400">
        <v>391.98</v>
      </c>
      <c r="L400">
        <v>17.12</v>
      </c>
      <c r="M400">
        <v>13.1</v>
      </c>
      <c r="N400" s="107">
        <f t="shared" si="6"/>
        <v>20.470595240898092</v>
      </c>
      <c r="O400" s="92"/>
    </row>
    <row r="401" spans="1:15">
      <c r="A401">
        <v>1</v>
      </c>
      <c r="B401">
        <v>5.8720499999999998</v>
      </c>
      <c r="C401">
        <v>18.100000000000001</v>
      </c>
      <c r="D401">
        <v>0.69299999999999995</v>
      </c>
      <c r="E401">
        <v>6.4050000000000002</v>
      </c>
      <c r="F401">
        <v>96</v>
      </c>
      <c r="G401">
        <v>1.6768000000000001</v>
      </c>
      <c r="H401">
        <v>24</v>
      </c>
      <c r="I401">
        <v>666</v>
      </c>
      <c r="J401">
        <v>20.2</v>
      </c>
      <c r="K401">
        <v>396.9</v>
      </c>
      <c r="L401">
        <v>19.37</v>
      </c>
      <c r="M401">
        <v>12.5</v>
      </c>
      <c r="N401" s="107">
        <f t="shared" si="6"/>
        <v>19.429489718679008</v>
      </c>
      <c r="O401" s="92"/>
    </row>
    <row r="402" spans="1:15">
      <c r="A402">
        <v>1</v>
      </c>
      <c r="B402">
        <v>7.6720199999999998</v>
      </c>
      <c r="C402">
        <v>18.100000000000001</v>
      </c>
      <c r="D402">
        <v>0.69299999999999995</v>
      </c>
      <c r="E402">
        <v>5.7469999999999999</v>
      </c>
      <c r="F402">
        <v>98.9</v>
      </c>
      <c r="G402">
        <v>1.6334</v>
      </c>
      <c r="H402">
        <v>24</v>
      </c>
      <c r="I402">
        <v>666</v>
      </c>
      <c r="J402">
        <v>20.2</v>
      </c>
      <c r="K402">
        <v>393.1</v>
      </c>
      <c r="L402">
        <v>19.920000000000002</v>
      </c>
      <c r="M402">
        <v>8.5</v>
      </c>
      <c r="N402" s="107">
        <f t="shared" si="6"/>
        <v>16.281041109369653</v>
      </c>
      <c r="O402" s="92"/>
    </row>
    <row r="403" spans="1:15">
      <c r="A403">
        <v>1</v>
      </c>
      <c r="B403">
        <v>38.351799999999997</v>
      </c>
      <c r="C403">
        <v>18.100000000000001</v>
      </c>
      <c r="D403">
        <v>0.69299999999999995</v>
      </c>
      <c r="E403">
        <v>5.4530000000000003</v>
      </c>
      <c r="F403">
        <v>100</v>
      </c>
      <c r="G403">
        <v>1.4896</v>
      </c>
      <c r="H403">
        <v>24</v>
      </c>
      <c r="I403">
        <v>666</v>
      </c>
      <c r="J403">
        <v>20.2</v>
      </c>
      <c r="K403">
        <v>396.9</v>
      </c>
      <c r="L403">
        <v>30.59</v>
      </c>
      <c r="M403">
        <v>5</v>
      </c>
      <c r="N403" s="107">
        <f t="shared" si="6"/>
        <v>6.5168573856789074</v>
      </c>
      <c r="O403" s="92"/>
    </row>
    <row r="404" spans="1:15">
      <c r="A404">
        <v>1</v>
      </c>
      <c r="B404">
        <v>9.9165500000000009</v>
      </c>
      <c r="C404">
        <v>18.100000000000001</v>
      </c>
      <c r="D404">
        <v>0.69299999999999995</v>
      </c>
      <c r="E404">
        <v>5.8520000000000003</v>
      </c>
      <c r="F404">
        <v>77.8</v>
      </c>
      <c r="G404">
        <v>1.5004</v>
      </c>
      <c r="H404">
        <v>24</v>
      </c>
      <c r="I404">
        <v>666</v>
      </c>
      <c r="J404">
        <v>20.2</v>
      </c>
      <c r="K404">
        <v>338.16</v>
      </c>
      <c r="L404">
        <v>29.97</v>
      </c>
      <c r="M404">
        <v>6.3</v>
      </c>
      <c r="N404" s="107">
        <f t="shared" si="6"/>
        <v>10.875236620141424</v>
      </c>
      <c r="O404" s="92"/>
    </row>
    <row r="405" spans="1:15">
      <c r="A405">
        <v>1</v>
      </c>
      <c r="B405">
        <v>25.046099999999999</v>
      </c>
      <c r="C405">
        <v>18.100000000000001</v>
      </c>
      <c r="D405">
        <v>0.69299999999999995</v>
      </c>
      <c r="E405">
        <v>5.9870000000000001</v>
      </c>
      <c r="F405">
        <v>100</v>
      </c>
      <c r="G405">
        <v>1.5888</v>
      </c>
      <c r="H405">
        <v>24</v>
      </c>
      <c r="I405">
        <v>666</v>
      </c>
      <c r="J405">
        <v>20.2</v>
      </c>
      <c r="K405">
        <v>396.9</v>
      </c>
      <c r="L405">
        <v>26.77</v>
      </c>
      <c r="M405">
        <v>5.6</v>
      </c>
      <c r="N405" s="107">
        <f t="shared" si="6"/>
        <v>11.954138032983176</v>
      </c>
      <c r="O405" s="92"/>
    </row>
    <row r="406" spans="1:15">
      <c r="A406">
        <v>1</v>
      </c>
      <c r="B406">
        <v>14.2362</v>
      </c>
      <c r="C406">
        <v>18.100000000000001</v>
      </c>
      <c r="D406">
        <v>0.69299999999999995</v>
      </c>
      <c r="E406">
        <v>6.343</v>
      </c>
      <c r="F406">
        <v>100</v>
      </c>
      <c r="G406">
        <v>1.5741000000000001</v>
      </c>
      <c r="H406">
        <v>24</v>
      </c>
      <c r="I406">
        <v>666</v>
      </c>
      <c r="J406">
        <v>20.2</v>
      </c>
      <c r="K406">
        <v>396.9</v>
      </c>
      <c r="L406">
        <v>20.32</v>
      </c>
      <c r="M406">
        <v>7.2</v>
      </c>
      <c r="N406" s="107">
        <f t="shared" si="6"/>
        <v>17.926888009671234</v>
      </c>
      <c r="O406" s="92"/>
    </row>
    <row r="407" spans="1:15">
      <c r="A407">
        <v>1</v>
      </c>
      <c r="B407">
        <v>9.5957100000000004</v>
      </c>
      <c r="C407">
        <v>18.100000000000001</v>
      </c>
      <c r="D407">
        <v>0.69299999999999995</v>
      </c>
      <c r="E407">
        <v>6.4039999999999999</v>
      </c>
      <c r="F407">
        <v>100</v>
      </c>
      <c r="G407">
        <v>1.639</v>
      </c>
      <c r="H407">
        <v>24</v>
      </c>
      <c r="I407">
        <v>666</v>
      </c>
      <c r="J407">
        <v>20.2</v>
      </c>
      <c r="K407">
        <v>376.11</v>
      </c>
      <c r="L407">
        <v>20.309999999999999</v>
      </c>
      <c r="M407">
        <v>12.1</v>
      </c>
      <c r="N407" s="107">
        <f t="shared" si="6"/>
        <v>18.377117029584916</v>
      </c>
      <c r="O407" s="92"/>
    </row>
    <row r="408" spans="1:15">
      <c r="A408">
        <v>1</v>
      </c>
      <c r="B408">
        <v>24.8017</v>
      </c>
      <c r="C408">
        <v>18.100000000000001</v>
      </c>
      <c r="D408">
        <v>0.69299999999999995</v>
      </c>
      <c r="E408">
        <v>5.3490000000000002</v>
      </c>
      <c r="F408">
        <v>96</v>
      </c>
      <c r="G408">
        <v>1.7028000000000001</v>
      </c>
      <c r="H408">
        <v>24</v>
      </c>
      <c r="I408">
        <v>666</v>
      </c>
      <c r="J408">
        <v>20.2</v>
      </c>
      <c r="K408">
        <v>396.9</v>
      </c>
      <c r="L408">
        <v>19.77</v>
      </c>
      <c r="M408">
        <v>8.3000000000000007</v>
      </c>
      <c r="N408" s="107">
        <f t="shared" si="6"/>
        <v>12.928087377294846</v>
      </c>
      <c r="O408" s="92"/>
    </row>
    <row r="409" spans="1:15">
      <c r="A409">
        <v>1</v>
      </c>
      <c r="B409">
        <v>41.529200000000003</v>
      </c>
      <c r="C409">
        <v>18.100000000000001</v>
      </c>
      <c r="D409">
        <v>0.69299999999999995</v>
      </c>
      <c r="E409">
        <v>5.5309999999999997</v>
      </c>
      <c r="F409">
        <v>85.4</v>
      </c>
      <c r="G409">
        <v>1.6073999999999999</v>
      </c>
      <c r="H409">
        <v>24</v>
      </c>
      <c r="I409">
        <v>666</v>
      </c>
      <c r="J409">
        <v>20.2</v>
      </c>
      <c r="K409">
        <v>329.46</v>
      </c>
      <c r="L409">
        <v>27.38</v>
      </c>
      <c r="M409">
        <v>8.5</v>
      </c>
      <c r="N409" s="107">
        <f t="shared" si="6"/>
        <v>7.4231546996232858</v>
      </c>
      <c r="O409" s="92"/>
    </row>
    <row r="410" spans="1:15">
      <c r="A410">
        <v>1</v>
      </c>
      <c r="B410">
        <v>67.9208</v>
      </c>
      <c r="C410">
        <v>18.100000000000001</v>
      </c>
      <c r="D410">
        <v>0.69299999999999995</v>
      </c>
      <c r="E410">
        <v>5.6829999999999998</v>
      </c>
      <c r="F410">
        <v>100</v>
      </c>
      <c r="G410">
        <v>1.4254</v>
      </c>
      <c r="H410">
        <v>24</v>
      </c>
      <c r="I410">
        <v>666</v>
      </c>
      <c r="J410">
        <v>20.2</v>
      </c>
      <c r="K410">
        <v>384.97</v>
      </c>
      <c r="L410">
        <v>22.98</v>
      </c>
      <c r="M410">
        <v>5</v>
      </c>
      <c r="N410" s="107">
        <f t="shared" si="6"/>
        <v>8.3524101045767249</v>
      </c>
      <c r="O410" s="92"/>
    </row>
    <row r="411" spans="1:15">
      <c r="A411">
        <v>1</v>
      </c>
      <c r="B411">
        <v>20.716200000000001</v>
      </c>
      <c r="C411">
        <v>18.100000000000001</v>
      </c>
      <c r="D411">
        <v>0.65900000000000003</v>
      </c>
      <c r="E411">
        <v>4.1379999999999999</v>
      </c>
      <c r="F411">
        <v>100</v>
      </c>
      <c r="G411">
        <v>1.1780999999999999</v>
      </c>
      <c r="H411">
        <v>24</v>
      </c>
      <c r="I411">
        <v>666</v>
      </c>
      <c r="J411">
        <v>20.2</v>
      </c>
      <c r="K411">
        <v>370.22</v>
      </c>
      <c r="L411">
        <v>23.34</v>
      </c>
      <c r="M411">
        <v>11.9</v>
      </c>
      <c r="N411" s="107">
        <f t="shared" si="6"/>
        <v>7.5096522354456656</v>
      </c>
      <c r="O411" s="92"/>
    </row>
    <row r="412" spans="1:15">
      <c r="A412">
        <v>1</v>
      </c>
      <c r="B412">
        <v>11.9511</v>
      </c>
      <c r="C412">
        <v>18.100000000000001</v>
      </c>
      <c r="D412">
        <v>0.65900000000000003</v>
      </c>
      <c r="E412">
        <v>5.6079999999999997</v>
      </c>
      <c r="F412">
        <v>100</v>
      </c>
      <c r="G412">
        <v>1.2851999999999999</v>
      </c>
      <c r="H412">
        <v>24</v>
      </c>
      <c r="I412">
        <v>666</v>
      </c>
      <c r="J412">
        <v>20.2</v>
      </c>
      <c r="K412">
        <v>332.09</v>
      </c>
      <c r="L412">
        <v>12.13</v>
      </c>
      <c r="M412">
        <v>27.9</v>
      </c>
      <c r="N412" s="107">
        <f t="shared" si="6"/>
        <v>19.786053382689055</v>
      </c>
      <c r="O412" s="92"/>
    </row>
    <row r="413" spans="1:15">
      <c r="A413">
        <v>1</v>
      </c>
      <c r="B413">
        <v>7.4038899999999996</v>
      </c>
      <c r="C413">
        <v>18.100000000000001</v>
      </c>
      <c r="D413">
        <v>0.59699999999999998</v>
      </c>
      <c r="E413">
        <v>5.617</v>
      </c>
      <c r="F413">
        <v>97.9</v>
      </c>
      <c r="G413">
        <v>1.4547000000000001</v>
      </c>
      <c r="H413">
        <v>24</v>
      </c>
      <c r="I413">
        <v>666</v>
      </c>
      <c r="J413">
        <v>20.2</v>
      </c>
      <c r="K413">
        <v>314.64</v>
      </c>
      <c r="L413">
        <v>26.4</v>
      </c>
      <c r="M413">
        <v>17.2</v>
      </c>
      <c r="N413" s="107">
        <f t="shared" si="6"/>
        <v>13.534031329570498</v>
      </c>
      <c r="O413" s="92"/>
    </row>
    <row r="414" spans="1:15">
      <c r="A414">
        <v>1</v>
      </c>
      <c r="B414">
        <v>14.4383</v>
      </c>
      <c r="C414">
        <v>18.100000000000001</v>
      </c>
      <c r="D414">
        <v>0.59699999999999998</v>
      </c>
      <c r="E414">
        <v>6.8520000000000003</v>
      </c>
      <c r="F414">
        <v>100</v>
      </c>
      <c r="G414">
        <v>1.4655</v>
      </c>
      <c r="H414">
        <v>24</v>
      </c>
      <c r="I414">
        <v>666</v>
      </c>
      <c r="J414">
        <v>20.2</v>
      </c>
      <c r="K414">
        <v>179.36</v>
      </c>
      <c r="L414">
        <v>19.78</v>
      </c>
      <c r="M414">
        <v>27.5</v>
      </c>
      <c r="N414" s="107">
        <f t="shared" si="6"/>
        <v>19.962885645785931</v>
      </c>
      <c r="O414" s="92"/>
    </row>
    <row r="415" spans="1:15">
      <c r="A415">
        <v>1</v>
      </c>
      <c r="B415">
        <v>51.135800000000003</v>
      </c>
      <c r="C415">
        <v>18.100000000000001</v>
      </c>
      <c r="D415">
        <v>0.59699999999999998</v>
      </c>
      <c r="E415">
        <v>5.7569999999999997</v>
      </c>
      <c r="F415">
        <v>100</v>
      </c>
      <c r="G415">
        <v>1.413</v>
      </c>
      <c r="H415">
        <v>24</v>
      </c>
      <c r="I415">
        <v>666</v>
      </c>
      <c r="J415">
        <v>20.2</v>
      </c>
      <c r="K415">
        <v>2.6</v>
      </c>
      <c r="L415">
        <v>10.11</v>
      </c>
      <c r="M415">
        <v>15</v>
      </c>
      <c r="N415" s="107">
        <f t="shared" si="6"/>
        <v>15.106122783947423</v>
      </c>
      <c r="O415" s="92"/>
    </row>
    <row r="416" spans="1:15">
      <c r="A416">
        <v>1</v>
      </c>
      <c r="B416">
        <v>14.050700000000001</v>
      </c>
      <c r="C416">
        <v>18.100000000000001</v>
      </c>
      <c r="D416">
        <v>0.59699999999999998</v>
      </c>
      <c r="E416">
        <v>6.657</v>
      </c>
      <c r="F416">
        <v>100</v>
      </c>
      <c r="G416">
        <v>1.5275000000000001</v>
      </c>
      <c r="H416">
        <v>24</v>
      </c>
      <c r="I416">
        <v>666</v>
      </c>
      <c r="J416">
        <v>20.2</v>
      </c>
      <c r="K416">
        <v>35.049999999999997</v>
      </c>
      <c r="L416">
        <v>21.22</v>
      </c>
      <c r="M416">
        <v>17.2</v>
      </c>
      <c r="N416" s="107">
        <f t="shared" si="6"/>
        <v>16.955367258340758</v>
      </c>
      <c r="O416" s="92"/>
    </row>
    <row r="417" spans="1:15">
      <c r="A417">
        <v>1</v>
      </c>
      <c r="B417">
        <v>18.811</v>
      </c>
      <c r="C417">
        <v>18.100000000000001</v>
      </c>
      <c r="D417">
        <v>0.59699999999999998</v>
      </c>
      <c r="E417">
        <v>4.6280000000000001</v>
      </c>
      <c r="F417">
        <v>100</v>
      </c>
      <c r="G417">
        <v>1.5539000000000001</v>
      </c>
      <c r="H417">
        <v>24</v>
      </c>
      <c r="I417">
        <v>666</v>
      </c>
      <c r="J417">
        <v>20.2</v>
      </c>
      <c r="K417">
        <v>28.79</v>
      </c>
      <c r="L417">
        <v>34.369999999999997</v>
      </c>
      <c r="M417">
        <v>17.899999999999999</v>
      </c>
      <c r="N417" s="107">
        <f t="shared" si="6"/>
        <v>1.1978968268350236</v>
      </c>
      <c r="O417" s="92"/>
    </row>
    <row r="418" spans="1:15">
      <c r="A418">
        <v>1</v>
      </c>
      <c r="B418">
        <v>28.655799999999999</v>
      </c>
      <c r="C418">
        <v>18.100000000000001</v>
      </c>
      <c r="D418">
        <v>0.59699999999999998</v>
      </c>
      <c r="E418">
        <v>5.1550000000000002</v>
      </c>
      <c r="F418">
        <v>100</v>
      </c>
      <c r="G418">
        <v>1.5893999999999999</v>
      </c>
      <c r="H418">
        <v>24</v>
      </c>
      <c r="I418">
        <v>666</v>
      </c>
      <c r="J418">
        <v>20.2</v>
      </c>
      <c r="K418">
        <v>210.97</v>
      </c>
      <c r="L418">
        <v>20.079999999999998</v>
      </c>
      <c r="M418">
        <v>16.3</v>
      </c>
      <c r="N418" s="107">
        <f t="shared" si="6"/>
        <v>11.582551774385374</v>
      </c>
      <c r="O418" s="92"/>
    </row>
    <row r="419" spans="1:15">
      <c r="A419">
        <v>1</v>
      </c>
      <c r="B419">
        <v>45.746099999999998</v>
      </c>
      <c r="C419">
        <v>18.100000000000001</v>
      </c>
      <c r="D419">
        <v>0.69299999999999995</v>
      </c>
      <c r="E419">
        <v>4.5190000000000001</v>
      </c>
      <c r="F419">
        <v>100</v>
      </c>
      <c r="G419">
        <v>1.6581999999999999</v>
      </c>
      <c r="H419">
        <v>24</v>
      </c>
      <c r="I419">
        <v>666</v>
      </c>
      <c r="J419">
        <v>20.2</v>
      </c>
      <c r="K419">
        <v>88.27</v>
      </c>
      <c r="L419">
        <v>36.979999999999997</v>
      </c>
      <c r="M419">
        <v>7</v>
      </c>
      <c r="N419" s="107">
        <f t="shared" si="6"/>
        <v>-4.6535304886337006</v>
      </c>
      <c r="O419" s="92"/>
    </row>
    <row r="420" spans="1:15">
      <c r="A420">
        <v>1</v>
      </c>
      <c r="B420">
        <v>18.084599999999998</v>
      </c>
      <c r="C420">
        <v>18.100000000000001</v>
      </c>
      <c r="D420">
        <v>0.67900000000000005</v>
      </c>
      <c r="E420">
        <v>6.4340000000000002</v>
      </c>
      <c r="F420">
        <v>100</v>
      </c>
      <c r="G420">
        <v>1.8347</v>
      </c>
      <c r="H420">
        <v>24</v>
      </c>
      <c r="I420">
        <v>666</v>
      </c>
      <c r="J420">
        <v>20.2</v>
      </c>
      <c r="K420">
        <v>27.25</v>
      </c>
      <c r="L420">
        <v>29.05</v>
      </c>
      <c r="M420">
        <v>7.2</v>
      </c>
      <c r="N420" s="107">
        <f t="shared" si="6"/>
        <v>9.6077343216997289</v>
      </c>
      <c r="O420" s="92"/>
    </row>
    <row r="421" spans="1:15">
      <c r="A421">
        <v>1</v>
      </c>
      <c r="B421">
        <v>10.834199999999999</v>
      </c>
      <c r="C421">
        <v>18.100000000000001</v>
      </c>
      <c r="D421">
        <v>0.67900000000000005</v>
      </c>
      <c r="E421">
        <v>6.782</v>
      </c>
      <c r="F421">
        <v>90.8</v>
      </c>
      <c r="G421">
        <v>1.8194999999999999</v>
      </c>
      <c r="H421">
        <v>24</v>
      </c>
      <c r="I421">
        <v>666</v>
      </c>
      <c r="J421">
        <v>20.2</v>
      </c>
      <c r="K421">
        <v>21.57</v>
      </c>
      <c r="L421">
        <v>25.79</v>
      </c>
      <c r="M421">
        <v>7.5</v>
      </c>
      <c r="N421" s="107">
        <f t="shared" si="6"/>
        <v>13.47383697278098</v>
      </c>
      <c r="O421" s="92"/>
    </row>
    <row r="422" spans="1:15">
      <c r="A422">
        <v>1</v>
      </c>
      <c r="B422">
        <v>25.9406</v>
      </c>
      <c r="C422">
        <v>18.100000000000001</v>
      </c>
      <c r="D422">
        <v>0.67900000000000005</v>
      </c>
      <c r="E422">
        <v>5.3040000000000003</v>
      </c>
      <c r="F422">
        <v>89.1</v>
      </c>
      <c r="G422">
        <v>1.6475</v>
      </c>
      <c r="H422">
        <v>24</v>
      </c>
      <c r="I422">
        <v>666</v>
      </c>
      <c r="J422">
        <v>20.2</v>
      </c>
      <c r="K422">
        <v>127.36</v>
      </c>
      <c r="L422">
        <v>26.64</v>
      </c>
      <c r="M422">
        <v>10.4</v>
      </c>
      <c r="N422" s="107">
        <f t="shared" si="6"/>
        <v>6.6986130285093388</v>
      </c>
      <c r="O422" s="92"/>
    </row>
    <row r="423" spans="1:15">
      <c r="A423">
        <v>1</v>
      </c>
      <c r="B423">
        <v>73.534099999999995</v>
      </c>
      <c r="C423">
        <v>18.100000000000001</v>
      </c>
      <c r="D423">
        <v>0.67900000000000005</v>
      </c>
      <c r="E423">
        <v>5.9569999999999999</v>
      </c>
      <c r="F423">
        <v>100</v>
      </c>
      <c r="G423">
        <v>1.8026</v>
      </c>
      <c r="H423">
        <v>24</v>
      </c>
      <c r="I423">
        <v>666</v>
      </c>
      <c r="J423">
        <v>20.2</v>
      </c>
      <c r="K423">
        <v>16.45</v>
      </c>
      <c r="L423">
        <v>20.62</v>
      </c>
      <c r="M423">
        <v>8.8000000000000007</v>
      </c>
      <c r="N423" s="107">
        <f t="shared" si="6"/>
        <v>6.2894511819162489</v>
      </c>
      <c r="O423" s="92"/>
    </row>
    <row r="424" spans="1:15">
      <c r="A424">
        <v>1</v>
      </c>
      <c r="B424">
        <v>11.8123</v>
      </c>
      <c r="C424">
        <v>18.100000000000001</v>
      </c>
      <c r="D424">
        <v>0.71799999999999997</v>
      </c>
      <c r="E424">
        <v>6.8239999999999998</v>
      </c>
      <c r="F424">
        <v>76.5</v>
      </c>
      <c r="G424">
        <v>1.794</v>
      </c>
      <c r="H424">
        <v>24</v>
      </c>
      <c r="I424">
        <v>666</v>
      </c>
      <c r="J424">
        <v>20.2</v>
      </c>
      <c r="K424">
        <v>48.45</v>
      </c>
      <c r="L424">
        <v>22.74</v>
      </c>
      <c r="M424">
        <v>8.4</v>
      </c>
      <c r="N424" s="107">
        <f t="shared" si="6"/>
        <v>14.783526117818269</v>
      </c>
      <c r="O424" s="92"/>
    </row>
    <row r="425" spans="1:15">
      <c r="A425">
        <v>1</v>
      </c>
      <c r="B425">
        <v>11.087400000000001</v>
      </c>
      <c r="C425">
        <v>18.100000000000001</v>
      </c>
      <c r="D425">
        <v>0.71799999999999997</v>
      </c>
      <c r="E425">
        <v>6.4109999999999996</v>
      </c>
      <c r="F425">
        <v>100</v>
      </c>
      <c r="G425">
        <v>1.8589</v>
      </c>
      <c r="H425">
        <v>24</v>
      </c>
      <c r="I425">
        <v>666</v>
      </c>
      <c r="J425">
        <v>20.2</v>
      </c>
      <c r="K425">
        <v>318.75</v>
      </c>
      <c r="L425">
        <v>15.02</v>
      </c>
      <c r="M425">
        <v>16.7</v>
      </c>
      <c r="N425" s="107">
        <f t="shared" si="6"/>
        <v>19.751980749246705</v>
      </c>
      <c r="O425" s="92"/>
    </row>
    <row r="426" spans="1:15">
      <c r="A426">
        <v>1</v>
      </c>
      <c r="B426">
        <v>7.0225900000000001</v>
      </c>
      <c r="C426">
        <v>18.100000000000001</v>
      </c>
      <c r="D426">
        <v>0.71799999999999997</v>
      </c>
      <c r="E426">
        <v>6.0060000000000002</v>
      </c>
      <c r="F426">
        <v>95.3</v>
      </c>
      <c r="G426">
        <v>1.8746</v>
      </c>
      <c r="H426">
        <v>24</v>
      </c>
      <c r="I426">
        <v>666</v>
      </c>
      <c r="J426">
        <v>20.2</v>
      </c>
      <c r="K426">
        <v>319.98</v>
      </c>
      <c r="L426">
        <v>15.7</v>
      </c>
      <c r="M426">
        <v>14.2</v>
      </c>
      <c r="N426" s="107">
        <f t="shared" si="6"/>
        <v>18.170677692383258</v>
      </c>
      <c r="O426" s="92"/>
    </row>
    <row r="427" spans="1:15">
      <c r="A427">
        <v>1</v>
      </c>
      <c r="B427">
        <v>12.0482</v>
      </c>
      <c r="C427">
        <v>18.100000000000001</v>
      </c>
      <c r="D427">
        <v>0.61399999999999999</v>
      </c>
      <c r="E427">
        <v>5.6479999999999997</v>
      </c>
      <c r="F427">
        <v>87.6</v>
      </c>
      <c r="G427">
        <v>1.9512</v>
      </c>
      <c r="H427">
        <v>24</v>
      </c>
      <c r="I427">
        <v>666</v>
      </c>
      <c r="J427">
        <v>20.2</v>
      </c>
      <c r="K427">
        <v>291.55</v>
      </c>
      <c r="L427">
        <v>14.1</v>
      </c>
      <c r="M427">
        <v>20.8</v>
      </c>
      <c r="N427" s="107">
        <f t="shared" si="6"/>
        <v>18.534286827932984</v>
      </c>
      <c r="O427" s="92"/>
    </row>
    <row r="428" spans="1:15">
      <c r="A428">
        <v>1</v>
      </c>
      <c r="B428">
        <v>7.0504199999999999</v>
      </c>
      <c r="C428">
        <v>18.100000000000001</v>
      </c>
      <c r="D428">
        <v>0.61399999999999999</v>
      </c>
      <c r="E428">
        <v>6.1029999999999998</v>
      </c>
      <c r="F428">
        <v>85.1</v>
      </c>
      <c r="G428">
        <v>2.0217999999999998</v>
      </c>
      <c r="H428">
        <v>24</v>
      </c>
      <c r="I428">
        <v>666</v>
      </c>
      <c r="J428">
        <v>20.2</v>
      </c>
      <c r="K428">
        <v>2.52</v>
      </c>
      <c r="L428">
        <v>23.29</v>
      </c>
      <c r="M428">
        <v>13.4</v>
      </c>
      <c r="N428" s="107">
        <f t="shared" si="6"/>
        <v>13.152718896280486</v>
      </c>
      <c r="O428" s="92"/>
    </row>
    <row r="429" spans="1:15">
      <c r="A429">
        <v>1</v>
      </c>
      <c r="B429">
        <v>8.7921200000000006</v>
      </c>
      <c r="C429">
        <v>18.100000000000001</v>
      </c>
      <c r="D429">
        <v>0.58399999999999996</v>
      </c>
      <c r="E429">
        <v>5.5650000000000004</v>
      </c>
      <c r="F429">
        <v>70.599999999999994</v>
      </c>
      <c r="G429">
        <v>2.0634999999999999</v>
      </c>
      <c r="H429">
        <v>24</v>
      </c>
      <c r="I429">
        <v>666</v>
      </c>
      <c r="J429">
        <v>20.2</v>
      </c>
      <c r="K429">
        <v>3.65</v>
      </c>
      <c r="L429">
        <v>17.16</v>
      </c>
      <c r="M429">
        <v>11.7</v>
      </c>
      <c r="N429" s="107">
        <f t="shared" si="6"/>
        <v>14.533223572726554</v>
      </c>
      <c r="O429" s="92"/>
    </row>
    <row r="430" spans="1:15">
      <c r="A430">
        <v>1</v>
      </c>
      <c r="B430">
        <v>15.860300000000001</v>
      </c>
      <c r="C430">
        <v>18.100000000000001</v>
      </c>
      <c r="D430">
        <v>0.67900000000000005</v>
      </c>
      <c r="E430">
        <v>5.8959999999999999</v>
      </c>
      <c r="F430">
        <v>95.4</v>
      </c>
      <c r="G430">
        <v>1.9096</v>
      </c>
      <c r="H430">
        <v>24</v>
      </c>
      <c r="I430">
        <v>666</v>
      </c>
      <c r="J430">
        <v>20.2</v>
      </c>
      <c r="K430">
        <v>7.68</v>
      </c>
      <c r="L430">
        <v>24.39</v>
      </c>
      <c r="M430">
        <v>8.3000000000000007</v>
      </c>
      <c r="N430" s="107">
        <f t="shared" si="6"/>
        <v>9.8212516564656696</v>
      </c>
      <c r="O430" s="92"/>
    </row>
    <row r="431" spans="1:15">
      <c r="A431">
        <v>1</v>
      </c>
      <c r="B431">
        <v>12.247199999999999</v>
      </c>
      <c r="C431">
        <v>18.100000000000001</v>
      </c>
      <c r="D431">
        <v>0.58399999999999996</v>
      </c>
      <c r="E431">
        <v>5.8369999999999997</v>
      </c>
      <c r="F431">
        <v>59.7</v>
      </c>
      <c r="G431">
        <v>1.9976</v>
      </c>
      <c r="H431">
        <v>24</v>
      </c>
      <c r="I431">
        <v>666</v>
      </c>
      <c r="J431">
        <v>20.2</v>
      </c>
      <c r="K431">
        <v>24.65</v>
      </c>
      <c r="L431">
        <v>15.69</v>
      </c>
      <c r="M431">
        <v>10.199999999999999</v>
      </c>
      <c r="N431" s="107">
        <f t="shared" si="6"/>
        <v>16.371572644299583</v>
      </c>
      <c r="O431" s="92"/>
    </row>
    <row r="432" spans="1:15">
      <c r="A432">
        <v>1</v>
      </c>
      <c r="B432">
        <v>37.661900000000003</v>
      </c>
      <c r="C432">
        <v>18.100000000000001</v>
      </c>
      <c r="D432">
        <v>0.67900000000000005</v>
      </c>
      <c r="E432">
        <v>6.202</v>
      </c>
      <c r="F432">
        <v>78.7</v>
      </c>
      <c r="G432">
        <v>1.8629</v>
      </c>
      <c r="H432">
        <v>24</v>
      </c>
      <c r="I432">
        <v>666</v>
      </c>
      <c r="J432">
        <v>20.2</v>
      </c>
      <c r="K432">
        <v>18.82</v>
      </c>
      <c r="L432">
        <v>14.52</v>
      </c>
      <c r="M432">
        <v>10.9</v>
      </c>
      <c r="N432" s="107">
        <f t="shared" si="6"/>
        <v>14.206628490706207</v>
      </c>
      <c r="O432" s="92"/>
    </row>
    <row r="433" spans="1:15">
      <c r="A433">
        <v>1</v>
      </c>
      <c r="B433">
        <v>7.3671100000000003</v>
      </c>
      <c r="C433">
        <v>18.100000000000001</v>
      </c>
      <c r="D433">
        <v>0.67900000000000005</v>
      </c>
      <c r="E433">
        <v>6.1929999999999996</v>
      </c>
      <c r="F433">
        <v>78.099999999999994</v>
      </c>
      <c r="G433">
        <v>1.9356</v>
      </c>
      <c r="H433">
        <v>24</v>
      </c>
      <c r="I433">
        <v>666</v>
      </c>
      <c r="J433">
        <v>20.2</v>
      </c>
      <c r="K433">
        <v>96.73</v>
      </c>
      <c r="L433">
        <v>21.52</v>
      </c>
      <c r="M433">
        <v>11</v>
      </c>
      <c r="N433" s="107">
        <f t="shared" si="6"/>
        <v>14.308290839735848</v>
      </c>
      <c r="O433" s="92"/>
    </row>
    <row r="434" spans="1:15">
      <c r="A434">
        <v>1</v>
      </c>
      <c r="B434">
        <v>9.3388899999999992</v>
      </c>
      <c r="C434">
        <v>18.100000000000001</v>
      </c>
      <c r="D434">
        <v>0.67900000000000005</v>
      </c>
      <c r="E434">
        <v>6.38</v>
      </c>
      <c r="F434">
        <v>95.6</v>
      </c>
      <c r="G434">
        <v>1.9681999999999999</v>
      </c>
      <c r="H434">
        <v>24</v>
      </c>
      <c r="I434">
        <v>666</v>
      </c>
      <c r="J434">
        <v>20.2</v>
      </c>
      <c r="K434">
        <v>60.72</v>
      </c>
      <c r="L434">
        <v>24.08</v>
      </c>
      <c r="M434">
        <v>9.5</v>
      </c>
      <c r="N434" s="107">
        <f t="shared" si="6"/>
        <v>13.081533926554597</v>
      </c>
      <c r="O434" s="92"/>
    </row>
    <row r="435" spans="1:15">
      <c r="A435">
        <v>1</v>
      </c>
      <c r="B435">
        <v>8.4921299999999995</v>
      </c>
      <c r="C435">
        <v>18.100000000000001</v>
      </c>
      <c r="D435">
        <v>0.58399999999999996</v>
      </c>
      <c r="E435">
        <v>6.3479999999999999</v>
      </c>
      <c r="F435">
        <v>86.1</v>
      </c>
      <c r="G435">
        <v>2.0527000000000002</v>
      </c>
      <c r="H435">
        <v>24</v>
      </c>
      <c r="I435">
        <v>666</v>
      </c>
      <c r="J435">
        <v>20.2</v>
      </c>
      <c r="K435">
        <v>83.45</v>
      </c>
      <c r="L435">
        <v>17.64</v>
      </c>
      <c r="M435">
        <v>14.5</v>
      </c>
      <c r="N435" s="107">
        <f t="shared" si="6"/>
        <v>18.260801032538758</v>
      </c>
      <c r="O435" s="92"/>
    </row>
    <row r="436" spans="1:15">
      <c r="A436">
        <v>1</v>
      </c>
      <c r="B436">
        <v>10.0623</v>
      </c>
      <c r="C436">
        <v>18.100000000000001</v>
      </c>
      <c r="D436">
        <v>0.58399999999999996</v>
      </c>
      <c r="E436">
        <v>6.8330000000000002</v>
      </c>
      <c r="F436">
        <v>94.3</v>
      </c>
      <c r="G436">
        <v>2.0882000000000001</v>
      </c>
      <c r="H436">
        <v>24</v>
      </c>
      <c r="I436">
        <v>666</v>
      </c>
      <c r="J436">
        <v>20.2</v>
      </c>
      <c r="K436">
        <v>81.33</v>
      </c>
      <c r="L436">
        <v>19.690000000000001</v>
      </c>
      <c r="M436">
        <v>14.1</v>
      </c>
      <c r="N436" s="107">
        <f t="shared" si="6"/>
        <v>18.912563571333664</v>
      </c>
      <c r="O436" s="92"/>
    </row>
    <row r="437" spans="1:15">
      <c r="A437">
        <v>1</v>
      </c>
      <c r="B437">
        <v>6.4440499999999998</v>
      </c>
      <c r="C437">
        <v>18.100000000000001</v>
      </c>
      <c r="D437">
        <v>0.58399999999999996</v>
      </c>
      <c r="E437">
        <v>6.4249999999999998</v>
      </c>
      <c r="F437">
        <v>74.8</v>
      </c>
      <c r="G437">
        <v>2.2004000000000001</v>
      </c>
      <c r="H437">
        <v>24</v>
      </c>
      <c r="I437">
        <v>666</v>
      </c>
      <c r="J437">
        <v>20.2</v>
      </c>
      <c r="K437">
        <v>97.95</v>
      </c>
      <c r="L437">
        <v>12.03</v>
      </c>
      <c r="M437">
        <v>16.100000000000001</v>
      </c>
      <c r="N437" s="107">
        <f t="shared" si="6"/>
        <v>21.725999146175972</v>
      </c>
      <c r="O437" s="92"/>
    </row>
    <row r="438" spans="1:15">
      <c r="A438">
        <v>1</v>
      </c>
      <c r="B438">
        <v>5.5810700000000004</v>
      </c>
      <c r="C438">
        <v>18.100000000000001</v>
      </c>
      <c r="D438">
        <v>0.71299999999999997</v>
      </c>
      <c r="E438">
        <v>6.4359999999999999</v>
      </c>
      <c r="F438">
        <v>87.9</v>
      </c>
      <c r="G438">
        <v>2.3157999999999999</v>
      </c>
      <c r="H438">
        <v>24</v>
      </c>
      <c r="I438">
        <v>666</v>
      </c>
      <c r="J438">
        <v>20.2</v>
      </c>
      <c r="K438">
        <v>100.19</v>
      </c>
      <c r="L438">
        <v>16.22</v>
      </c>
      <c r="M438">
        <v>14.3</v>
      </c>
      <c r="N438" s="107">
        <f t="shared" si="6"/>
        <v>17.20777907052657</v>
      </c>
      <c r="O438" s="92"/>
    </row>
    <row r="439" spans="1:15">
      <c r="A439">
        <v>1</v>
      </c>
      <c r="B439">
        <v>13.913399999999999</v>
      </c>
      <c r="C439">
        <v>18.100000000000001</v>
      </c>
      <c r="D439">
        <v>0.71299999999999997</v>
      </c>
      <c r="E439">
        <v>6.2080000000000002</v>
      </c>
      <c r="F439">
        <v>95</v>
      </c>
      <c r="G439">
        <v>2.2222</v>
      </c>
      <c r="H439">
        <v>24</v>
      </c>
      <c r="I439">
        <v>666</v>
      </c>
      <c r="J439">
        <v>20.2</v>
      </c>
      <c r="K439">
        <v>100.63</v>
      </c>
      <c r="L439">
        <v>15.17</v>
      </c>
      <c r="M439">
        <v>11.7</v>
      </c>
      <c r="N439" s="107">
        <f t="shared" si="6"/>
        <v>16.06738296412707</v>
      </c>
      <c r="O439" s="92"/>
    </row>
    <row r="440" spans="1:15">
      <c r="A440">
        <v>1</v>
      </c>
      <c r="B440">
        <v>11.160399999999999</v>
      </c>
      <c r="C440">
        <v>18.100000000000001</v>
      </c>
      <c r="D440">
        <v>0.74</v>
      </c>
      <c r="E440">
        <v>6.6289999999999996</v>
      </c>
      <c r="F440">
        <v>94.6</v>
      </c>
      <c r="G440">
        <v>2.1246999999999998</v>
      </c>
      <c r="H440">
        <v>24</v>
      </c>
      <c r="I440">
        <v>666</v>
      </c>
      <c r="J440">
        <v>20.2</v>
      </c>
      <c r="K440">
        <v>109.85</v>
      </c>
      <c r="L440">
        <v>23.27</v>
      </c>
      <c r="M440">
        <v>13.4</v>
      </c>
      <c r="N440" s="107">
        <f t="shared" si="6"/>
        <v>13.542790582265161</v>
      </c>
      <c r="O440" s="92"/>
    </row>
    <row r="441" spans="1:15">
      <c r="A441">
        <v>1</v>
      </c>
      <c r="B441">
        <v>14.4208</v>
      </c>
      <c r="C441">
        <v>18.100000000000001</v>
      </c>
      <c r="D441">
        <v>0.74</v>
      </c>
      <c r="E441">
        <v>6.4610000000000003</v>
      </c>
      <c r="F441">
        <v>93.3</v>
      </c>
      <c r="G441">
        <v>2.0026000000000002</v>
      </c>
      <c r="H441">
        <v>24</v>
      </c>
      <c r="I441">
        <v>666</v>
      </c>
      <c r="J441">
        <v>20.2</v>
      </c>
      <c r="K441">
        <v>27.49</v>
      </c>
      <c r="L441">
        <v>18.05</v>
      </c>
      <c r="M441">
        <v>9.6</v>
      </c>
      <c r="N441" s="107">
        <f t="shared" si="6"/>
        <v>14.601709885574197</v>
      </c>
      <c r="O441" s="92"/>
    </row>
    <row r="442" spans="1:15">
      <c r="A442">
        <v>1</v>
      </c>
      <c r="B442">
        <v>15.177199999999999</v>
      </c>
      <c r="C442">
        <v>18.100000000000001</v>
      </c>
      <c r="D442">
        <v>0.74</v>
      </c>
      <c r="E442">
        <v>6.1520000000000001</v>
      </c>
      <c r="F442">
        <v>100</v>
      </c>
      <c r="G442">
        <v>1.9141999999999999</v>
      </c>
      <c r="H442">
        <v>24</v>
      </c>
      <c r="I442">
        <v>666</v>
      </c>
      <c r="J442">
        <v>20.2</v>
      </c>
      <c r="K442">
        <v>9.32</v>
      </c>
      <c r="L442">
        <v>26.45</v>
      </c>
      <c r="M442">
        <v>8.6999999999999993</v>
      </c>
      <c r="N442" s="107">
        <f t="shared" si="6"/>
        <v>8.7641158701662984</v>
      </c>
      <c r="O442" s="92"/>
    </row>
    <row r="443" spans="1:15">
      <c r="A443">
        <v>1</v>
      </c>
      <c r="B443">
        <v>13.678100000000001</v>
      </c>
      <c r="C443">
        <v>18.100000000000001</v>
      </c>
      <c r="D443">
        <v>0.74</v>
      </c>
      <c r="E443">
        <v>5.9349999999999996</v>
      </c>
      <c r="F443">
        <v>87.9</v>
      </c>
      <c r="G443">
        <v>1.8206</v>
      </c>
      <c r="H443">
        <v>24</v>
      </c>
      <c r="I443">
        <v>666</v>
      </c>
      <c r="J443">
        <v>20.2</v>
      </c>
      <c r="K443">
        <v>68.95</v>
      </c>
      <c r="L443">
        <v>34.020000000000003</v>
      </c>
      <c r="M443">
        <v>8.4</v>
      </c>
      <c r="N443" s="107">
        <f t="shared" si="6"/>
        <v>4.7930522038449794</v>
      </c>
      <c r="O443" s="92"/>
    </row>
    <row r="444" spans="1:15">
      <c r="A444">
        <v>1</v>
      </c>
      <c r="B444">
        <v>9.3906299999999998</v>
      </c>
      <c r="C444">
        <v>18.100000000000001</v>
      </c>
      <c r="D444">
        <v>0.74</v>
      </c>
      <c r="E444">
        <v>5.6269999999999998</v>
      </c>
      <c r="F444">
        <v>93.9</v>
      </c>
      <c r="G444">
        <v>1.8171999999999999</v>
      </c>
      <c r="H444">
        <v>24</v>
      </c>
      <c r="I444">
        <v>666</v>
      </c>
      <c r="J444">
        <v>20.2</v>
      </c>
      <c r="K444">
        <v>396.9</v>
      </c>
      <c r="L444">
        <v>22.88</v>
      </c>
      <c r="M444">
        <v>12.8</v>
      </c>
      <c r="N444" s="107">
        <f t="shared" si="6"/>
        <v>13.050468551636392</v>
      </c>
      <c r="O444" s="92"/>
    </row>
    <row r="445" spans="1:15">
      <c r="A445">
        <v>1</v>
      </c>
      <c r="B445">
        <v>22.051100000000002</v>
      </c>
      <c r="C445">
        <v>18.100000000000001</v>
      </c>
      <c r="D445">
        <v>0.74</v>
      </c>
      <c r="E445">
        <v>5.8179999999999996</v>
      </c>
      <c r="F445">
        <v>92.4</v>
      </c>
      <c r="G445">
        <v>1.8662000000000001</v>
      </c>
      <c r="H445">
        <v>24</v>
      </c>
      <c r="I445">
        <v>666</v>
      </c>
      <c r="J445">
        <v>20.2</v>
      </c>
      <c r="K445">
        <v>391.45</v>
      </c>
      <c r="L445">
        <v>22.11</v>
      </c>
      <c r="M445">
        <v>10.5</v>
      </c>
      <c r="N445" s="107">
        <f t="shared" si="6"/>
        <v>12.814831614337063</v>
      </c>
      <c r="O445" s="92"/>
    </row>
    <row r="446" spans="1:15">
      <c r="A446">
        <v>1</v>
      </c>
      <c r="B446">
        <v>9.7241800000000005</v>
      </c>
      <c r="C446">
        <v>18.100000000000001</v>
      </c>
      <c r="D446">
        <v>0.74</v>
      </c>
      <c r="E446">
        <v>6.4059999999999997</v>
      </c>
      <c r="F446">
        <v>97.2</v>
      </c>
      <c r="G446">
        <v>2.0651000000000002</v>
      </c>
      <c r="H446">
        <v>24</v>
      </c>
      <c r="I446">
        <v>666</v>
      </c>
      <c r="J446">
        <v>20.2</v>
      </c>
      <c r="K446">
        <v>385.96</v>
      </c>
      <c r="L446">
        <v>19.52</v>
      </c>
      <c r="M446">
        <v>17.100000000000001</v>
      </c>
      <c r="N446" s="107">
        <f t="shared" si="6"/>
        <v>17.537626688436454</v>
      </c>
      <c r="O446" s="92"/>
    </row>
    <row r="447" spans="1:15">
      <c r="A447">
        <v>1</v>
      </c>
      <c r="B447">
        <v>5.6663699999999997</v>
      </c>
      <c r="C447">
        <v>18.100000000000001</v>
      </c>
      <c r="D447">
        <v>0.74</v>
      </c>
      <c r="E447">
        <v>6.2190000000000003</v>
      </c>
      <c r="F447">
        <v>100</v>
      </c>
      <c r="G447">
        <v>2.0047999999999999</v>
      </c>
      <c r="H447">
        <v>24</v>
      </c>
      <c r="I447">
        <v>666</v>
      </c>
      <c r="J447">
        <v>20.2</v>
      </c>
      <c r="K447">
        <v>395.69</v>
      </c>
      <c r="L447">
        <v>16.59</v>
      </c>
      <c r="M447">
        <v>18.399999999999999</v>
      </c>
      <c r="N447" s="107">
        <f t="shared" si="6"/>
        <v>18.895202744361463</v>
      </c>
      <c r="O447" s="92"/>
    </row>
    <row r="448" spans="1:15">
      <c r="A448">
        <v>1</v>
      </c>
      <c r="B448">
        <v>9.9665400000000002</v>
      </c>
      <c r="C448">
        <v>18.100000000000001</v>
      </c>
      <c r="D448">
        <v>0.74</v>
      </c>
      <c r="E448">
        <v>6.4850000000000003</v>
      </c>
      <c r="F448">
        <v>100</v>
      </c>
      <c r="G448">
        <v>1.9783999999999999</v>
      </c>
      <c r="H448">
        <v>24</v>
      </c>
      <c r="I448">
        <v>666</v>
      </c>
      <c r="J448">
        <v>20.2</v>
      </c>
      <c r="K448">
        <v>386.73</v>
      </c>
      <c r="L448">
        <v>18.850000000000001</v>
      </c>
      <c r="M448">
        <v>15.4</v>
      </c>
      <c r="N448" s="107">
        <f t="shared" si="6"/>
        <v>18.291339487723029</v>
      </c>
      <c r="O448" s="92"/>
    </row>
    <row r="449" spans="1:15">
      <c r="A449">
        <v>1</v>
      </c>
      <c r="B449">
        <v>12.802300000000001</v>
      </c>
      <c r="C449">
        <v>18.100000000000001</v>
      </c>
      <c r="D449">
        <v>0.74</v>
      </c>
      <c r="E449">
        <v>5.8540000000000001</v>
      </c>
      <c r="F449">
        <v>96.6</v>
      </c>
      <c r="G449">
        <v>1.8956</v>
      </c>
      <c r="H449">
        <v>24</v>
      </c>
      <c r="I449">
        <v>666</v>
      </c>
      <c r="J449">
        <v>20.2</v>
      </c>
      <c r="K449">
        <v>240.52</v>
      </c>
      <c r="L449">
        <v>23.79</v>
      </c>
      <c r="M449">
        <v>10.8</v>
      </c>
      <c r="N449" s="107">
        <f t="shared" si="6"/>
        <v>11.501849025736895</v>
      </c>
      <c r="O449" s="92"/>
    </row>
    <row r="450" spans="1:15">
      <c r="A450">
        <v>1</v>
      </c>
      <c r="B450">
        <v>10.671799999999999</v>
      </c>
      <c r="C450">
        <v>18.100000000000001</v>
      </c>
      <c r="D450">
        <v>0.74</v>
      </c>
      <c r="E450">
        <v>6.4589999999999996</v>
      </c>
      <c r="F450">
        <v>94.8</v>
      </c>
      <c r="G450">
        <v>1.9879</v>
      </c>
      <c r="H450">
        <v>24</v>
      </c>
      <c r="I450">
        <v>666</v>
      </c>
      <c r="J450">
        <v>20.2</v>
      </c>
      <c r="K450">
        <v>43.06</v>
      </c>
      <c r="L450">
        <v>23.98</v>
      </c>
      <c r="M450">
        <v>11.8</v>
      </c>
      <c r="N450" s="107">
        <f t="shared" si="6"/>
        <v>12.0347758044097</v>
      </c>
      <c r="O450" s="92"/>
    </row>
    <row r="451" spans="1:15">
      <c r="A451">
        <v>1</v>
      </c>
      <c r="B451">
        <v>6.2880700000000003</v>
      </c>
      <c r="C451">
        <v>18.100000000000001</v>
      </c>
      <c r="D451">
        <v>0.74</v>
      </c>
      <c r="E451">
        <v>6.3410000000000002</v>
      </c>
      <c r="F451">
        <v>96.4</v>
      </c>
      <c r="G451">
        <v>2.0720000000000001</v>
      </c>
      <c r="H451">
        <v>24</v>
      </c>
      <c r="I451">
        <v>666</v>
      </c>
      <c r="J451">
        <v>20.2</v>
      </c>
      <c r="K451">
        <v>318.01</v>
      </c>
      <c r="L451">
        <v>17.79</v>
      </c>
      <c r="M451">
        <v>14.9</v>
      </c>
      <c r="N451" s="107">
        <f t="shared" si="6"/>
        <v>17.860689923944275</v>
      </c>
      <c r="O451" s="92"/>
    </row>
    <row r="452" spans="1:15">
      <c r="A452">
        <v>1</v>
      </c>
      <c r="B452">
        <v>9.9248499999999993</v>
      </c>
      <c r="C452">
        <v>18.100000000000001</v>
      </c>
      <c r="D452">
        <v>0.74</v>
      </c>
      <c r="E452">
        <v>6.2510000000000003</v>
      </c>
      <c r="F452">
        <v>96.6</v>
      </c>
      <c r="G452">
        <v>2.198</v>
      </c>
      <c r="H452">
        <v>24</v>
      </c>
      <c r="I452">
        <v>666</v>
      </c>
      <c r="J452">
        <v>20.2</v>
      </c>
      <c r="K452">
        <v>388.52</v>
      </c>
      <c r="L452">
        <v>16.440000000000001</v>
      </c>
      <c r="M452">
        <v>12.6</v>
      </c>
      <c r="N452" s="107">
        <f t="shared" si="6"/>
        <v>18.368550383730575</v>
      </c>
      <c r="O452" s="92"/>
    </row>
    <row r="453" spans="1:15">
      <c r="A453">
        <v>1</v>
      </c>
      <c r="B453">
        <v>9.3290900000000008</v>
      </c>
      <c r="C453">
        <v>18.100000000000001</v>
      </c>
      <c r="D453">
        <v>0.71299999999999997</v>
      </c>
      <c r="E453">
        <v>6.1849999999999996</v>
      </c>
      <c r="F453">
        <v>98.7</v>
      </c>
      <c r="G453">
        <v>2.2616000000000001</v>
      </c>
      <c r="H453">
        <v>24</v>
      </c>
      <c r="I453">
        <v>666</v>
      </c>
      <c r="J453">
        <v>20.2</v>
      </c>
      <c r="K453">
        <v>396.9</v>
      </c>
      <c r="L453">
        <v>18.13</v>
      </c>
      <c r="M453">
        <v>14.1</v>
      </c>
      <c r="N453" s="107">
        <f t="shared" ref="N453:N510" si="7">SUMPRODUCT($A$2:$L$2,A453:L453)</f>
        <v>17.75530641696546</v>
      </c>
      <c r="O453" s="92"/>
    </row>
    <row r="454" spans="1:15">
      <c r="A454">
        <v>1</v>
      </c>
      <c r="B454">
        <v>7.5260100000000003</v>
      </c>
      <c r="C454">
        <v>18.100000000000001</v>
      </c>
      <c r="D454">
        <v>0.71299999999999997</v>
      </c>
      <c r="E454">
        <v>6.4169999999999998</v>
      </c>
      <c r="F454">
        <v>98.3</v>
      </c>
      <c r="G454">
        <v>2.1850000000000001</v>
      </c>
      <c r="H454">
        <v>24</v>
      </c>
      <c r="I454">
        <v>666</v>
      </c>
      <c r="J454">
        <v>20.2</v>
      </c>
      <c r="K454">
        <v>304.20999999999998</v>
      </c>
      <c r="L454">
        <v>19.309999999999999</v>
      </c>
      <c r="M454">
        <v>13</v>
      </c>
      <c r="N454" s="107">
        <f t="shared" si="7"/>
        <v>17.447857513029</v>
      </c>
      <c r="O454" s="92"/>
    </row>
    <row r="455" spans="1:15">
      <c r="A455">
        <v>1</v>
      </c>
      <c r="B455">
        <v>6.7177199999999999</v>
      </c>
      <c r="C455">
        <v>18.100000000000001</v>
      </c>
      <c r="D455">
        <v>0.71299999999999997</v>
      </c>
      <c r="E455">
        <v>6.7489999999999997</v>
      </c>
      <c r="F455">
        <v>92.6</v>
      </c>
      <c r="G455">
        <v>2.3235999999999999</v>
      </c>
      <c r="H455">
        <v>24</v>
      </c>
      <c r="I455">
        <v>666</v>
      </c>
      <c r="J455">
        <v>20.2</v>
      </c>
      <c r="K455">
        <v>0.32</v>
      </c>
      <c r="L455">
        <v>17.440000000000001</v>
      </c>
      <c r="M455">
        <v>13.4</v>
      </c>
      <c r="N455" s="107">
        <f t="shared" si="7"/>
        <v>16.71899181950284</v>
      </c>
      <c r="O455" s="92"/>
    </row>
    <row r="456" spans="1:15">
      <c r="A456">
        <v>1</v>
      </c>
      <c r="B456">
        <v>5.4411399999999999</v>
      </c>
      <c r="C456">
        <v>18.100000000000001</v>
      </c>
      <c r="D456">
        <v>0.71299999999999997</v>
      </c>
      <c r="E456">
        <v>6.6550000000000002</v>
      </c>
      <c r="F456">
        <v>98.2</v>
      </c>
      <c r="G456">
        <v>2.3552</v>
      </c>
      <c r="H456">
        <v>24</v>
      </c>
      <c r="I456">
        <v>666</v>
      </c>
      <c r="J456">
        <v>20.2</v>
      </c>
      <c r="K456">
        <v>355.29</v>
      </c>
      <c r="L456">
        <v>17.73</v>
      </c>
      <c r="M456">
        <v>15.2</v>
      </c>
      <c r="N456" s="107">
        <f t="shared" si="7"/>
        <v>19.760361754246546</v>
      </c>
      <c r="O456" s="92"/>
    </row>
    <row r="457" spans="1:15">
      <c r="A457">
        <v>1</v>
      </c>
      <c r="B457">
        <v>5.0901699999999996</v>
      </c>
      <c r="C457">
        <v>18.100000000000001</v>
      </c>
      <c r="D457">
        <v>0.71299999999999997</v>
      </c>
      <c r="E457">
        <v>6.2969999999999997</v>
      </c>
      <c r="F457">
        <v>91.8</v>
      </c>
      <c r="G457">
        <v>2.3681999999999999</v>
      </c>
      <c r="H457">
        <v>24</v>
      </c>
      <c r="I457">
        <v>666</v>
      </c>
      <c r="J457">
        <v>20.2</v>
      </c>
      <c r="K457">
        <v>385.09</v>
      </c>
      <c r="L457">
        <v>17.27</v>
      </c>
      <c r="M457">
        <v>16.100000000000001</v>
      </c>
      <c r="N457" s="107">
        <f t="shared" si="7"/>
        <v>18.874399489491793</v>
      </c>
      <c r="O457" s="92"/>
    </row>
    <row r="458" spans="1:15">
      <c r="A458">
        <v>1</v>
      </c>
      <c r="B458">
        <v>8.2480899999999995</v>
      </c>
      <c r="C458">
        <v>18.100000000000001</v>
      </c>
      <c r="D458">
        <v>0.71299999999999997</v>
      </c>
      <c r="E458">
        <v>7.3929999999999998</v>
      </c>
      <c r="F458">
        <v>99.3</v>
      </c>
      <c r="G458">
        <v>2.4527000000000001</v>
      </c>
      <c r="H458">
        <v>24</v>
      </c>
      <c r="I458">
        <v>666</v>
      </c>
      <c r="J458">
        <v>20.2</v>
      </c>
      <c r="K458">
        <v>375.87</v>
      </c>
      <c r="L458">
        <v>16.739999999999998</v>
      </c>
      <c r="M458">
        <v>17.8</v>
      </c>
      <c r="N458" s="107">
        <f t="shared" si="7"/>
        <v>23.07871114250629</v>
      </c>
      <c r="O458" s="92"/>
    </row>
    <row r="459" spans="1:15">
      <c r="A459">
        <v>1</v>
      </c>
      <c r="B459">
        <v>9.5136299999999991</v>
      </c>
      <c r="C459">
        <v>18.100000000000001</v>
      </c>
      <c r="D459">
        <v>0.71299999999999997</v>
      </c>
      <c r="E459">
        <v>6.7279999999999998</v>
      </c>
      <c r="F459">
        <v>94.1</v>
      </c>
      <c r="G459">
        <v>2.4961000000000002</v>
      </c>
      <c r="H459">
        <v>24</v>
      </c>
      <c r="I459">
        <v>666</v>
      </c>
      <c r="J459">
        <v>20.2</v>
      </c>
      <c r="K459">
        <v>6.68</v>
      </c>
      <c r="L459">
        <v>18.71</v>
      </c>
      <c r="M459">
        <v>14.9</v>
      </c>
      <c r="N459" s="107">
        <f t="shared" si="7"/>
        <v>15.527426979564993</v>
      </c>
      <c r="O459" s="92"/>
    </row>
    <row r="460" spans="1:15">
      <c r="A460">
        <v>1</v>
      </c>
      <c r="B460">
        <v>4.75237</v>
      </c>
      <c r="C460">
        <v>18.100000000000001</v>
      </c>
      <c r="D460">
        <v>0.71299999999999997</v>
      </c>
      <c r="E460">
        <v>6.5250000000000004</v>
      </c>
      <c r="F460">
        <v>86.5</v>
      </c>
      <c r="G460">
        <v>2.4358</v>
      </c>
      <c r="H460">
        <v>24</v>
      </c>
      <c r="I460">
        <v>666</v>
      </c>
      <c r="J460">
        <v>20.2</v>
      </c>
      <c r="K460">
        <v>50.92</v>
      </c>
      <c r="L460">
        <v>18.13</v>
      </c>
      <c r="M460">
        <v>14.1</v>
      </c>
      <c r="N460" s="107">
        <f t="shared" si="7"/>
        <v>16.026202098743809</v>
      </c>
      <c r="O460" s="92"/>
    </row>
    <row r="461" spans="1:15">
      <c r="A461">
        <v>1</v>
      </c>
      <c r="B461">
        <v>4.6688299999999998</v>
      </c>
      <c r="C461">
        <v>18.100000000000001</v>
      </c>
      <c r="D461">
        <v>0.71299999999999997</v>
      </c>
      <c r="E461">
        <v>5.976</v>
      </c>
      <c r="F461">
        <v>87.9</v>
      </c>
      <c r="G461">
        <v>2.5806</v>
      </c>
      <c r="H461">
        <v>24</v>
      </c>
      <c r="I461">
        <v>666</v>
      </c>
      <c r="J461">
        <v>20.2</v>
      </c>
      <c r="K461">
        <v>10.48</v>
      </c>
      <c r="L461">
        <v>19.010000000000002</v>
      </c>
      <c r="M461">
        <v>12.7</v>
      </c>
      <c r="N461" s="107">
        <f t="shared" si="7"/>
        <v>12.758527551775011</v>
      </c>
      <c r="O461" s="92"/>
    </row>
    <row r="462" spans="1:15">
      <c r="A462">
        <v>1</v>
      </c>
      <c r="B462">
        <v>8.2005800000000004</v>
      </c>
      <c r="C462">
        <v>18.100000000000001</v>
      </c>
      <c r="D462">
        <v>0.71299999999999997</v>
      </c>
      <c r="E462">
        <v>5.9359999999999999</v>
      </c>
      <c r="F462">
        <v>80.3</v>
      </c>
      <c r="G462">
        <v>2.7791999999999999</v>
      </c>
      <c r="H462">
        <v>24</v>
      </c>
      <c r="I462">
        <v>666</v>
      </c>
      <c r="J462">
        <v>20.2</v>
      </c>
      <c r="K462">
        <v>3.5</v>
      </c>
      <c r="L462">
        <v>16.940000000000001</v>
      </c>
      <c r="M462">
        <v>13.5</v>
      </c>
      <c r="N462" s="107">
        <f t="shared" si="7"/>
        <v>13.028257514100531</v>
      </c>
      <c r="O462" s="92"/>
    </row>
    <row r="463" spans="1:15">
      <c r="A463">
        <v>1</v>
      </c>
      <c r="B463">
        <v>7.75223</v>
      </c>
      <c r="C463">
        <v>18.100000000000001</v>
      </c>
      <c r="D463">
        <v>0.71299999999999997</v>
      </c>
      <c r="E463">
        <v>6.3010000000000002</v>
      </c>
      <c r="F463">
        <v>83.7</v>
      </c>
      <c r="G463">
        <v>2.7831000000000001</v>
      </c>
      <c r="H463">
        <v>24</v>
      </c>
      <c r="I463">
        <v>666</v>
      </c>
      <c r="J463">
        <v>20.2</v>
      </c>
      <c r="K463">
        <v>272.20999999999998</v>
      </c>
      <c r="L463">
        <v>16.23</v>
      </c>
      <c r="M463">
        <v>14.9</v>
      </c>
      <c r="N463" s="107">
        <f t="shared" si="7"/>
        <v>17.568581314554471</v>
      </c>
      <c r="O463" s="92"/>
    </row>
    <row r="464" spans="1:15">
      <c r="A464">
        <v>1</v>
      </c>
      <c r="B464">
        <v>6.8011699999999999</v>
      </c>
      <c r="C464">
        <v>18.100000000000001</v>
      </c>
      <c r="D464">
        <v>0.71299999999999997</v>
      </c>
      <c r="E464">
        <v>6.0810000000000004</v>
      </c>
      <c r="F464">
        <v>84.4</v>
      </c>
      <c r="G464">
        <v>2.7174999999999998</v>
      </c>
      <c r="H464">
        <v>24</v>
      </c>
      <c r="I464">
        <v>666</v>
      </c>
      <c r="J464">
        <v>20.2</v>
      </c>
      <c r="K464">
        <v>396.9</v>
      </c>
      <c r="L464">
        <v>14.7</v>
      </c>
      <c r="M464">
        <v>20</v>
      </c>
      <c r="N464" s="107">
        <f t="shared" si="7"/>
        <v>18.880087492402392</v>
      </c>
      <c r="O464" s="92"/>
    </row>
    <row r="465" spans="1:15">
      <c r="A465">
        <v>1</v>
      </c>
      <c r="B465">
        <v>4.8121299999999998</v>
      </c>
      <c r="C465">
        <v>18.100000000000001</v>
      </c>
      <c r="D465">
        <v>0.71299999999999997</v>
      </c>
      <c r="E465">
        <v>6.7009999999999996</v>
      </c>
      <c r="F465">
        <v>90</v>
      </c>
      <c r="G465">
        <v>2.5975000000000001</v>
      </c>
      <c r="H465">
        <v>24</v>
      </c>
      <c r="I465">
        <v>666</v>
      </c>
      <c r="J465">
        <v>20.2</v>
      </c>
      <c r="K465">
        <v>255.23</v>
      </c>
      <c r="L465">
        <v>16.420000000000002</v>
      </c>
      <c r="M465">
        <v>16.399999999999999</v>
      </c>
      <c r="N465" s="107">
        <f t="shared" si="7"/>
        <v>19.443204322187725</v>
      </c>
      <c r="O465" s="92"/>
    </row>
    <row r="466" spans="1:15">
      <c r="A466">
        <v>1</v>
      </c>
      <c r="B466">
        <v>3.6931099999999999</v>
      </c>
      <c r="C466">
        <v>18.100000000000001</v>
      </c>
      <c r="D466">
        <v>0.71299999999999997</v>
      </c>
      <c r="E466">
        <v>6.3760000000000003</v>
      </c>
      <c r="F466">
        <v>88.4</v>
      </c>
      <c r="G466">
        <v>2.5670999999999999</v>
      </c>
      <c r="H466">
        <v>24</v>
      </c>
      <c r="I466">
        <v>666</v>
      </c>
      <c r="J466">
        <v>20.2</v>
      </c>
      <c r="K466">
        <v>391.43</v>
      </c>
      <c r="L466">
        <v>14.65</v>
      </c>
      <c r="M466">
        <v>17.7</v>
      </c>
      <c r="N466" s="107">
        <f t="shared" si="7"/>
        <v>20.547188346950687</v>
      </c>
      <c r="O466" s="92"/>
    </row>
    <row r="467" spans="1:15">
      <c r="A467">
        <v>1</v>
      </c>
      <c r="B467">
        <v>6.6549199999999997</v>
      </c>
      <c r="C467">
        <v>18.100000000000001</v>
      </c>
      <c r="D467">
        <v>0.71299999999999997</v>
      </c>
      <c r="E467">
        <v>6.3170000000000002</v>
      </c>
      <c r="F467">
        <v>83</v>
      </c>
      <c r="G467">
        <v>2.7343999999999999</v>
      </c>
      <c r="H467">
        <v>24</v>
      </c>
      <c r="I467">
        <v>666</v>
      </c>
      <c r="J467">
        <v>20.2</v>
      </c>
      <c r="K467">
        <v>396.9</v>
      </c>
      <c r="L467">
        <v>13.99</v>
      </c>
      <c r="M467">
        <v>19.5</v>
      </c>
      <c r="N467" s="107">
        <f t="shared" si="7"/>
        <v>20.212818112067595</v>
      </c>
      <c r="O467" s="92"/>
    </row>
    <row r="468" spans="1:15">
      <c r="A468">
        <v>1</v>
      </c>
      <c r="B468">
        <v>5.8211500000000003</v>
      </c>
      <c r="C468">
        <v>18.100000000000001</v>
      </c>
      <c r="D468">
        <v>0.71299999999999997</v>
      </c>
      <c r="E468">
        <v>6.5129999999999999</v>
      </c>
      <c r="F468">
        <v>89.9</v>
      </c>
      <c r="G468">
        <v>2.8016000000000001</v>
      </c>
      <c r="H468">
        <v>24</v>
      </c>
      <c r="I468">
        <v>666</v>
      </c>
      <c r="J468">
        <v>20.2</v>
      </c>
      <c r="K468">
        <v>393.82</v>
      </c>
      <c r="L468">
        <v>10.29</v>
      </c>
      <c r="M468">
        <v>20.2</v>
      </c>
      <c r="N468" s="107">
        <f t="shared" si="7"/>
        <v>22.9104412129543</v>
      </c>
      <c r="O468" s="92"/>
    </row>
    <row r="469" spans="1:15">
      <c r="A469">
        <v>1</v>
      </c>
      <c r="B469">
        <v>7.8393199999999998</v>
      </c>
      <c r="C469">
        <v>18.100000000000001</v>
      </c>
      <c r="D469">
        <v>0.65500000000000003</v>
      </c>
      <c r="E469">
        <v>6.2089999999999996</v>
      </c>
      <c r="F469">
        <v>65.400000000000006</v>
      </c>
      <c r="G469">
        <v>2.9634</v>
      </c>
      <c r="H469">
        <v>24</v>
      </c>
      <c r="I469">
        <v>666</v>
      </c>
      <c r="J469">
        <v>20.2</v>
      </c>
      <c r="K469">
        <v>396.9</v>
      </c>
      <c r="L469">
        <v>13.22</v>
      </c>
      <c r="M469">
        <v>21.4</v>
      </c>
      <c r="N469" s="107">
        <f t="shared" si="7"/>
        <v>20.858165104073763</v>
      </c>
      <c r="O469" s="92"/>
    </row>
    <row r="470" spans="1:15">
      <c r="A470">
        <v>1</v>
      </c>
      <c r="B470">
        <v>3.1636000000000002</v>
      </c>
      <c r="C470">
        <v>18.100000000000001</v>
      </c>
      <c r="D470">
        <v>0.65500000000000003</v>
      </c>
      <c r="E470">
        <v>5.7590000000000003</v>
      </c>
      <c r="F470">
        <v>48.2</v>
      </c>
      <c r="G470">
        <v>3.0665</v>
      </c>
      <c r="H470">
        <v>24</v>
      </c>
      <c r="I470">
        <v>666</v>
      </c>
      <c r="J470">
        <v>20.2</v>
      </c>
      <c r="K470">
        <v>334.4</v>
      </c>
      <c r="L470">
        <v>14.13</v>
      </c>
      <c r="M470">
        <v>19.899999999999999</v>
      </c>
      <c r="N470" s="107">
        <f t="shared" si="7"/>
        <v>18.335269252133603</v>
      </c>
      <c r="O470" s="92"/>
    </row>
    <row r="471" spans="1:15">
      <c r="A471">
        <v>1</v>
      </c>
      <c r="B471">
        <v>3.7749799999999998</v>
      </c>
      <c r="C471">
        <v>18.100000000000001</v>
      </c>
      <c r="D471">
        <v>0.65500000000000003</v>
      </c>
      <c r="E471">
        <v>5.952</v>
      </c>
      <c r="F471">
        <v>84.7</v>
      </c>
      <c r="G471">
        <v>2.8715000000000002</v>
      </c>
      <c r="H471">
        <v>24</v>
      </c>
      <c r="I471">
        <v>666</v>
      </c>
      <c r="J471">
        <v>20.2</v>
      </c>
      <c r="K471">
        <v>22.01</v>
      </c>
      <c r="L471">
        <v>17.149999999999999</v>
      </c>
      <c r="M471">
        <v>19</v>
      </c>
      <c r="N471" s="107">
        <f t="shared" si="7"/>
        <v>14.5339333108184</v>
      </c>
      <c r="O471" s="92"/>
    </row>
    <row r="472" spans="1:15">
      <c r="A472">
        <v>1</v>
      </c>
      <c r="B472">
        <v>4.4222799999999998</v>
      </c>
      <c r="C472">
        <v>18.100000000000001</v>
      </c>
      <c r="D472">
        <v>0.58399999999999996</v>
      </c>
      <c r="E472">
        <v>6.0030000000000001</v>
      </c>
      <c r="F472">
        <v>94.5</v>
      </c>
      <c r="G472">
        <v>2.5402999999999998</v>
      </c>
      <c r="H472">
        <v>24</v>
      </c>
      <c r="I472">
        <v>666</v>
      </c>
      <c r="J472">
        <v>20.2</v>
      </c>
      <c r="K472">
        <v>331.29</v>
      </c>
      <c r="L472">
        <v>21.32</v>
      </c>
      <c r="M472">
        <v>19.100000000000001</v>
      </c>
      <c r="N472" s="107">
        <f t="shared" si="7"/>
        <v>17.173477968318803</v>
      </c>
      <c r="O472" s="92"/>
    </row>
    <row r="473" spans="1:15">
      <c r="A473">
        <v>1</v>
      </c>
      <c r="B473">
        <v>15.575699999999999</v>
      </c>
      <c r="C473">
        <v>18.100000000000001</v>
      </c>
      <c r="D473">
        <v>0.57999999999999996</v>
      </c>
      <c r="E473">
        <v>5.9260000000000002</v>
      </c>
      <c r="F473">
        <v>71</v>
      </c>
      <c r="G473">
        <v>2.9083999999999999</v>
      </c>
      <c r="H473">
        <v>24</v>
      </c>
      <c r="I473">
        <v>666</v>
      </c>
      <c r="J473">
        <v>20.2</v>
      </c>
      <c r="K473">
        <v>368.74</v>
      </c>
      <c r="L473">
        <v>18.13</v>
      </c>
      <c r="M473">
        <v>19.100000000000001</v>
      </c>
      <c r="N473" s="107">
        <f t="shared" si="7"/>
        <v>17.438505773275164</v>
      </c>
      <c r="O473" s="92"/>
    </row>
    <row r="474" spans="1:15">
      <c r="A474">
        <v>1</v>
      </c>
      <c r="B474">
        <v>13.075100000000001</v>
      </c>
      <c r="C474">
        <v>18.100000000000001</v>
      </c>
      <c r="D474">
        <v>0.57999999999999996</v>
      </c>
      <c r="E474">
        <v>5.7130000000000001</v>
      </c>
      <c r="F474">
        <v>56.7</v>
      </c>
      <c r="G474">
        <v>2.8237000000000001</v>
      </c>
      <c r="H474">
        <v>24</v>
      </c>
      <c r="I474">
        <v>666</v>
      </c>
      <c r="J474">
        <v>20.2</v>
      </c>
      <c r="K474">
        <v>396.9</v>
      </c>
      <c r="L474">
        <v>14.76</v>
      </c>
      <c r="M474">
        <v>20.100000000000001</v>
      </c>
      <c r="N474" s="107">
        <f t="shared" si="7"/>
        <v>19.016549256574287</v>
      </c>
      <c r="O474" s="92"/>
    </row>
    <row r="475" spans="1:15">
      <c r="A475">
        <v>1</v>
      </c>
      <c r="B475">
        <v>4.3487900000000002</v>
      </c>
      <c r="C475">
        <v>18.100000000000001</v>
      </c>
      <c r="D475">
        <v>0.57999999999999996</v>
      </c>
      <c r="E475">
        <v>6.1669999999999998</v>
      </c>
      <c r="F475">
        <v>84</v>
      </c>
      <c r="G475">
        <v>3.0333999999999999</v>
      </c>
      <c r="H475">
        <v>24</v>
      </c>
      <c r="I475">
        <v>666</v>
      </c>
      <c r="J475">
        <v>20.2</v>
      </c>
      <c r="K475">
        <v>396.9</v>
      </c>
      <c r="L475">
        <v>16.29</v>
      </c>
      <c r="M475">
        <v>19.899999999999999</v>
      </c>
      <c r="N475" s="107">
        <f t="shared" si="7"/>
        <v>20.639242977347994</v>
      </c>
      <c r="O475" s="92"/>
    </row>
    <row r="476" spans="1:15">
      <c r="A476">
        <v>1</v>
      </c>
      <c r="B476">
        <v>4.0384099999999998</v>
      </c>
      <c r="C476">
        <v>18.100000000000001</v>
      </c>
      <c r="D476">
        <v>0.53200000000000003</v>
      </c>
      <c r="E476">
        <v>6.2290000000000001</v>
      </c>
      <c r="F476">
        <v>90.7</v>
      </c>
      <c r="G476">
        <v>3.0992999999999999</v>
      </c>
      <c r="H476">
        <v>24</v>
      </c>
      <c r="I476">
        <v>666</v>
      </c>
      <c r="J476">
        <v>20.2</v>
      </c>
      <c r="K476">
        <v>395.33</v>
      </c>
      <c r="L476">
        <v>12.87</v>
      </c>
      <c r="M476">
        <v>19.600000000000001</v>
      </c>
      <c r="N476" s="107">
        <f t="shared" si="7"/>
        <v>23.46254132471654</v>
      </c>
      <c r="O476" s="92"/>
    </row>
    <row r="477" spans="1:15">
      <c r="A477">
        <v>1</v>
      </c>
      <c r="B477">
        <v>3.5686800000000001</v>
      </c>
      <c r="C477">
        <v>18.100000000000001</v>
      </c>
      <c r="D477">
        <v>0.57999999999999996</v>
      </c>
      <c r="E477">
        <v>6.4370000000000003</v>
      </c>
      <c r="F477">
        <v>75</v>
      </c>
      <c r="G477">
        <v>2.8965000000000001</v>
      </c>
      <c r="H477">
        <v>24</v>
      </c>
      <c r="I477">
        <v>666</v>
      </c>
      <c r="J477">
        <v>20.2</v>
      </c>
      <c r="K477">
        <v>393.37</v>
      </c>
      <c r="L477">
        <v>14.36</v>
      </c>
      <c r="M477">
        <v>23.2</v>
      </c>
      <c r="N477" s="107">
        <f t="shared" si="7"/>
        <v>22.988091661198766</v>
      </c>
      <c r="O477" s="92"/>
    </row>
    <row r="478" spans="1:15">
      <c r="A478">
        <v>1</v>
      </c>
      <c r="B478">
        <v>4.64689</v>
      </c>
      <c r="C478">
        <v>18.100000000000001</v>
      </c>
      <c r="D478">
        <v>0.61399999999999999</v>
      </c>
      <c r="E478">
        <v>6.98</v>
      </c>
      <c r="F478">
        <v>67.599999999999994</v>
      </c>
      <c r="G478">
        <v>2.5329000000000002</v>
      </c>
      <c r="H478">
        <v>24</v>
      </c>
      <c r="I478">
        <v>666</v>
      </c>
      <c r="J478">
        <v>20.2</v>
      </c>
      <c r="K478">
        <v>374.68</v>
      </c>
      <c r="L478">
        <v>11.66</v>
      </c>
      <c r="M478">
        <v>29.8</v>
      </c>
      <c r="N478" s="107">
        <f t="shared" si="7"/>
        <v>26.175939770607798</v>
      </c>
      <c r="O478" s="92"/>
    </row>
    <row r="479" spans="1:15">
      <c r="A479">
        <v>1</v>
      </c>
      <c r="B479">
        <v>8.05579</v>
      </c>
      <c r="C479">
        <v>18.100000000000001</v>
      </c>
      <c r="D479">
        <v>0.58399999999999996</v>
      </c>
      <c r="E479">
        <v>5.4269999999999996</v>
      </c>
      <c r="F479">
        <v>95.4</v>
      </c>
      <c r="G479">
        <v>2.4298000000000002</v>
      </c>
      <c r="H479">
        <v>24</v>
      </c>
      <c r="I479">
        <v>666</v>
      </c>
      <c r="J479">
        <v>20.2</v>
      </c>
      <c r="K479">
        <v>352.58</v>
      </c>
      <c r="L479">
        <v>18.14</v>
      </c>
      <c r="M479">
        <v>13.8</v>
      </c>
      <c r="N479" s="107">
        <f t="shared" si="7"/>
        <v>16.461776854267573</v>
      </c>
      <c r="O479" s="92"/>
    </row>
    <row r="480" spans="1:15">
      <c r="A480">
        <v>1</v>
      </c>
      <c r="B480">
        <v>6.3931199999999997</v>
      </c>
      <c r="C480">
        <v>18.100000000000001</v>
      </c>
      <c r="D480">
        <v>0.58399999999999996</v>
      </c>
      <c r="E480">
        <v>6.1619999999999999</v>
      </c>
      <c r="F480">
        <v>97.4</v>
      </c>
      <c r="G480">
        <v>2.206</v>
      </c>
      <c r="H480">
        <v>24</v>
      </c>
      <c r="I480">
        <v>666</v>
      </c>
      <c r="J480">
        <v>20.2</v>
      </c>
      <c r="K480">
        <v>302.76</v>
      </c>
      <c r="L480">
        <v>24.1</v>
      </c>
      <c r="M480">
        <v>13.3</v>
      </c>
      <c r="N480" s="107">
        <f t="shared" si="7"/>
        <v>16.273582718246267</v>
      </c>
      <c r="O480" s="92"/>
    </row>
    <row r="481" spans="1:15">
      <c r="A481">
        <v>1</v>
      </c>
      <c r="B481">
        <v>4.87141</v>
      </c>
      <c r="C481">
        <v>18.100000000000001</v>
      </c>
      <c r="D481">
        <v>0.61399999999999999</v>
      </c>
      <c r="E481">
        <v>6.484</v>
      </c>
      <c r="F481">
        <v>93.6</v>
      </c>
      <c r="G481">
        <v>2.3052999999999999</v>
      </c>
      <c r="H481">
        <v>24</v>
      </c>
      <c r="I481">
        <v>666</v>
      </c>
      <c r="J481">
        <v>20.2</v>
      </c>
      <c r="K481">
        <v>396.21</v>
      </c>
      <c r="L481">
        <v>18.68</v>
      </c>
      <c r="M481">
        <v>16.7</v>
      </c>
      <c r="N481" s="107">
        <f t="shared" si="7"/>
        <v>20.864592373043269</v>
      </c>
      <c r="O481" s="92"/>
    </row>
    <row r="482" spans="1:15">
      <c r="A482">
        <v>1</v>
      </c>
      <c r="B482">
        <v>15.023400000000001</v>
      </c>
      <c r="C482">
        <v>18.100000000000001</v>
      </c>
      <c r="D482">
        <v>0.61399999999999999</v>
      </c>
      <c r="E482">
        <v>5.3040000000000003</v>
      </c>
      <c r="F482">
        <v>97.3</v>
      </c>
      <c r="G482">
        <v>2.1006999999999998</v>
      </c>
      <c r="H482">
        <v>24</v>
      </c>
      <c r="I482">
        <v>666</v>
      </c>
      <c r="J482">
        <v>20.2</v>
      </c>
      <c r="K482">
        <v>349.48</v>
      </c>
      <c r="L482">
        <v>24.91</v>
      </c>
      <c r="M482">
        <v>12</v>
      </c>
      <c r="N482" s="107">
        <f t="shared" si="7"/>
        <v>11.513245406508796</v>
      </c>
      <c r="O482" s="92"/>
    </row>
    <row r="483" spans="1:15">
      <c r="A483">
        <v>1</v>
      </c>
      <c r="B483">
        <v>10.233000000000001</v>
      </c>
      <c r="C483">
        <v>18.100000000000001</v>
      </c>
      <c r="D483">
        <v>0.61399999999999999</v>
      </c>
      <c r="E483">
        <v>6.1849999999999996</v>
      </c>
      <c r="F483">
        <v>96.7</v>
      </c>
      <c r="G483">
        <v>2.1705000000000001</v>
      </c>
      <c r="H483">
        <v>24</v>
      </c>
      <c r="I483">
        <v>666</v>
      </c>
      <c r="J483">
        <v>20.2</v>
      </c>
      <c r="K483">
        <v>379.7</v>
      </c>
      <c r="L483">
        <v>18.03</v>
      </c>
      <c r="M483">
        <v>14.6</v>
      </c>
      <c r="N483" s="107">
        <f t="shared" si="7"/>
        <v>19.425496971093814</v>
      </c>
      <c r="O483" s="92"/>
    </row>
    <row r="484" spans="1:15">
      <c r="A484">
        <v>1</v>
      </c>
      <c r="B484">
        <v>14.3337</v>
      </c>
      <c r="C484">
        <v>18.100000000000001</v>
      </c>
      <c r="D484">
        <v>0.61399999999999999</v>
      </c>
      <c r="E484">
        <v>6.2290000000000001</v>
      </c>
      <c r="F484">
        <v>88</v>
      </c>
      <c r="G484">
        <v>1.9512</v>
      </c>
      <c r="H484">
        <v>24</v>
      </c>
      <c r="I484">
        <v>666</v>
      </c>
      <c r="J484">
        <v>20.2</v>
      </c>
      <c r="K484">
        <v>383.32</v>
      </c>
      <c r="L484">
        <v>13.11</v>
      </c>
      <c r="M484">
        <v>21.4</v>
      </c>
      <c r="N484" s="107">
        <f t="shared" si="7"/>
        <v>22.088193574180188</v>
      </c>
      <c r="O484" s="92"/>
    </row>
    <row r="485" spans="1:15">
      <c r="A485">
        <v>1</v>
      </c>
      <c r="B485">
        <v>5.8240100000000004</v>
      </c>
      <c r="C485">
        <v>18.100000000000001</v>
      </c>
      <c r="D485">
        <v>0.53200000000000003</v>
      </c>
      <c r="E485">
        <v>6.242</v>
      </c>
      <c r="F485">
        <v>64.7</v>
      </c>
      <c r="G485">
        <v>3.4241999999999999</v>
      </c>
      <c r="H485">
        <v>24</v>
      </c>
      <c r="I485">
        <v>666</v>
      </c>
      <c r="J485">
        <v>20.2</v>
      </c>
      <c r="K485">
        <v>396.9</v>
      </c>
      <c r="L485">
        <v>10.74</v>
      </c>
      <c r="M485">
        <v>23</v>
      </c>
      <c r="N485" s="107">
        <f t="shared" si="7"/>
        <v>24.140375216783845</v>
      </c>
      <c r="O485" s="92"/>
    </row>
    <row r="486" spans="1:15">
      <c r="A486">
        <v>1</v>
      </c>
      <c r="B486">
        <v>5.7081799999999996</v>
      </c>
      <c r="C486">
        <v>18.100000000000001</v>
      </c>
      <c r="D486">
        <v>0.53200000000000003</v>
      </c>
      <c r="E486">
        <v>6.75</v>
      </c>
      <c r="F486">
        <v>74.900000000000006</v>
      </c>
      <c r="G486">
        <v>3.3317000000000001</v>
      </c>
      <c r="H486">
        <v>24</v>
      </c>
      <c r="I486">
        <v>666</v>
      </c>
      <c r="J486">
        <v>20.2</v>
      </c>
      <c r="K486">
        <v>393.07</v>
      </c>
      <c r="L486">
        <v>7.74</v>
      </c>
      <c r="M486">
        <v>23.7</v>
      </c>
      <c r="N486" s="107">
        <f t="shared" si="7"/>
        <v>27.844559163601055</v>
      </c>
      <c r="O486" s="92"/>
    </row>
    <row r="487" spans="1:15">
      <c r="A487">
        <v>1</v>
      </c>
      <c r="B487">
        <v>5.73116</v>
      </c>
      <c r="C487">
        <v>18.100000000000001</v>
      </c>
      <c r="D487">
        <v>0.53200000000000003</v>
      </c>
      <c r="E487">
        <v>7.0609999999999999</v>
      </c>
      <c r="F487">
        <v>77</v>
      </c>
      <c r="G487">
        <v>3.4106000000000001</v>
      </c>
      <c r="H487">
        <v>24</v>
      </c>
      <c r="I487">
        <v>666</v>
      </c>
      <c r="J487">
        <v>20.2</v>
      </c>
      <c r="K487">
        <v>395.28</v>
      </c>
      <c r="L487">
        <v>7.01</v>
      </c>
      <c r="M487">
        <v>25</v>
      </c>
      <c r="N487" s="107">
        <f t="shared" si="7"/>
        <v>29.413352120813116</v>
      </c>
      <c r="O487" s="92"/>
    </row>
    <row r="488" spans="1:15">
      <c r="A488">
        <v>1</v>
      </c>
      <c r="B488">
        <v>2.8183799999999999</v>
      </c>
      <c r="C488">
        <v>18.100000000000001</v>
      </c>
      <c r="D488">
        <v>0.53200000000000003</v>
      </c>
      <c r="E488">
        <v>5.7619999999999996</v>
      </c>
      <c r="F488">
        <v>40.299999999999997</v>
      </c>
      <c r="G488">
        <v>4.0983000000000001</v>
      </c>
      <c r="H488">
        <v>24</v>
      </c>
      <c r="I488">
        <v>666</v>
      </c>
      <c r="J488">
        <v>20.2</v>
      </c>
      <c r="K488">
        <v>392.92</v>
      </c>
      <c r="L488">
        <v>10.42</v>
      </c>
      <c r="M488">
        <v>21.8</v>
      </c>
      <c r="N488" s="107">
        <f t="shared" si="7"/>
        <v>21.873065278957991</v>
      </c>
      <c r="O488" s="92"/>
    </row>
    <row r="489" spans="1:15">
      <c r="A489">
        <v>1</v>
      </c>
      <c r="B489">
        <v>2.3785699999999999</v>
      </c>
      <c r="C489">
        <v>18.100000000000001</v>
      </c>
      <c r="D489">
        <v>0.58299999999999996</v>
      </c>
      <c r="E489">
        <v>5.8710000000000004</v>
      </c>
      <c r="F489">
        <v>41.9</v>
      </c>
      <c r="G489">
        <v>3.7240000000000002</v>
      </c>
      <c r="H489">
        <v>24</v>
      </c>
      <c r="I489">
        <v>666</v>
      </c>
      <c r="J489">
        <v>20.2</v>
      </c>
      <c r="K489">
        <v>370.73</v>
      </c>
      <c r="L489">
        <v>13.34</v>
      </c>
      <c r="M489">
        <v>20.6</v>
      </c>
      <c r="N489" s="107">
        <f t="shared" si="7"/>
        <v>20.150238408324</v>
      </c>
      <c r="O489" s="92"/>
    </row>
    <row r="490" spans="1:15">
      <c r="A490">
        <v>1</v>
      </c>
      <c r="B490">
        <v>3.67367</v>
      </c>
      <c r="C490">
        <v>18.100000000000001</v>
      </c>
      <c r="D490">
        <v>0.58299999999999996</v>
      </c>
      <c r="E490">
        <v>6.3120000000000003</v>
      </c>
      <c r="F490">
        <v>51.9</v>
      </c>
      <c r="G490">
        <v>3.9916999999999998</v>
      </c>
      <c r="H490">
        <v>24</v>
      </c>
      <c r="I490">
        <v>666</v>
      </c>
      <c r="J490">
        <v>20.2</v>
      </c>
      <c r="K490">
        <v>388.62</v>
      </c>
      <c r="L490">
        <v>10.58</v>
      </c>
      <c r="M490">
        <v>21.2</v>
      </c>
      <c r="N490" s="107">
        <f t="shared" si="7"/>
        <v>23.088168194615864</v>
      </c>
      <c r="O490" s="92"/>
    </row>
    <row r="491" spans="1:15">
      <c r="A491">
        <v>1</v>
      </c>
      <c r="B491">
        <v>5.6917499999999999</v>
      </c>
      <c r="C491">
        <v>18.100000000000001</v>
      </c>
      <c r="D491">
        <v>0.58299999999999996</v>
      </c>
      <c r="E491">
        <v>6.1139999999999999</v>
      </c>
      <c r="F491">
        <v>79.8</v>
      </c>
      <c r="G491">
        <v>3.5459000000000001</v>
      </c>
      <c r="H491">
        <v>24</v>
      </c>
      <c r="I491">
        <v>666</v>
      </c>
      <c r="J491">
        <v>20.2</v>
      </c>
      <c r="K491">
        <v>392.68</v>
      </c>
      <c r="L491">
        <v>14.98</v>
      </c>
      <c r="M491">
        <v>19.100000000000001</v>
      </c>
      <c r="N491" s="107">
        <f t="shared" si="7"/>
        <v>20.268109385464285</v>
      </c>
      <c r="O491" s="92"/>
    </row>
    <row r="492" spans="1:15">
      <c r="A492">
        <v>1</v>
      </c>
      <c r="B492">
        <v>4.8356700000000004</v>
      </c>
      <c r="C492">
        <v>18.100000000000001</v>
      </c>
      <c r="D492">
        <v>0.58299999999999996</v>
      </c>
      <c r="E492">
        <v>5.9050000000000002</v>
      </c>
      <c r="F492">
        <v>53.2</v>
      </c>
      <c r="G492">
        <v>3.1522999999999999</v>
      </c>
      <c r="H492">
        <v>24</v>
      </c>
      <c r="I492">
        <v>666</v>
      </c>
      <c r="J492">
        <v>20.2</v>
      </c>
      <c r="K492">
        <v>388.22</v>
      </c>
      <c r="L492">
        <v>11.45</v>
      </c>
      <c r="M492">
        <v>20.6</v>
      </c>
      <c r="N492" s="107">
        <f t="shared" si="7"/>
        <v>21.861374831480699</v>
      </c>
      <c r="O492" s="92"/>
    </row>
    <row r="493" spans="1:15">
      <c r="A493">
        <v>1</v>
      </c>
      <c r="B493">
        <v>0.15085999999999999</v>
      </c>
      <c r="C493">
        <v>27.74</v>
      </c>
      <c r="D493">
        <v>0.60899999999999999</v>
      </c>
      <c r="E493">
        <v>5.4539999999999997</v>
      </c>
      <c r="F493">
        <v>92.7</v>
      </c>
      <c r="G493">
        <v>1.8209</v>
      </c>
      <c r="H493">
        <v>4</v>
      </c>
      <c r="I493">
        <v>711</v>
      </c>
      <c r="J493">
        <v>20.100000000000001</v>
      </c>
      <c r="K493">
        <v>395.09</v>
      </c>
      <c r="L493">
        <v>18.059999999999999</v>
      </c>
      <c r="M493">
        <v>15.2</v>
      </c>
      <c r="N493" s="107">
        <f t="shared" si="7"/>
        <v>11.854397356276461</v>
      </c>
      <c r="O493" s="92"/>
    </row>
    <row r="494" spans="1:15">
      <c r="A494">
        <v>1</v>
      </c>
      <c r="B494">
        <v>0.18337000000000001</v>
      </c>
      <c r="C494">
        <v>27.74</v>
      </c>
      <c r="D494">
        <v>0.60899999999999999</v>
      </c>
      <c r="E494">
        <v>5.4139999999999997</v>
      </c>
      <c r="F494">
        <v>98.3</v>
      </c>
      <c r="G494">
        <v>1.7554000000000001</v>
      </c>
      <c r="H494">
        <v>4</v>
      </c>
      <c r="I494">
        <v>711</v>
      </c>
      <c r="J494">
        <v>20.100000000000001</v>
      </c>
      <c r="K494">
        <v>344.05</v>
      </c>
      <c r="L494">
        <v>23.97</v>
      </c>
      <c r="M494">
        <v>7</v>
      </c>
      <c r="N494" s="107">
        <f t="shared" si="7"/>
        <v>8.1464065972708273</v>
      </c>
      <c r="O494" s="92"/>
    </row>
    <row r="495" spans="1:15">
      <c r="A495">
        <v>1</v>
      </c>
      <c r="B495">
        <v>0.20746000000000001</v>
      </c>
      <c r="C495">
        <v>27.74</v>
      </c>
      <c r="D495">
        <v>0.60899999999999999</v>
      </c>
      <c r="E495">
        <v>5.093</v>
      </c>
      <c r="F495">
        <v>98</v>
      </c>
      <c r="G495">
        <v>1.8226</v>
      </c>
      <c r="H495">
        <v>4</v>
      </c>
      <c r="I495">
        <v>711</v>
      </c>
      <c r="J495">
        <v>20.100000000000001</v>
      </c>
      <c r="K495">
        <v>318.43</v>
      </c>
      <c r="L495">
        <v>29.68</v>
      </c>
      <c r="M495">
        <v>8.1</v>
      </c>
      <c r="N495" s="107">
        <f t="shared" si="7"/>
        <v>3.5049010876303512</v>
      </c>
      <c r="O495" s="92"/>
    </row>
    <row r="496" spans="1:15">
      <c r="A496">
        <v>1</v>
      </c>
      <c r="B496">
        <v>0.10574</v>
      </c>
      <c r="C496">
        <v>27.74</v>
      </c>
      <c r="D496">
        <v>0.60899999999999999</v>
      </c>
      <c r="E496">
        <v>5.9829999999999997</v>
      </c>
      <c r="F496">
        <v>98.8</v>
      </c>
      <c r="G496">
        <v>1.8681000000000001</v>
      </c>
      <c r="H496">
        <v>4</v>
      </c>
      <c r="I496">
        <v>711</v>
      </c>
      <c r="J496">
        <v>20.100000000000001</v>
      </c>
      <c r="K496">
        <v>390.11</v>
      </c>
      <c r="L496">
        <v>18.07</v>
      </c>
      <c r="M496">
        <v>13.6</v>
      </c>
      <c r="N496" s="107">
        <f t="shared" si="7"/>
        <v>13.886822218726653</v>
      </c>
      <c r="O496" s="92"/>
    </row>
    <row r="497" spans="1:15">
      <c r="A497">
        <v>1</v>
      </c>
      <c r="B497">
        <v>0.11132</v>
      </c>
      <c r="C497">
        <v>27.74</v>
      </c>
      <c r="D497">
        <v>0.60899999999999999</v>
      </c>
      <c r="E497">
        <v>5.9829999999999997</v>
      </c>
      <c r="F497">
        <v>83.5</v>
      </c>
      <c r="G497">
        <v>2.1099000000000001</v>
      </c>
      <c r="H497">
        <v>4</v>
      </c>
      <c r="I497">
        <v>711</v>
      </c>
      <c r="J497">
        <v>20.100000000000001</v>
      </c>
      <c r="K497">
        <v>396.9</v>
      </c>
      <c r="L497">
        <v>13.35</v>
      </c>
      <c r="M497">
        <v>20.100000000000001</v>
      </c>
      <c r="N497" s="107">
        <f t="shared" si="7"/>
        <v>16.179364757835621</v>
      </c>
      <c r="O497" s="92"/>
    </row>
    <row r="498" spans="1:15">
      <c r="A498">
        <v>1</v>
      </c>
      <c r="B498">
        <v>0.17330999999999999</v>
      </c>
      <c r="C498">
        <v>9.69</v>
      </c>
      <c r="D498">
        <v>0.58499999999999996</v>
      </c>
      <c r="E498">
        <v>5.7069999999999999</v>
      </c>
      <c r="F498">
        <v>54</v>
      </c>
      <c r="G498">
        <v>2.3816999999999999</v>
      </c>
      <c r="H498">
        <v>6</v>
      </c>
      <c r="I498">
        <v>391</v>
      </c>
      <c r="J498">
        <v>19.2</v>
      </c>
      <c r="K498">
        <v>396.9</v>
      </c>
      <c r="L498">
        <v>12.01</v>
      </c>
      <c r="M498">
        <v>21.8</v>
      </c>
      <c r="N498" s="107">
        <f t="shared" si="7"/>
        <v>20.716016463492657</v>
      </c>
      <c r="O498" s="92"/>
    </row>
    <row r="499" spans="1:15">
      <c r="A499">
        <v>1</v>
      </c>
      <c r="B499">
        <v>0.27956999999999999</v>
      </c>
      <c r="C499">
        <v>9.69</v>
      </c>
      <c r="D499">
        <v>0.58499999999999996</v>
      </c>
      <c r="E499">
        <v>5.9260000000000002</v>
      </c>
      <c r="F499">
        <v>42.6</v>
      </c>
      <c r="G499">
        <v>2.3816999999999999</v>
      </c>
      <c r="H499">
        <v>6</v>
      </c>
      <c r="I499">
        <v>391</v>
      </c>
      <c r="J499">
        <v>19.2</v>
      </c>
      <c r="K499">
        <v>396.9</v>
      </c>
      <c r="L499">
        <v>13.59</v>
      </c>
      <c r="M499">
        <v>24.5</v>
      </c>
      <c r="N499" s="107">
        <f t="shared" si="7"/>
        <v>20.797877124890476</v>
      </c>
      <c r="O499" s="92"/>
    </row>
    <row r="500" spans="1:15">
      <c r="A500">
        <v>1</v>
      </c>
      <c r="B500">
        <v>0.17899000000000001</v>
      </c>
      <c r="C500">
        <v>9.69</v>
      </c>
      <c r="D500">
        <v>0.58499999999999996</v>
      </c>
      <c r="E500">
        <v>5.67</v>
      </c>
      <c r="F500">
        <v>28.8</v>
      </c>
      <c r="G500">
        <v>2.7986</v>
      </c>
      <c r="H500">
        <v>6</v>
      </c>
      <c r="I500">
        <v>391</v>
      </c>
      <c r="J500">
        <v>19.2</v>
      </c>
      <c r="K500">
        <v>393.29</v>
      </c>
      <c r="L500">
        <v>17.600000000000001</v>
      </c>
      <c r="M500">
        <v>23.1</v>
      </c>
      <c r="N500" s="107">
        <f t="shared" si="7"/>
        <v>17.15612623369671</v>
      </c>
      <c r="O500" s="92"/>
    </row>
    <row r="501" spans="1:15">
      <c r="A501">
        <v>1</v>
      </c>
      <c r="B501">
        <v>0.28960000000000002</v>
      </c>
      <c r="C501">
        <v>9.69</v>
      </c>
      <c r="D501">
        <v>0.58499999999999996</v>
      </c>
      <c r="E501">
        <v>5.39</v>
      </c>
      <c r="F501">
        <v>72.900000000000006</v>
      </c>
      <c r="G501">
        <v>2.7986</v>
      </c>
      <c r="H501">
        <v>6</v>
      </c>
      <c r="I501">
        <v>391</v>
      </c>
      <c r="J501">
        <v>19.2</v>
      </c>
      <c r="K501">
        <v>396.9</v>
      </c>
      <c r="L501">
        <v>21.14</v>
      </c>
      <c r="M501">
        <v>19.7</v>
      </c>
      <c r="N501" s="107">
        <f t="shared" si="7"/>
        <v>14.06395563764157</v>
      </c>
      <c r="O501" s="92"/>
    </row>
    <row r="502" spans="1:15">
      <c r="A502">
        <v>1</v>
      </c>
      <c r="B502">
        <v>0.26838000000000001</v>
      </c>
      <c r="C502">
        <v>9.69</v>
      </c>
      <c r="D502">
        <v>0.58499999999999996</v>
      </c>
      <c r="E502">
        <v>5.7939999999999996</v>
      </c>
      <c r="F502">
        <v>70.599999999999994</v>
      </c>
      <c r="G502">
        <v>2.8927</v>
      </c>
      <c r="H502">
        <v>6</v>
      </c>
      <c r="I502">
        <v>391</v>
      </c>
      <c r="J502">
        <v>19.2</v>
      </c>
      <c r="K502">
        <v>396.9</v>
      </c>
      <c r="L502">
        <v>14.1</v>
      </c>
      <c r="M502">
        <v>18.3</v>
      </c>
      <c r="N502" s="107">
        <f t="shared" si="7"/>
        <v>19.300916497217578</v>
      </c>
      <c r="O502" s="92"/>
    </row>
    <row r="503" spans="1:15">
      <c r="A503">
        <v>1</v>
      </c>
      <c r="B503">
        <v>0.23912</v>
      </c>
      <c r="C503">
        <v>9.69</v>
      </c>
      <c r="D503">
        <v>0.58499999999999996</v>
      </c>
      <c r="E503">
        <v>6.0190000000000001</v>
      </c>
      <c r="F503">
        <v>65.3</v>
      </c>
      <c r="G503">
        <v>2.4091</v>
      </c>
      <c r="H503">
        <v>6</v>
      </c>
      <c r="I503">
        <v>391</v>
      </c>
      <c r="J503">
        <v>19.2</v>
      </c>
      <c r="K503">
        <v>396.9</v>
      </c>
      <c r="L503">
        <v>12.92</v>
      </c>
      <c r="M503">
        <v>21.2</v>
      </c>
      <c r="N503" s="107">
        <f t="shared" si="7"/>
        <v>21.439534538579419</v>
      </c>
      <c r="O503" s="92"/>
    </row>
    <row r="504" spans="1:15">
      <c r="A504">
        <v>1</v>
      </c>
      <c r="B504">
        <v>0.17782999999999999</v>
      </c>
      <c r="C504">
        <v>9.69</v>
      </c>
      <c r="D504">
        <v>0.58499999999999996</v>
      </c>
      <c r="E504">
        <v>5.569</v>
      </c>
      <c r="F504">
        <v>73.5</v>
      </c>
      <c r="G504">
        <v>2.3999000000000001</v>
      </c>
      <c r="H504">
        <v>6</v>
      </c>
      <c r="I504">
        <v>391</v>
      </c>
      <c r="J504">
        <v>19.2</v>
      </c>
      <c r="K504">
        <v>395.77</v>
      </c>
      <c r="L504">
        <v>15.1</v>
      </c>
      <c r="M504">
        <v>17.5</v>
      </c>
      <c r="N504" s="107">
        <f t="shared" si="7"/>
        <v>18.446039864702382</v>
      </c>
      <c r="O504" s="92"/>
    </row>
    <row r="505" spans="1:15">
      <c r="A505">
        <v>1</v>
      </c>
      <c r="B505">
        <v>0.22438</v>
      </c>
      <c r="C505">
        <v>9.69</v>
      </c>
      <c r="D505">
        <v>0.58499999999999996</v>
      </c>
      <c r="E505">
        <v>6.0270000000000001</v>
      </c>
      <c r="F505">
        <v>79.7</v>
      </c>
      <c r="G505">
        <v>2.4982000000000002</v>
      </c>
      <c r="H505">
        <v>6</v>
      </c>
      <c r="I505">
        <v>391</v>
      </c>
      <c r="J505">
        <v>19.2</v>
      </c>
      <c r="K505">
        <v>396.9</v>
      </c>
      <c r="L505">
        <v>14.33</v>
      </c>
      <c r="M505">
        <v>16.8</v>
      </c>
      <c r="N505" s="107">
        <f t="shared" si="7"/>
        <v>20.587361126674306</v>
      </c>
      <c r="O505" s="92"/>
    </row>
    <row r="506" spans="1:15">
      <c r="A506">
        <v>1</v>
      </c>
      <c r="B506">
        <v>6.2630000000000005E-2</v>
      </c>
      <c r="C506">
        <v>11.93</v>
      </c>
      <c r="D506">
        <v>0.57299999999999995</v>
      </c>
      <c r="E506">
        <v>6.593</v>
      </c>
      <c r="F506">
        <v>69.099999999999994</v>
      </c>
      <c r="G506">
        <v>2.4786000000000001</v>
      </c>
      <c r="H506">
        <v>1</v>
      </c>
      <c r="I506">
        <v>273</v>
      </c>
      <c r="J506">
        <v>21</v>
      </c>
      <c r="K506">
        <v>391.99</v>
      </c>
      <c r="L506">
        <v>9.67</v>
      </c>
      <c r="M506">
        <v>22.4</v>
      </c>
      <c r="N506" s="107">
        <f t="shared" si="7"/>
        <v>23.342437508659998</v>
      </c>
      <c r="O506" s="92"/>
    </row>
    <row r="507" spans="1:15">
      <c r="A507">
        <v>1</v>
      </c>
      <c r="B507">
        <v>4.5269999999999998E-2</v>
      </c>
      <c r="C507">
        <v>11.93</v>
      </c>
      <c r="D507">
        <v>0.57299999999999995</v>
      </c>
      <c r="E507">
        <v>6.12</v>
      </c>
      <c r="F507">
        <v>76.7</v>
      </c>
      <c r="G507">
        <v>2.2875000000000001</v>
      </c>
      <c r="H507">
        <v>1</v>
      </c>
      <c r="I507">
        <v>273</v>
      </c>
      <c r="J507">
        <v>21</v>
      </c>
      <c r="K507">
        <v>396.9</v>
      </c>
      <c r="L507">
        <v>9.08</v>
      </c>
      <c r="M507">
        <v>20.6</v>
      </c>
      <c r="N507" s="107">
        <f t="shared" si="7"/>
        <v>21.98637495568904</v>
      </c>
      <c r="O507" s="92"/>
    </row>
    <row r="508" spans="1:15">
      <c r="A508">
        <v>1</v>
      </c>
      <c r="B508">
        <v>6.0760000000000002E-2</v>
      </c>
      <c r="C508">
        <v>11.93</v>
      </c>
      <c r="D508">
        <v>0.57299999999999995</v>
      </c>
      <c r="E508">
        <v>6.976</v>
      </c>
      <c r="F508">
        <v>91</v>
      </c>
      <c r="G508">
        <v>2.1675</v>
      </c>
      <c r="H508">
        <v>1</v>
      </c>
      <c r="I508">
        <v>273</v>
      </c>
      <c r="J508">
        <v>21</v>
      </c>
      <c r="K508">
        <v>396.9</v>
      </c>
      <c r="L508">
        <v>5.64</v>
      </c>
      <c r="M508">
        <v>23.9</v>
      </c>
      <c r="N508" s="107">
        <f t="shared" si="7"/>
        <v>27.38606287540361</v>
      </c>
      <c r="O508" s="92"/>
    </row>
    <row r="509" spans="1:15">
      <c r="A509">
        <v>1</v>
      </c>
      <c r="B509">
        <v>0.10959000000000001</v>
      </c>
      <c r="C509">
        <v>11.93</v>
      </c>
      <c r="D509">
        <v>0.57299999999999995</v>
      </c>
      <c r="E509">
        <v>6.7939999999999996</v>
      </c>
      <c r="F509">
        <v>89.3</v>
      </c>
      <c r="G509">
        <v>2.3889</v>
      </c>
      <c r="H509">
        <v>1</v>
      </c>
      <c r="I509">
        <v>273</v>
      </c>
      <c r="J509">
        <v>21</v>
      </c>
      <c r="K509">
        <v>393.45</v>
      </c>
      <c r="L509">
        <v>6.48</v>
      </c>
      <c r="M509">
        <v>22</v>
      </c>
      <c r="N509" s="107">
        <f t="shared" si="7"/>
        <v>25.900986760564212</v>
      </c>
      <c r="O509" s="92"/>
    </row>
    <row r="510" spans="1:15">
      <c r="A510">
        <v>1</v>
      </c>
      <c r="B510">
        <v>4.7410000000000001E-2</v>
      </c>
      <c r="C510">
        <v>11.93</v>
      </c>
      <c r="D510">
        <v>0.57299999999999995</v>
      </c>
      <c r="E510">
        <v>6.03</v>
      </c>
      <c r="F510">
        <v>80.8</v>
      </c>
      <c r="G510">
        <v>2.5049999999999999</v>
      </c>
      <c r="H510">
        <v>1</v>
      </c>
      <c r="I510">
        <v>273</v>
      </c>
      <c r="J510">
        <v>21</v>
      </c>
      <c r="K510">
        <v>396.9</v>
      </c>
      <c r="L510">
        <v>7.88</v>
      </c>
      <c r="M510">
        <v>11.9</v>
      </c>
      <c r="N510" s="107">
        <f t="shared" si="7"/>
        <v>21.975479766000312</v>
      </c>
      <c r="O510" s="92"/>
    </row>
  </sheetData>
  <mergeCells count="5">
    <mergeCell ref="A3:L3"/>
    <mergeCell ref="P4:TA4"/>
    <mergeCell ref="P18:AA18"/>
    <mergeCell ref="P32:AA32"/>
    <mergeCell ref="R46:S46"/>
  </mergeCells>
  <phoneticPr fontId="1" type="noConversion"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C513"/>
  <sheetViews>
    <sheetView topLeftCell="AA46" zoomScale="70" zoomScaleNormal="70" workbookViewId="0">
      <selection activeCell="AD45" sqref="AD45"/>
    </sheetView>
  </sheetViews>
  <sheetFormatPr defaultRowHeight="17.399999999999999"/>
  <cols>
    <col min="1" max="1" width="9.09765625" bestFit="1" customWidth="1"/>
    <col min="2" max="2" width="8.69921875" bestFit="1" customWidth="1"/>
    <col min="3" max="4" width="15.19921875" bestFit="1" customWidth="1"/>
    <col min="5" max="5" width="7.19921875" bestFit="1" customWidth="1"/>
    <col min="6" max="6" width="13.09765625" bestFit="1" customWidth="1"/>
    <col min="7" max="8" width="15.19921875" bestFit="1" customWidth="1"/>
    <col min="9" max="9" width="9.09765625" bestFit="1" customWidth="1"/>
    <col min="10" max="10" width="13.09765625" bestFit="1" customWidth="1"/>
    <col min="11" max="11" width="9.09765625" bestFit="1" customWidth="1"/>
    <col min="12" max="12" width="13.09765625" bestFit="1" customWidth="1"/>
    <col min="13" max="13" width="9.09765625" bestFit="1" customWidth="1"/>
    <col min="15" max="15" width="7.19921875" bestFit="1" customWidth="1"/>
    <col min="16" max="17" width="15.19921875" bestFit="1" customWidth="1"/>
    <col min="18" max="18" width="7.19921875" bestFit="1" customWidth="1"/>
    <col min="19" max="19" width="13.09765625" bestFit="1" customWidth="1"/>
    <col min="20" max="21" width="15.19921875" bestFit="1" customWidth="1"/>
    <col min="22" max="22" width="9.09765625" bestFit="1" customWidth="1"/>
    <col min="23" max="23" width="13.09765625" bestFit="1" customWidth="1"/>
    <col min="24" max="24" width="9.09765625" bestFit="1" customWidth="1"/>
    <col min="25" max="25" width="13.09765625" bestFit="1" customWidth="1"/>
    <col min="26" max="26" width="9.09765625" bestFit="1" customWidth="1"/>
    <col min="28" max="28" width="15.19921875" bestFit="1" customWidth="1"/>
    <col min="29" max="29" width="7.296875" style="59" bestFit="1" customWidth="1"/>
    <col min="30" max="31" width="15.19921875" style="59" bestFit="1" customWidth="1"/>
    <col min="32" max="32" width="7.296875" style="59" bestFit="1" customWidth="1"/>
    <col min="33" max="33" width="13.19921875" style="59" bestFit="1" customWidth="1"/>
    <col min="34" max="35" width="15.19921875" style="59" bestFit="1" customWidth="1"/>
    <col min="36" max="36" width="9.19921875" style="59" bestFit="1" customWidth="1"/>
    <col min="37" max="37" width="13.19921875" style="59" bestFit="1" customWidth="1"/>
    <col min="38" max="38" width="9.19921875" style="59" bestFit="1" customWidth="1"/>
    <col min="39" max="39" width="13.19921875" style="59" bestFit="1" customWidth="1"/>
    <col min="40" max="40" width="9.19921875" style="59" bestFit="1" customWidth="1"/>
    <col min="43" max="43" width="7.19921875" bestFit="1" customWidth="1"/>
    <col min="44" max="45" width="15.19921875" bestFit="1" customWidth="1"/>
    <col min="46" max="46" width="7.19921875" bestFit="1" customWidth="1"/>
    <col min="47" max="47" width="13.09765625" bestFit="1" customWidth="1"/>
    <col min="48" max="49" width="15.19921875" bestFit="1" customWidth="1"/>
    <col min="50" max="50" width="9.09765625" bestFit="1" customWidth="1"/>
    <col min="51" max="51" width="13.09765625" bestFit="1" customWidth="1"/>
    <col min="52" max="52" width="9.09765625" bestFit="1" customWidth="1"/>
    <col min="53" max="53" width="13.09765625" bestFit="1" customWidth="1"/>
    <col min="54" max="54" width="9.09765625" bestFit="1" customWidth="1"/>
  </cols>
  <sheetData>
    <row r="1" spans="1:54">
      <c r="A1" t="s">
        <v>609</v>
      </c>
      <c r="B1" s="101">
        <f t="shared" ref="B1:M1" si="0">AVERAGE(B6:B511)</f>
        <v>3.6135235573122535</v>
      </c>
      <c r="C1" s="101">
        <f t="shared" si="0"/>
        <v>11.136778656126504</v>
      </c>
      <c r="D1" s="101">
        <f t="shared" si="0"/>
        <v>0.55469505928853724</v>
      </c>
      <c r="E1" s="101">
        <f t="shared" si="0"/>
        <v>6.2846343873517867</v>
      </c>
      <c r="F1" s="101">
        <f t="shared" si="0"/>
        <v>68.574901185770784</v>
      </c>
      <c r="G1" s="101">
        <f t="shared" si="0"/>
        <v>3.795042687747034</v>
      </c>
      <c r="H1" s="101">
        <f t="shared" si="0"/>
        <v>9.5494071146245059</v>
      </c>
      <c r="I1" s="101">
        <f t="shared" si="0"/>
        <v>408.23715415019763</v>
      </c>
      <c r="J1" s="101">
        <f t="shared" si="0"/>
        <v>18.455533596837967</v>
      </c>
      <c r="K1" s="101">
        <f t="shared" si="0"/>
        <v>356.67403162055257</v>
      </c>
      <c r="L1" s="101">
        <f t="shared" si="0"/>
        <v>12.653063241106723</v>
      </c>
      <c r="M1" s="101">
        <f t="shared" si="0"/>
        <v>22.532806324110698</v>
      </c>
      <c r="O1" s="101">
        <f t="shared" ref="O1:Z1" si="1">AVERAGE(O6:O511)</f>
        <v>3.2911749741852468E-17</v>
      </c>
      <c r="P1" s="101">
        <f t="shared" si="1"/>
        <v>-2.2465560373788494E-15</v>
      </c>
      <c r="Q1" s="101">
        <f t="shared" si="1"/>
        <v>2.6119861653458847E-15</v>
      </c>
      <c r="R1" s="101">
        <f t="shared" si="1"/>
        <v>-1.1594699728222151E-14</v>
      </c>
      <c r="S1" s="101">
        <f t="shared" si="1"/>
        <v>-1.0987039122155081E-15</v>
      </c>
      <c r="T1" s="101">
        <f t="shared" si="1"/>
        <v>1.0268465919457969E-15</v>
      </c>
      <c r="U1" s="101">
        <f t="shared" si="1"/>
        <v>1.5143793114551049E-15</v>
      </c>
      <c r="V1" s="101">
        <f t="shared" si="1"/>
        <v>-1.0465936417909084E-15</v>
      </c>
      <c r="W1" s="101">
        <f t="shared" si="1"/>
        <v>-1.0774868042152606E-14</v>
      </c>
      <c r="X1" s="101">
        <f t="shared" si="1"/>
        <v>8.2596424210477672E-15</v>
      </c>
      <c r="Y1" s="101">
        <f t="shared" si="1"/>
        <v>-5.6366856724545994E-16</v>
      </c>
      <c r="Z1" s="101">
        <f t="shared" si="1"/>
        <v>-2.8053975479955043E-15</v>
      </c>
    </row>
    <row r="2" spans="1:54">
      <c r="A2" t="s">
        <v>610</v>
      </c>
      <c r="B2" s="101">
        <f t="shared" ref="B2:M2" si="2">_xlfn.STDEV.P(B6:B511)</f>
        <v>8.5930413512957706</v>
      </c>
      <c r="C2" s="101">
        <f t="shared" si="2"/>
        <v>6.8535705833908649</v>
      </c>
      <c r="D2" s="101">
        <f t="shared" si="2"/>
        <v>0.1157631154065592</v>
      </c>
      <c r="E2" s="101">
        <f t="shared" si="2"/>
        <v>0.70192251433452602</v>
      </c>
      <c r="F2" s="101">
        <f t="shared" si="2"/>
        <v>28.121032570236828</v>
      </c>
      <c r="G2" s="101">
        <f t="shared" si="2"/>
        <v>2.1036283563444598</v>
      </c>
      <c r="H2" s="101">
        <f t="shared" si="2"/>
        <v>8.6986511177906358</v>
      </c>
      <c r="I2" s="101">
        <f t="shared" si="2"/>
        <v>168.37049503938115</v>
      </c>
      <c r="J2" s="101">
        <f t="shared" si="2"/>
        <v>2.1628051914820814</v>
      </c>
      <c r="K2" s="101">
        <f t="shared" si="2"/>
        <v>91.204607452175551</v>
      </c>
      <c r="L2" s="101">
        <f t="shared" si="2"/>
        <v>7.1340016366504653</v>
      </c>
      <c r="M2" s="101">
        <f t="shared" si="2"/>
        <v>9.1880115452781297</v>
      </c>
      <c r="O2" s="101">
        <f t="shared" ref="O2:Z2" si="3">_xlfn.STDEV.P(O6:O511)</f>
        <v>0.99999999999999956</v>
      </c>
      <c r="P2" s="101">
        <f t="shared" si="3"/>
        <v>1</v>
      </c>
      <c r="Q2" s="101">
        <f t="shared" si="3"/>
        <v>1.0000000000000187</v>
      </c>
      <c r="R2" s="101">
        <f t="shared" si="3"/>
        <v>1.0000000000000606</v>
      </c>
      <c r="S2" s="101">
        <f t="shared" si="3"/>
        <v>1.0000000000000011</v>
      </c>
      <c r="T2" s="101">
        <f t="shared" si="3"/>
        <v>0.99999999999999956</v>
      </c>
      <c r="U2" s="101">
        <f t="shared" si="3"/>
        <v>1.0000000000000004</v>
      </c>
      <c r="V2" s="101">
        <f t="shared" si="3"/>
        <v>1.0000000000000011</v>
      </c>
      <c r="W2" s="101">
        <f t="shared" si="3"/>
        <v>1.0000000000000258</v>
      </c>
      <c r="X2" s="101">
        <f t="shared" si="3"/>
        <v>0.9999999999999698</v>
      </c>
      <c r="Y2" s="101">
        <f t="shared" si="3"/>
        <v>1.0000000000000027</v>
      </c>
      <c r="Z2" s="101">
        <f t="shared" si="3"/>
        <v>1.0000000000000075</v>
      </c>
    </row>
    <row r="3" spans="1:54">
      <c r="AQ3" t="s">
        <v>584</v>
      </c>
      <c r="AR3" t="s">
        <v>595</v>
      </c>
      <c r="AS3" t="s">
        <v>598</v>
      </c>
      <c r="AT3" t="s">
        <v>586</v>
      </c>
      <c r="AU3" t="s">
        <v>600</v>
      </c>
      <c r="AV3" t="s">
        <v>602</v>
      </c>
      <c r="AW3" t="s">
        <v>588</v>
      </c>
      <c r="AX3" t="s">
        <v>604</v>
      </c>
      <c r="AY3" t="s">
        <v>590</v>
      </c>
      <c r="AZ3" t="s">
        <v>606</v>
      </c>
      <c r="BA3" t="s">
        <v>608</v>
      </c>
      <c r="BB3" t="s">
        <v>592</v>
      </c>
    </row>
    <row r="4" spans="1:54">
      <c r="B4" s="112" t="s">
        <v>562</v>
      </c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96" t="s">
        <v>563</v>
      </c>
      <c r="N4" s="59"/>
      <c r="O4" s="112" t="s">
        <v>582</v>
      </c>
      <c r="P4" s="112"/>
      <c r="Q4" s="112"/>
      <c r="R4" s="112"/>
      <c r="S4" s="112"/>
      <c r="T4" s="112"/>
      <c r="U4" s="112"/>
      <c r="V4" s="112"/>
      <c r="W4" s="112"/>
      <c r="X4" s="112"/>
      <c r="Y4" s="112"/>
      <c r="Z4" s="112"/>
      <c r="AB4" s="120" t="s">
        <v>389</v>
      </c>
      <c r="AC4" s="120"/>
      <c r="AD4" s="120"/>
      <c r="AE4" s="120"/>
      <c r="AF4" s="120"/>
      <c r="AG4" s="120"/>
      <c r="AH4" s="120"/>
      <c r="AI4" s="120"/>
      <c r="AJ4" s="120"/>
      <c r="AK4" s="120"/>
      <c r="AL4" s="120"/>
      <c r="AM4" s="120"/>
      <c r="AN4" s="120"/>
      <c r="AQ4" s="112" t="s">
        <v>576</v>
      </c>
      <c r="AR4" s="112"/>
      <c r="AS4" s="112"/>
      <c r="AT4" s="112"/>
      <c r="AU4" s="112"/>
      <c r="AV4" s="112"/>
      <c r="AW4" s="112"/>
      <c r="AX4" s="112"/>
      <c r="AY4" s="112"/>
      <c r="AZ4" s="112"/>
      <c r="BA4" s="112"/>
      <c r="BB4" s="112"/>
    </row>
    <row r="5" spans="1:54">
      <c r="B5" t="s">
        <v>584</v>
      </c>
      <c r="C5" t="s">
        <v>595</v>
      </c>
      <c r="D5" t="s">
        <v>598</v>
      </c>
      <c r="E5" t="s">
        <v>586</v>
      </c>
      <c r="F5" t="s">
        <v>600</v>
      </c>
      <c r="G5" t="s">
        <v>602</v>
      </c>
      <c r="H5" t="s">
        <v>588</v>
      </c>
      <c r="I5" t="s">
        <v>604</v>
      </c>
      <c r="J5" t="s">
        <v>590</v>
      </c>
      <c r="K5" t="s">
        <v>606</v>
      </c>
      <c r="L5" t="s">
        <v>608</v>
      </c>
      <c r="M5" t="s">
        <v>592</v>
      </c>
      <c r="N5" s="92"/>
      <c r="O5" t="s">
        <v>584</v>
      </c>
      <c r="P5" t="s">
        <v>595</v>
      </c>
      <c r="Q5" t="s">
        <v>598</v>
      </c>
      <c r="R5" t="s">
        <v>586</v>
      </c>
      <c r="S5" t="s">
        <v>600</v>
      </c>
      <c r="T5" t="s">
        <v>602</v>
      </c>
      <c r="U5" t="s">
        <v>588</v>
      </c>
      <c r="V5" t="s">
        <v>604</v>
      </c>
      <c r="W5" t="s">
        <v>590</v>
      </c>
      <c r="X5" t="s">
        <v>606</v>
      </c>
      <c r="Y5" t="s">
        <v>608</v>
      </c>
      <c r="Z5" t="s">
        <v>592</v>
      </c>
      <c r="AC5" s="59" t="s">
        <v>584</v>
      </c>
      <c r="AD5" s="59" t="s">
        <v>595</v>
      </c>
      <c r="AE5" s="59" t="s">
        <v>598</v>
      </c>
      <c r="AF5" s="59" t="s">
        <v>586</v>
      </c>
      <c r="AG5" s="59" t="s">
        <v>600</v>
      </c>
      <c r="AH5" s="59" t="s">
        <v>602</v>
      </c>
      <c r="AI5" s="59" t="s">
        <v>588</v>
      </c>
      <c r="AJ5" s="59" t="s">
        <v>604</v>
      </c>
      <c r="AK5" s="59" t="s">
        <v>590</v>
      </c>
      <c r="AL5" s="59" t="s">
        <v>606</v>
      </c>
      <c r="AM5" s="59" t="s">
        <v>608</v>
      </c>
      <c r="AN5" s="59" t="s">
        <v>592</v>
      </c>
      <c r="AQ5" s="9" t="s">
        <v>193</v>
      </c>
      <c r="AR5" s="9" t="s">
        <v>194</v>
      </c>
      <c r="AS5" s="9" t="s">
        <v>195</v>
      </c>
      <c r="AT5" s="9" t="s">
        <v>378</v>
      </c>
      <c r="AU5" s="9" t="s">
        <v>379</v>
      </c>
      <c r="AV5" s="9" t="s">
        <v>380</v>
      </c>
      <c r="AW5" s="9" t="s">
        <v>381</v>
      </c>
      <c r="AX5" s="9" t="s">
        <v>382</v>
      </c>
      <c r="AY5" s="9" t="s">
        <v>383</v>
      </c>
      <c r="AZ5" s="4" t="s">
        <v>384</v>
      </c>
      <c r="BA5" s="4" t="s">
        <v>385</v>
      </c>
      <c r="BB5" s="4" t="s">
        <v>386</v>
      </c>
    </row>
    <row r="6" spans="1:54">
      <c r="B6">
        <v>6.3200000000000001E-3</v>
      </c>
      <c r="C6">
        <v>2.31</v>
      </c>
      <c r="D6">
        <v>0.53800000000000003</v>
      </c>
      <c r="E6">
        <v>6.5750000000000002</v>
      </c>
      <c r="F6">
        <v>65.2</v>
      </c>
      <c r="G6">
        <v>4.09</v>
      </c>
      <c r="H6">
        <v>1</v>
      </c>
      <c r="I6">
        <v>296</v>
      </c>
      <c r="J6">
        <v>15.3</v>
      </c>
      <c r="K6">
        <v>396.9</v>
      </c>
      <c r="L6">
        <v>4.9800000000000004</v>
      </c>
      <c r="M6">
        <v>24</v>
      </c>
      <c r="O6" s="101">
        <f t="shared" ref="O6:O69" si="4">(B6-B$1)/B$2</f>
        <v>-0.41978193864600827</v>
      </c>
      <c r="P6" s="101">
        <f t="shared" ref="P6:P69" si="5">(C6-C$1)/C$2</f>
        <v>-1.28790949895775</v>
      </c>
      <c r="Q6" s="101">
        <f t="shared" ref="Q6:Q69" si="6">(D6-D$1)/D$2</f>
        <v>-0.14421743255530298</v>
      </c>
      <c r="R6" s="101">
        <f t="shared" ref="R6:R69" si="7">(E6-E$1)/E$2</f>
        <v>0.41367188930177196</v>
      </c>
      <c r="S6" s="101">
        <f t="shared" ref="S6:S69" si="8">(F6-F$1)/F$2</f>
        <v>-0.12001341619805103</v>
      </c>
      <c r="T6" s="101">
        <f t="shared" ref="T6:T69" si="9">(G6-G$1)/G$2</f>
        <v>0.14021360349292986</v>
      </c>
      <c r="U6" s="101">
        <f t="shared" ref="U6:U69" si="10">(H6-H$1)/H$2</f>
        <v>-0.98284285676650562</v>
      </c>
      <c r="V6" s="101">
        <f t="shared" ref="V6:V69" si="11">(I6-I$1)/I$2</f>
        <v>-0.66660820902109852</v>
      </c>
      <c r="W6" s="101">
        <f t="shared" ref="W6:W69" si="12">(J6-J$1)/J$2</f>
        <v>-1.4590003802772493</v>
      </c>
      <c r="X6" s="101">
        <f t="shared" ref="X6:X69" si="13">(K6-K$1)/K$2</f>
        <v>0.44105193260702835</v>
      </c>
      <c r="Y6" s="101">
        <f t="shared" ref="Y6:Y69" si="14">(L6-L$1)/L$2</f>
        <v>-1.0755623045678688</v>
      </c>
      <c r="Z6" s="101">
        <f t="shared" ref="Z6:Z69" si="15">(M6-M$1)/M$2</f>
        <v>0.15968565871505863</v>
      </c>
      <c r="AB6" t="s">
        <v>584</v>
      </c>
      <c r="AC6" s="103">
        <f>CORREL($O$6:$O$511,O6:O511)</f>
        <v>1</v>
      </c>
      <c r="AD6" s="103">
        <f t="shared" ref="AD6:AN6" si="16">CORREL($O$6:$O$511,P6:P511)</f>
        <v>0.40658341140626042</v>
      </c>
      <c r="AE6" s="103">
        <f t="shared" si="16"/>
        <v>0.42097171139245554</v>
      </c>
      <c r="AF6" s="103">
        <f t="shared" si="16"/>
        <v>-0.21924670286251405</v>
      </c>
      <c r="AG6" s="103">
        <f t="shared" si="16"/>
        <v>0.35273425090136468</v>
      </c>
      <c r="AH6" s="103">
        <f t="shared" si="16"/>
        <v>-0.37967008695102489</v>
      </c>
      <c r="AI6" s="103">
        <f t="shared" si="16"/>
        <v>0.62550514526260204</v>
      </c>
      <c r="AJ6" s="103">
        <f t="shared" si="16"/>
        <v>0.58276431203258516</v>
      </c>
      <c r="AK6" s="103">
        <f t="shared" si="16"/>
        <v>0.28994557927952108</v>
      </c>
      <c r="AL6" s="103">
        <f t="shared" si="16"/>
        <v>-0.38506394199422411</v>
      </c>
      <c r="AM6" s="103">
        <f t="shared" si="16"/>
        <v>0.45562147944794645</v>
      </c>
      <c r="AN6" s="103">
        <f t="shared" si="16"/>
        <v>-0.38830460858681221</v>
      </c>
      <c r="AQ6" s="101">
        <f t="array" ref="AQ6:BB511">MMULT(O6:Z511,AC27:AN38)</f>
        <v>-2.0885118710007942</v>
      </c>
      <c r="AR6" s="101">
        <v>0.52905050097296635</v>
      </c>
      <c r="AS6" s="101">
        <v>-0.65378998378009856</v>
      </c>
      <c r="AT6" s="101">
        <v>-0.68070438809558187</v>
      </c>
      <c r="AU6" s="101">
        <v>-0.46949367562825456</v>
      </c>
      <c r="AV6" s="101">
        <v>6.2019123412532448E-2</v>
      </c>
      <c r="AW6" s="101">
        <v>-0.14641738101128743</v>
      </c>
      <c r="AX6" s="101">
        <v>-0.11305206430565624</v>
      </c>
      <c r="AY6" s="101">
        <v>-0.93273071511023997</v>
      </c>
      <c r="AZ6" s="101">
        <v>-6.5696885040817901E-2</v>
      </c>
      <c r="BA6" s="101">
        <v>-0.49060452338927474</v>
      </c>
      <c r="BB6" s="101">
        <v>0.2659739995133254</v>
      </c>
    </row>
    <row r="7" spans="1:54">
      <c r="B7">
        <v>2.7310000000000001E-2</v>
      </c>
      <c r="C7">
        <v>7.07</v>
      </c>
      <c r="D7">
        <v>0.46899999999999997</v>
      </c>
      <c r="E7">
        <v>6.4210000000000003</v>
      </c>
      <c r="F7">
        <v>78.900000000000006</v>
      </c>
      <c r="G7">
        <v>4.9671000000000003</v>
      </c>
      <c r="H7">
        <v>2</v>
      </c>
      <c r="I7">
        <v>242</v>
      </c>
      <c r="J7">
        <v>17.8</v>
      </c>
      <c r="K7">
        <v>396.9</v>
      </c>
      <c r="L7">
        <v>9.14</v>
      </c>
      <c r="M7">
        <v>21.6</v>
      </c>
      <c r="O7" s="101">
        <f t="shared" si="4"/>
        <v>-0.41733926449352854</v>
      </c>
      <c r="P7" s="101">
        <f t="shared" si="5"/>
        <v>-0.59338101310024427</v>
      </c>
      <c r="Q7" s="101">
        <f t="shared" si="6"/>
        <v>-0.74026220690050415</v>
      </c>
      <c r="R7" s="101">
        <f t="shared" si="7"/>
        <v>0.19427445318162812</v>
      </c>
      <c r="S7" s="101">
        <f t="shared" si="8"/>
        <v>0.36716641853177395</v>
      </c>
      <c r="T7" s="101">
        <f t="shared" si="9"/>
        <v>0.55715987508824349</v>
      </c>
      <c r="U7" s="101">
        <f t="shared" si="10"/>
        <v>-0.86788250412576318</v>
      </c>
      <c r="V7" s="101">
        <f t="shared" si="11"/>
        <v>-0.98732948496300055</v>
      </c>
      <c r="W7" s="101">
        <f t="shared" si="12"/>
        <v>-0.30309414801651907</v>
      </c>
      <c r="X7" s="101">
        <f t="shared" si="13"/>
        <v>0.44105193260702835</v>
      </c>
      <c r="Y7" s="101">
        <f t="shared" si="14"/>
        <v>-0.49243936573529656</v>
      </c>
      <c r="Z7" s="101">
        <f t="shared" si="15"/>
        <v>-0.10152428732962153</v>
      </c>
      <c r="AB7" t="s">
        <v>595</v>
      </c>
      <c r="AC7" s="103">
        <f>CORREL($P$6:$P$511,O6:O511)</f>
        <v>0.40658341140626042</v>
      </c>
      <c r="AD7" s="103">
        <f t="shared" ref="AD7:AN7" si="17">CORREL($P$6:$P$511,P6:P511)</f>
        <v>1</v>
      </c>
      <c r="AE7" s="103">
        <f t="shared" si="17"/>
        <v>0.76365144692091524</v>
      </c>
      <c r="AF7" s="103">
        <f t="shared" si="17"/>
        <v>-0.39167585265684429</v>
      </c>
      <c r="AG7" s="103">
        <f t="shared" si="17"/>
        <v>0.64477851135525643</v>
      </c>
      <c r="AH7" s="103">
        <f t="shared" si="17"/>
        <v>-0.70802698874276948</v>
      </c>
      <c r="AI7" s="103">
        <f t="shared" si="17"/>
        <v>0.59512927460385023</v>
      </c>
      <c r="AJ7" s="103">
        <f t="shared" si="17"/>
        <v>0.72076017995154362</v>
      </c>
      <c r="AK7" s="103">
        <f t="shared" si="17"/>
        <v>0.38324755642888841</v>
      </c>
      <c r="AL7" s="103">
        <f t="shared" si="17"/>
        <v>-0.35697653510419286</v>
      </c>
      <c r="AM7" s="103">
        <f t="shared" si="17"/>
        <v>0.60379971647662156</v>
      </c>
      <c r="AN7" s="103">
        <f t="shared" si="17"/>
        <v>-0.48372516002837385</v>
      </c>
      <c r="AQ7" s="101">
        <v>-1.5519350515930002</v>
      </c>
      <c r="AR7" s="101">
        <v>-0.36889168565768493</v>
      </c>
      <c r="AS7" s="101">
        <v>-0.59887956406415854</v>
      </c>
      <c r="AT7" s="101">
        <v>-8.9666711658163326E-2</v>
      </c>
      <c r="AU7" s="101">
        <v>5.5686442912131512E-2</v>
      </c>
      <c r="AV7" s="101">
        <v>0.6503909778156528</v>
      </c>
      <c r="AW7" s="101">
        <v>-0.26562455951489472</v>
      </c>
      <c r="AX7" s="101">
        <v>0.12288136213146615</v>
      </c>
      <c r="AY7" s="101">
        <v>-0.25242523805085548</v>
      </c>
      <c r="AZ7" s="101">
        <v>0.49206849300347527</v>
      </c>
      <c r="BA7" s="101">
        <v>-0.25766183999178421</v>
      </c>
      <c r="BB7" s="101">
        <v>-0.17085879159223669</v>
      </c>
    </row>
    <row r="8" spans="1:54">
      <c r="B8">
        <v>2.7289999999999998E-2</v>
      </c>
      <c r="C8">
        <v>7.07</v>
      </c>
      <c r="D8">
        <v>0.46899999999999997</v>
      </c>
      <c r="E8">
        <v>7.1849999999999996</v>
      </c>
      <c r="F8">
        <v>61.1</v>
      </c>
      <c r="G8">
        <v>4.9671000000000003</v>
      </c>
      <c r="H8">
        <v>2</v>
      </c>
      <c r="I8">
        <v>242</v>
      </c>
      <c r="J8">
        <v>17.8</v>
      </c>
      <c r="K8">
        <v>392.83</v>
      </c>
      <c r="L8">
        <v>4.03</v>
      </c>
      <c r="M8">
        <v>34.700000000000003</v>
      </c>
      <c r="O8" s="101">
        <f t="shared" si="4"/>
        <v>-0.41734159195818077</v>
      </c>
      <c r="P8" s="101">
        <f t="shared" si="5"/>
        <v>-0.59338101310024427</v>
      </c>
      <c r="Q8" s="101">
        <f t="shared" si="6"/>
        <v>-0.74026220690050415</v>
      </c>
      <c r="R8" s="101">
        <f t="shared" si="7"/>
        <v>1.2827136817257179</v>
      </c>
      <c r="S8" s="101">
        <f t="shared" si="8"/>
        <v>-0.26581176089821767</v>
      </c>
      <c r="T8" s="101">
        <f t="shared" si="9"/>
        <v>0.55715987508824349</v>
      </c>
      <c r="U8" s="101">
        <f t="shared" si="10"/>
        <v>-0.86788250412576318</v>
      </c>
      <c r="V8" s="101">
        <f t="shared" si="11"/>
        <v>-0.98732948496300055</v>
      </c>
      <c r="W8" s="101">
        <f t="shared" si="12"/>
        <v>-0.30309414801651907</v>
      </c>
      <c r="X8" s="101">
        <f t="shared" si="13"/>
        <v>0.39642699409025273</v>
      </c>
      <c r="Y8" s="101">
        <f t="shared" si="14"/>
        <v>-1.2087273987724227</v>
      </c>
      <c r="Z8" s="101">
        <f t="shared" si="15"/>
        <v>1.3242466681642586</v>
      </c>
      <c r="AB8" t="s">
        <v>598</v>
      </c>
      <c r="AC8" s="103">
        <f>CORREL($Q$6:$Q$511,O6:O511)</f>
        <v>0.42097171139245554</v>
      </c>
      <c r="AD8" s="103">
        <f t="shared" ref="AD8:AN8" si="18">CORREL($Q$6:$Q$511,P6:P511)</f>
        <v>0.76365144692091524</v>
      </c>
      <c r="AE8" s="103">
        <f t="shared" si="18"/>
        <v>1</v>
      </c>
      <c r="AF8" s="103">
        <f t="shared" si="18"/>
        <v>-0.30218818784959306</v>
      </c>
      <c r="AG8" s="103">
        <f t="shared" si="18"/>
        <v>0.73147010378595878</v>
      </c>
      <c r="AH8" s="103">
        <f t="shared" si="18"/>
        <v>-0.7692301132258258</v>
      </c>
      <c r="AI8" s="103">
        <f t="shared" si="18"/>
        <v>0.61144056348557685</v>
      </c>
      <c r="AJ8" s="103">
        <f t="shared" si="18"/>
        <v>0.66802320040301988</v>
      </c>
      <c r="AK8" s="103">
        <f t="shared" si="18"/>
        <v>0.18893267711276809</v>
      </c>
      <c r="AL8" s="103">
        <f t="shared" si="18"/>
        <v>-0.38005063779240011</v>
      </c>
      <c r="AM8" s="103">
        <f t="shared" si="18"/>
        <v>0.59087892088084581</v>
      </c>
      <c r="AN8" s="103">
        <f t="shared" si="18"/>
        <v>-0.42732077237328275</v>
      </c>
      <c r="AQ8" s="101">
        <v>-2.5837292704012231</v>
      </c>
      <c r="AR8" s="101">
        <v>0.97819322087599447</v>
      </c>
      <c r="AS8" s="101">
        <v>0.12509643245585256</v>
      </c>
      <c r="AT8" s="101">
        <v>0.28800628066521095</v>
      </c>
      <c r="AU8" s="101">
        <v>0.26401313411991179</v>
      </c>
      <c r="AV8" s="101">
        <v>0.53707257613140424</v>
      </c>
      <c r="AW8" s="101">
        <v>0.14010829265830849</v>
      </c>
      <c r="AX8" s="101">
        <v>0.19858218616348178</v>
      </c>
      <c r="AY8" s="101">
        <v>4.9100695226364677E-2</v>
      </c>
      <c r="AZ8" s="101">
        <v>0.31247878658719624</v>
      </c>
      <c r="BA8" s="101">
        <v>0.20803564399695806</v>
      </c>
      <c r="BB8" s="101">
        <v>-2.7354225238542307E-2</v>
      </c>
    </row>
    <row r="9" spans="1:54">
      <c r="B9">
        <v>3.2370000000000003E-2</v>
      </c>
      <c r="C9">
        <v>2.1800000000000002</v>
      </c>
      <c r="D9">
        <v>0.45800000000000002</v>
      </c>
      <c r="E9">
        <v>6.9980000000000002</v>
      </c>
      <c r="F9">
        <v>45.8</v>
      </c>
      <c r="G9">
        <v>6.0621999999999998</v>
      </c>
      <c r="H9">
        <v>3</v>
      </c>
      <c r="I9">
        <v>222</v>
      </c>
      <c r="J9">
        <v>18.7</v>
      </c>
      <c r="K9">
        <v>394.63</v>
      </c>
      <c r="L9">
        <v>2.94</v>
      </c>
      <c r="M9">
        <v>33.4</v>
      </c>
      <c r="O9" s="101">
        <f t="shared" si="4"/>
        <v>-0.41675041593652296</v>
      </c>
      <c r="P9" s="101">
        <f t="shared" si="5"/>
        <v>-1.30687771390764</v>
      </c>
      <c r="Q9" s="101">
        <f t="shared" si="6"/>
        <v>-0.83528383759321689</v>
      </c>
      <c r="R9" s="101">
        <f t="shared" si="7"/>
        <v>1.0163025092941154</v>
      </c>
      <c r="S9" s="101">
        <f t="shared" si="8"/>
        <v>-0.80988851063298573</v>
      </c>
      <c r="T9" s="101">
        <f t="shared" si="9"/>
        <v>1.0777366189304822</v>
      </c>
      <c r="U9" s="101">
        <f t="shared" si="10"/>
        <v>-0.75292215148502073</v>
      </c>
      <c r="V9" s="101">
        <f t="shared" si="11"/>
        <v>-1.1061151427192606</v>
      </c>
      <c r="W9" s="101">
        <f t="shared" si="12"/>
        <v>0.11303209559734317</v>
      </c>
      <c r="X9" s="101">
        <f t="shared" si="13"/>
        <v>0.41616283913452712</v>
      </c>
      <c r="Y9" s="101">
        <f t="shared" si="14"/>
        <v>-1.3615168226492267</v>
      </c>
      <c r="Z9" s="101">
        <f t="shared" si="15"/>
        <v>1.1827579473900562</v>
      </c>
      <c r="AB9" t="s">
        <v>586</v>
      </c>
      <c r="AC9" s="103">
        <f>CORREL($R$6:$R$511,O6:O511)</f>
        <v>-0.21924670286251405</v>
      </c>
      <c r="AD9" s="103">
        <f t="shared" ref="AD9:AN9" si="19">CORREL($R$6:$R$511,P6:P511)</f>
        <v>-0.39167585265684429</v>
      </c>
      <c r="AE9" s="103">
        <f t="shared" si="19"/>
        <v>-0.30218818784959306</v>
      </c>
      <c r="AF9" s="103">
        <f t="shared" si="19"/>
        <v>1.0000000000000002</v>
      </c>
      <c r="AG9" s="103">
        <f t="shared" si="19"/>
        <v>-0.24026493104775146</v>
      </c>
      <c r="AH9" s="103">
        <f t="shared" si="19"/>
        <v>0.20524621293005513</v>
      </c>
      <c r="AI9" s="103">
        <f t="shared" si="19"/>
        <v>-0.20984666776610905</v>
      </c>
      <c r="AJ9" s="103">
        <f t="shared" si="19"/>
        <v>-0.29204783262321926</v>
      </c>
      <c r="AK9" s="103">
        <f t="shared" si="19"/>
        <v>-0.35550149455908636</v>
      </c>
      <c r="AL9" s="103">
        <f t="shared" si="19"/>
        <v>0.12806863509254318</v>
      </c>
      <c r="AM9" s="103">
        <f t="shared" si="19"/>
        <v>-0.61380827186639586</v>
      </c>
      <c r="AN9" s="103">
        <f t="shared" si="19"/>
        <v>0.69535994707154003</v>
      </c>
      <c r="AQ9" s="101">
        <v>-3.0499093991269297</v>
      </c>
      <c r="AR9" s="101">
        <v>0.26519523777315246</v>
      </c>
      <c r="AS9" s="101">
        <v>0.68830328892800119</v>
      </c>
      <c r="AT9" s="101">
        <v>0.3721323625558946</v>
      </c>
      <c r="AU9" s="101">
        <v>0.25327827403852055</v>
      </c>
      <c r="AV9" s="101">
        <v>0.51744465796361183</v>
      </c>
      <c r="AW9" s="101">
        <v>8.8693410931123706E-2</v>
      </c>
      <c r="AX9" s="101">
        <v>-9.031668981911245E-2</v>
      </c>
      <c r="AY9" s="101">
        <v>-0.33442455038526014</v>
      </c>
      <c r="AZ9" s="101">
        <v>7.8075511102613154E-2</v>
      </c>
      <c r="BA9" s="101">
        <v>0.45611760086457181</v>
      </c>
      <c r="BB9" s="101">
        <v>-1.3760147676360579E-2</v>
      </c>
    </row>
    <row r="10" spans="1:54">
      <c r="B10">
        <v>6.905E-2</v>
      </c>
      <c r="C10">
        <v>2.1800000000000002</v>
      </c>
      <c r="D10">
        <v>0.45800000000000002</v>
      </c>
      <c r="E10">
        <v>7.1470000000000002</v>
      </c>
      <c r="F10">
        <v>54.2</v>
      </c>
      <c r="G10">
        <v>6.0621999999999998</v>
      </c>
      <c r="H10">
        <v>3</v>
      </c>
      <c r="I10">
        <v>222</v>
      </c>
      <c r="J10">
        <v>18.7</v>
      </c>
      <c r="K10">
        <v>396.9</v>
      </c>
      <c r="L10">
        <v>5.33</v>
      </c>
      <c r="M10">
        <v>36.200000000000003</v>
      </c>
      <c r="O10" s="101">
        <f t="shared" si="4"/>
        <v>-0.41248184576439539</v>
      </c>
      <c r="P10" s="101">
        <f t="shared" si="5"/>
        <v>-1.30687771390764</v>
      </c>
      <c r="Q10" s="101">
        <f t="shared" si="6"/>
        <v>-0.83528383759321689</v>
      </c>
      <c r="R10" s="101">
        <f t="shared" si="7"/>
        <v>1.2285766520337353</v>
      </c>
      <c r="S10" s="101">
        <f t="shared" si="8"/>
        <v>-0.51117970685703451</v>
      </c>
      <c r="T10" s="101">
        <f t="shared" si="9"/>
        <v>1.0777366189304822</v>
      </c>
      <c r="U10" s="101">
        <f t="shared" si="10"/>
        <v>-0.75292215148502073</v>
      </c>
      <c r="V10" s="101">
        <f t="shared" si="11"/>
        <v>-1.1061151427192606</v>
      </c>
      <c r="W10" s="101">
        <f t="shared" si="12"/>
        <v>0.11303209559734317</v>
      </c>
      <c r="X10" s="101">
        <f t="shared" si="13"/>
        <v>0.44105193260702835</v>
      </c>
      <c r="Y10" s="101">
        <f t="shared" si="14"/>
        <v>-1.0265014803872439</v>
      </c>
      <c r="Z10" s="101">
        <f t="shared" si="15"/>
        <v>1.4875028844421838</v>
      </c>
      <c r="AB10" t="s">
        <v>600</v>
      </c>
      <c r="AC10" s="103">
        <f>CORREL($S$6:$S$511,O6:O511)</f>
        <v>0.35273425090136468</v>
      </c>
      <c r="AD10" s="103">
        <f t="shared" ref="AD10:AN10" si="20">CORREL($S$6:$S$511,P6:P511)</f>
        <v>0.64477851135525643</v>
      </c>
      <c r="AE10" s="103">
        <f t="shared" si="20"/>
        <v>0.73147010378595878</v>
      </c>
      <c r="AF10" s="103">
        <f t="shared" si="20"/>
        <v>-0.24026493104775146</v>
      </c>
      <c r="AG10" s="103">
        <f t="shared" si="20"/>
        <v>1.0000000000000002</v>
      </c>
      <c r="AH10" s="103">
        <f t="shared" si="20"/>
        <v>-0.74788054086863165</v>
      </c>
      <c r="AI10" s="103">
        <f t="shared" si="20"/>
        <v>0.45602245175161404</v>
      </c>
      <c r="AJ10" s="103">
        <f t="shared" si="20"/>
        <v>0.50645559355070491</v>
      </c>
      <c r="AK10" s="103">
        <f t="shared" si="20"/>
        <v>0.26151501167195862</v>
      </c>
      <c r="AL10" s="103">
        <f t="shared" si="20"/>
        <v>-0.27353397663851359</v>
      </c>
      <c r="AM10" s="103">
        <f t="shared" si="20"/>
        <v>0.60233852872624061</v>
      </c>
      <c r="AN10" s="103">
        <f t="shared" si="20"/>
        <v>-0.37695456500459673</v>
      </c>
      <c r="AQ10" s="101">
        <v>-2.9848931051519911</v>
      </c>
      <c r="AR10" s="101">
        <v>0.51453591682089694</v>
      </c>
      <c r="AS10" s="101">
        <v>0.57779549758784188</v>
      </c>
      <c r="AT10" s="101">
        <v>0.39963747955883755</v>
      </c>
      <c r="AU10" s="101">
        <v>0.2455036585300554</v>
      </c>
      <c r="AV10" s="101">
        <v>0.73570993522362127</v>
      </c>
      <c r="AW10" s="101">
        <v>-0.16413065126130366</v>
      </c>
      <c r="AX10" s="101">
        <v>-0.20631405432845051</v>
      </c>
      <c r="AY10" s="101">
        <v>-2.7046011044591589E-2</v>
      </c>
      <c r="AZ10" s="101">
        <v>0.14495159382669243</v>
      </c>
      <c r="BA10" s="101">
        <v>0.64021664473384821</v>
      </c>
      <c r="BB10" s="101">
        <v>3.8597307801114172E-2</v>
      </c>
    </row>
    <row r="11" spans="1:54">
      <c r="B11">
        <v>2.9850000000000002E-2</v>
      </c>
      <c r="C11">
        <v>2.1800000000000002</v>
      </c>
      <c r="D11">
        <v>0.45800000000000002</v>
      </c>
      <c r="E11">
        <v>6.43</v>
      </c>
      <c r="F11">
        <v>58.7</v>
      </c>
      <c r="G11">
        <v>6.0621999999999998</v>
      </c>
      <c r="H11">
        <v>3</v>
      </c>
      <c r="I11">
        <v>222</v>
      </c>
      <c r="J11">
        <v>18.7</v>
      </c>
      <c r="K11">
        <v>394.12</v>
      </c>
      <c r="L11">
        <v>5.21</v>
      </c>
      <c r="M11">
        <v>28.7</v>
      </c>
      <c r="O11" s="101">
        <f t="shared" si="4"/>
        <v>-0.41704367648269963</v>
      </c>
      <c r="P11" s="101">
        <f t="shared" si="5"/>
        <v>-1.30687771390764</v>
      </c>
      <c r="Q11" s="101">
        <f t="shared" si="6"/>
        <v>-0.83528383759321689</v>
      </c>
      <c r="R11" s="101">
        <f t="shared" si="7"/>
        <v>0.20709638126657082</v>
      </c>
      <c r="S11" s="101">
        <f t="shared" si="8"/>
        <v>-0.3511571334056322</v>
      </c>
      <c r="T11" s="101">
        <f t="shared" si="9"/>
        <v>1.0777366189304822</v>
      </c>
      <c r="U11" s="101">
        <f t="shared" si="10"/>
        <v>-0.75292215148502073</v>
      </c>
      <c r="V11" s="101">
        <f t="shared" si="11"/>
        <v>-1.1061151427192606</v>
      </c>
      <c r="W11" s="101">
        <f t="shared" si="12"/>
        <v>0.11303209559734317</v>
      </c>
      <c r="X11" s="101">
        <f t="shared" si="13"/>
        <v>0.41057101637198284</v>
      </c>
      <c r="Y11" s="101">
        <f t="shared" si="14"/>
        <v>-1.0433223343920297</v>
      </c>
      <c r="Z11" s="101">
        <f t="shared" si="15"/>
        <v>0.67122180305255752</v>
      </c>
      <c r="AB11" t="s">
        <v>602</v>
      </c>
      <c r="AC11" s="103">
        <f>CORREL($T$6:$T$511,O6:O511)</f>
        <v>-0.37967008695102489</v>
      </c>
      <c r="AD11" s="103">
        <f t="shared" ref="AD11:AN11" si="21">CORREL($T$6:$T$511,P6:P511)</f>
        <v>-0.70802698874276948</v>
      </c>
      <c r="AE11" s="103">
        <f t="shared" si="21"/>
        <v>-0.7692301132258258</v>
      </c>
      <c r="AF11" s="103">
        <f t="shared" si="21"/>
        <v>0.20524621293005513</v>
      </c>
      <c r="AG11" s="103">
        <f t="shared" si="21"/>
        <v>-0.74788054086863165</v>
      </c>
      <c r="AH11" s="103">
        <f t="shared" si="21"/>
        <v>1</v>
      </c>
      <c r="AI11" s="103">
        <f t="shared" si="21"/>
        <v>-0.49458792967207554</v>
      </c>
      <c r="AJ11" s="103">
        <f t="shared" si="21"/>
        <v>-0.53443158440845639</v>
      </c>
      <c r="AK11" s="103">
        <f t="shared" si="21"/>
        <v>-0.23247054240825699</v>
      </c>
      <c r="AL11" s="103">
        <f t="shared" si="21"/>
        <v>0.29151167313303955</v>
      </c>
      <c r="AM11" s="103">
        <f t="shared" si="21"/>
        <v>-0.49699583086368521</v>
      </c>
      <c r="AN11" s="103">
        <f t="shared" si="21"/>
        <v>0.24992873408590399</v>
      </c>
      <c r="AQ11" s="101">
        <v>-2.499029353991987</v>
      </c>
      <c r="AR11" s="101">
        <v>-0.41240787393666062</v>
      </c>
      <c r="AS11" s="101">
        <v>0.2371208681294896</v>
      </c>
      <c r="AT11" s="101">
        <v>0.18442411756265537</v>
      </c>
      <c r="AU11" s="101">
        <v>0.13332681487051193</v>
      </c>
      <c r="AV11" s="101">
        <v>0.54534560291285017</v>
      </c>
      <c r="AW11" s="101">
        <v>1.5836155157633425E-2</v>
      </c>
      <c r="AX11" s="101">
        <v>-0.36880090709618013</v>
      </c>
      <c r="AY11" s="101">
        <v>-0.474581261524821</v>
      </c>
      <c r="AZ11" s="101">
        <v>0.36906529864279347</v>
      </c>
      <c r="BA11" s="101">
        <v>0.30879380802545242</v>
      </c>
      <c r="BB11" s="101">
        <v>-6.6017877712003917E-2</v>
      </c>
    </row>
    <row r="12" spans="1:54">
      <c r="B12">
        <v>8.8289999999999993E-2</v>
      </c>
      <c r="C12">
        <v>7.87</v>
      </c>
      <c r="D12">
        <v>0.52400000000000002</v>
      </c>
      <c r="E12">
        <v>6.0119999999999996</v>
      </c>
      <c r="F12">
        <v>66.599999999999994</v>
      </c>
      <c r="G12">
        <v>5.5605000000000002</v>
      </c>
      <c r="H12">
        <v>5</v>
      </c>
      <c r="I12">
        <v>311</v>
      </c>
      <c r="J12">
        <v>15.2</v>
      </c>
      <c r="K12">
        <v>395.6</v>
      </c>
      <c r="L12">
        <v>12.43</v>
      </c>
      <c r="M12">
        <v>22.9</v>
      </c>
      <c r="O12" s="101">
        <f t="shared" si="4"/>
        <v>-0.41024282476898272</v>
      </c>
      <c r="P12" s="101">
        <f t="shared" si="5"/>
        <v>-0.47665353648553743</v>
      </c>
      <c r="Q12" s="101">
        <f t="shared" si="6"/>
        <v>-0.26515405343693799</v>
      </c>
      <c r="R12" s="101">
        <f t="shared" si="7"/>
        <v>-0.38841094534524873</v>
      </c>
      <c r="S12" s="101">
        <f t="shared" si="8"/>
        <v>-7.0228615568726172E-2</v>
      </c>
      <c r="T12" s="101">
        <f t="shared" si="9"/>
        <v>0.83924392202092968</v>
      </c>
      <c r="U12" s="101">
        <f t="shared" si="10"/>
        <v>-0.52300144620353584</v>
      </c>
      <c r="V12" s="101">
        <f t="shared" si="11"/>
        <v>-0.57751896570390349</v>
      </c>
      <c r="W12" s="101">
        <f t="shared" si="12"/>
        <v>-1.5052366295676791</v>
      </c>
      <c r="X12" s="101">
        <f t="shared" si="13"/>
        <v>0.42679826674171967</v>
      </c>
      <c r="Y12" s="101">
        <f t="shared" si="14"/>
        <v>-3.1267618437421006E-2</v>
      </c>
      <c r="Z12" s="101">
        <f t="shared" si="15"/>
        <v>3.9964433444579998E-2</v>
      </c>
      <c r="AB12" t="s">
        <v>588</v>
      </c>
      <c r="AC12" s="103">
        <f>CORREL($U$6:$U$511,O6:O511)</f>
        <v>0.62550514526260204</v>
      </c>
      <c r="AD12" s="103">
        <f t="shared" ref="AD12:AN12" si="22">CORREL($U$6:$U$511,P6:P511)</f>
        <v>0.59512927460385023</v>
      </c>
      <c r="AE12" s="103">
        <f t="shared" si="22"/>
        <v>0.61144056348557685</v>
      </c>
      <c r="AF12" s="103">
        <f t="shared" si="22"/>
        <v>-0.20984666776610905</v>
      </c>
      <c r="AG12" s="103">
        <f t="shared" si="22"/>
        <v>0.45602245175161404</v>
      </c>
      <c r="AH12" s="103">
        <f t="shared" si="22"/>
        <v>-0.49458792967207554</v>
      </c>
      <c r="AI12" s="103">
        <f t="shared" si="22"/>
        <v>0.99999999999999978</v>
      </c>
      <c r="AJ12" s="103">
        <f t="shared" si="22"/>
        <v>0.91022818853318155</v>
      </c>
      <c r="AK12" s="103">
        <f t="shared" si="22"/>
        <v>0.46474117850305541</v>
      </c>
      <c r="AL12" s="103">
        <f t="shared" si="22"/>
        <v>-0.44441281557512546</v>
      </c>
      <c r="AM12" s="103">
        <f t="shared" si="22"/>
        <v>0.48867633497506652</v>
      </c>
      <c r="AN12" s="103">
        <f t="shared" si="22"/>
        <v>-0.38162623063977802</v>
      </c>
      <c r="AQ12" s="101">
        <v>-1.3358254137067276</v>
      </c>
      <c r="AR12" s="101">
        <v>-0.3065505983970146</v>
      </c>
      <c r="AS12" s="101">
        <v>-0.75139206968252004</v>
      </c>
      <c r="AT12" s="101">
        <v>-0.8803575639910487</v>
      </c>
      <c r="AU12" s="101">
        <v>-0.71536245603858939</v>
      </c>
      <c r="AV12" s="101">
        <v>-0.50942672411168</v>
      </c>
      <c r="AW12" s="101">
        <v>-0.43950393687690575</v>
      </c>
      <c r="AX12" s="101">
        <v>-0.10727404600750969</v>
      </c>
      <c r="AY12" s="101">
        <v>-6.3434704944186279E-2</v>
      </c>
      <c r="AZ12" s="101">
        <v>0.40658087062948511</v>
      </c>
      <c r="BA12" s="101">
        <v>-3.711514477916357E-2</v>
      </c>
      <c r="BB12" s="101">
        <v>-0.13709570418886871</v>
      </c>
    </row>
    <row r="13" spans="1:54">
      <c r="B13">
        <v>0.14455000000000001</v>
      </c>
      <c r="C13">
        <v>7.87</v>
      </c>
      <c r="D13">
        <v>0.52400000000000002</v>
      </c>
      <c r="E13">
        <v>6.1719999999999997</v>
      </c>
      <c r="F13">
        <v>96.1</v>
      </c>
      <c r="G13">
        <v>5.9504999999999999</v>
      </c>
      <c r="H13">
        <v>5</v>
      </c>
      <c r="I13">
        <v>311</v>
      </c>
      <c r="J13">
        <v>15.2</v>
      </c>
      <c r="K13">
        <v>396.9</v>
      </c>
      <c r="L13">
        <v>19.149999999999999</v>
      </c>
      <c r="M13">
        <v>27.1</v>
      </c>
      <c r="O13" s="101">
        <f t="shared" si="4"/>
        <v>-0.40369566670235518</v>
      </c>
      <c r="P13" s="101">
        <f t="shared" si="5"/>
        <v>-0.47665353648553743</v>
      </c>
      <c r="Q13" s="101">
        <f t="shared" si="6"/>
        <v>-0.26515405343693799</v>
      </c>
      <c r="R13" s="101">
        <f t="shared" si="7"/>
        <v>-0.16046555716847555</v>
      </c>
      <c r="S13" s="101">
        <f t="shared" si="8"/>
        <v>0.9788082548349113</v>
      </c>
      <c r="T13" s="101">
        <f t="shared" si="9"/>
        <v>1.0246378861324017</v>
      </c>
      <c r="U13" s="101">
        <f t="shared" si="10"/>
        <v>-0.52300144620353584</v>
      </c>
      <c r="V13" s="101">
        <f t="shared" si="11"/>
        <v>-0.57751896570390349</v>
      </c>
      <c r="W13" s="101">
        <f t="shared" si="12"/>
        <v>-1.5052366295676791</v>
      </c>
      <c r="X13" s="101">
        <f t="shared" si="13"/>
        <v>0.44105193260702835</v>
      </c>
      <c r="Y13" s="101">
        <f t="shared" si="14"/>
        <v>0.91070020583058031</v>
      </c>
      <c r="Z13" s="101">
        <f t="shared" si="15"/>
        <v>0.49708183902277087</v>
      </c>
      <c r="AB13" t="s">
        <v>604</v>
      </c>
      <c r="AC13" s="103">
        <f>CORREL($V$6:$V$511,O6:O511)</f>
        <v>0.58276431203258516</v>
      </c>
      <c r="AD13" s="103">
        <f t="shared" ref="AD13:AN13" si="23">CORREL($V$6:$V$511,P6:P511)</f>
        <v>0.72076017995154362</v>
      </c>
      <c r="AE13" s="103">
        <f t="shared" si="23"/>
        <v>0.66802320040301988</v>
      </c>
      <c r="AF13" s="103">
        <f t="shared" si="23"/>
        <v>-0.29204783262321926</v>
      </c>
      <c r="AG13" s="103">
        <f t="shared" si="23"/>
        <v>0.50645559355070491</v>
      </c>
      <c r="AH13" s="103">
        <f t="shared" si="23"/>
        <v>-0.53443158440845639</v>
      </c>
      <c r="AI13" s="103">
        <f t="shared" si="23"/>
        <v>0.91022818853318155</v>
      </c>
      <c r="AJ13" s="103">
        <f t="shared" si="23"/>
        <v>0.99999999999999978</v>
      </c>
      <c r="AK13" s="103">
        <f t="shared" si="23"/>
        <v>0.46085303506566916</v>
      </c>
      <c r="AL13" s="103">
        <f t="shared" si="23"/>
        <v>-0.44180800672281345</v>
      </c>
      <c r="AM13" s="103">
        <f t="shared" si="23"/>
        <v>0.54399341200156981</v>
      </c>
      <c r="AN13" s="103">
        <f t="shared" si="23"/>
        <v>-0.46853593356776702</v>
      </c>
      <c r="AQ13" s="101">
        <v>-0.94794846509721276</v>
      </c>
      <c r="AR13" s="101">
        <v>-1.898896022610283E-2</v>
      </c>
      <c r="AS13" s="101">
        <v>-1.1758746390151216</v>
      </c>
      <c r="AT13" s="101">
        <v>-0.93698573855983569</v>
      </c>
      <c r="AU13" s="101">
        <v>-0.74901801717146521</v>
      </c>
      <c r="AV13" s="101">
        <v>7.0744860608737331E-2</v>
      </c>
      <c r="AW13" s="101">
        <v>-1.2370133080835681</v>
      </c>
      <c r="AX13" s="101">
        <v>-0.44204208199756234</v>
      </c>
      <c r="AY13" s="101">
        <v>0.57415537426467733</v>
      </c>
      <c r="AZ13" s="101">
        <v>0.84049927622117626</v>
      </c>
      <c r="BA13" s="101">
        <v>0.38510635860131265</v>
      </c>
      <c r="BB13" s="101">
        <v>-4.8316202427074087E-2</v>
      </c>
    </row>
    <row r="14" spans="1:54">
      <c r="B14">
        <v>0.21124000000000001</v>
      </c>
      <c r="C14">
        <v>7.87</v>
      </c>
      <c r="D14">
        <v>0.52400000000000002</v>
      </c>
      <c r="E14">
        <v>5.6310000000000002</v>
      </c>
      <c r="F14">
        <v>100</v>
      </c>
      <c r="G14">
        <v>6.0820999999999996</v>
      </c>
      <c r="H14">
        <v>5</v>
      </c>
      <c r="I14">
        <v>311</v>
      </c>
      <c r="J14">
        <v>15.2</v>
      </c>
      <c r="K14">
        <v>386.63</v>
      </c>
      <c r="L14">
        <v>29.93</v>
      </c>
      <c r="M14">
        <v>16.5</v>
      </c>
      <c r="O14" s="101">
        <f t="shared" si="4"/>
        <v>-0.39593473581960742</v>
      </c>
      <c r="P14" s="101">
        <f t="shared" si="5"/>
        <v>-0.47665353648553743</v>
      </c>
      <c r="Q14" s="101">
        <f t="shared" si="6"/>
        <v>-0.26515405343693799</v>
      </c>
      <c r="R14" s="101">
        <f t="shared" si="7"/>
        <v>-0.93120590094118827</v>
      </c>
      <c r="S14" s="101">
        <f t="shared" si="8"/>
        <v>1.1174944851594601</v>
      </c>
      <c r="T14" s="101">
        <f t="shared" si="9"/>
        <v>1.0871964647915546</v>
      </c>
      <c r="U14" s="101">
        <f t="shared" si="10"/>
        <v>-0.52300144620353584</v>
      </c>
      <c r="V14" s="101">
        <f t="shared" si="11"/>
        <v>-0.57751896570390349</v>
      </c>
      <c r="W14" s="101">
        <f t="shared" si="12"/>
        <v>-1.5052366295676791</v>
      </c>
      <c r="X14" s="101">
        <f t="shared" si="13"/>
        <v>0.32844797227108585</v>
      </c>
      <c r="Y14" s="101">
        <f t="shared" si="14"/>
        <v>2.4217735905938329</v>
      </c>
      <c r="Z14" s="101">
        <f t="shared" si="15"/>
        <v>-0.65659542267456739</v>
      </c>
      <c r="AB14" t="s">
        <v>590</v>
      </c>
      <c r="AC14" s="103">
        <f>CORREL($W$6:$W$511,O6:O511)</f>
        <v>0.28994557927952108</v>
      </c>
      <c r="AD14" s="103">
        <f t="shared" ref="AD14:AN14" si="24">CORREL($W$6:$W$511,P6:P511)</f>
        <v>0.38324755642888841</v>
      </c>
      <c r="AE14" s="103">
        <f t="shared" si="24"/>
        <v>0.18893267711276809</v>
      </c>
      <c r="AF14" s="103">
        <f t="shared" si="24"/>
        <v>-0.35550149455908636</v>
      </c>
      <c r="AG14" s="103">
        <f t="shared" si="24"/>
        <v>0.26151501167195862</v>
      </c>
      <c r="AH14" s="103">
        <f t="shared" si="24"/>
        <v>-0.23247054240825699</v>
      </c>
      <c r="AI14" s="103">
        <f t="shared" si="24"/>
        <v>0.46474117850305541</v>
      </c>
      <c r="AJ14" s="103">
        <f t="shared" si="24"/>
        <v>0.46085303506566916</v>
      </c>
      <c r="AK14" s="103">
        <f t="shared" si="24"/>
        <v>1</v>
      </c>
      <c r="AL14" s="103">
        <f t="shared" si="24"/>
        <v>-0.17738330230523211</v>
      </c>
      <c r="AM14" s="103">
        <f t="shared" si="24"/>
        <v>0.37404431671467725</v>
      </c>
      <c r="AN14" s="103">
        <f t="shared" si="24"/>
        <v>-0.50778668553756356</v>
      </c>
      <c r="AQ14" s="101">
        <v>6.7190565834729765E-2</v>
      </c>
      <c r="AR14" s="101">
        <v>-1.3710734785627485</v>
      </c>
      <c r="AS14" s="101">
        <v>-1.7050532133609761</v>
      </c>
      <c r="AT14" s="101">
        <v>-1.5482688686129629</v>
      </c>
      <c r="AU14" s="101">
        <v>-0.95549559648206428</v>
      </c>
      <c r="AV14" s="101">
        <v>0.16912318398709342</v>
      </c>
      <c r="AW14" s="101">
        <v>-1.851898140302938</v>
      </c>
      <c r="AX14" s="101">
        <v>-0.46230243402242771</v>
      </c>
      <c r="AY14" s="101">
        <v>0.96811233985497092</v>
      </c>
      <c r="AZ14" s="101">
        <v>0.47067841154157808</v>
      </c>
      <c r="BA14" s="101">
        <v>0.2982048412565988</v>
      </c>
      <c r="BB14" s="101">
        <v>-8.8048054627366187E-2</v>
      </c>
    </row>
    <row r="15" spans="1:54">
      <c r="B15">
        <v>0.17004</v>
      </c>
      <c r="C15">
        <v>7.87</v>
      </c>
      <c r="D15">
        <v>0.52400000000000002</v>
      </c>
      <c r="E15">
        <v>6.0039999999999996</v>
      </c>
      <c r="F15">
        <v>85.9</v>
      </c>
      <c r="G15">
        <v>6.5921000000000003</v>
      </c>
      <c r="H15">
        <v>5</v>
      </c>
      <c r="I15">
        <v>311</v>
      </c>
      <c r="J15">
        <v>15.2</v>
      </c>
      <c r="K15">
        <v>386.71</v>
      </c>
      <c r="L15">
        <v>17.100000000000001</v>
      </c>
      <c r="M15">
        <v>18.899999999999999</v>
      </c>
      <c r="O15" s="101">
        <f t="shared" si="4"/>
        <v>-0.4007293130031313</v>
      </c>
      <c r="P15" s="101">
        <f t="shared" si="5"/>
        <v>-0.47665353648553743</v>
      </c>
      <c r="Q15" s="101">
        <f t="shared" si="6"/>
        <v>-0.26515405343693799</v>
      </c>
      <c r="R15" s="101">
        <f t="shared" si="7"/>
        <v>-0.39980821475408734</v>
      </c>
      <c r="S15" s="101">
        <f t="shared" si="8"/>
        <v>0.61609042167839978</v>
      </c>
      <c r="T15" s="101">
        <f t="shared" si="9"/>
        <v>1.329634725552711</v>
      </c>
      <c r="U15" s="101">
        <f t="shared" si="10"/>
        <v>-0.52300144620353584</v>
      </c>
      <c r="V15" s="101">
        <f t="shared" si="11"/>
        <v>-0.57751896570390349</v>
      </c>
      <c r="W15" s="101">
        <f t="shared" si="12"/>
        <v>-1.5052366295676791</v>
      </c>
      <c r="X15" s="101">
        <f t="shared" si="13"/>
        <v>0.32932512093972011</v>
      </c>
      <c r="Y15" s="101">
        <f t="shared" si="14"/>
        <v>0.62334394991549091</v>
      </c>
      <c r="Z15" s="101">
        <f t="shared" si="15"/>
        <v>-0.39538547662988721</v>
      </c>
      <c r="AB15" t="s">
        <v>606</v>
      </c>
      <c r="AC15" s="103">
        <f>CORREL($X$6:$X$511,O6:O511)</f>
        <v>-0.38506394199422411</v>
      </c>
      <c r="AD15" s="103">
        <f t="shared" ref="AD15:AN15" si="25">CORREL($X$6:$X$511,P6:P511)</f>
        <v>-0.35697653510419286</v>
      </c>
      <c r="AE15" s="103">
        <f t="shared" si="25"/>
        <v>-0.38005063779240011</v>
      </c>
      <c r="AF15" s="103">
        <f t="shared" si="25"/>
        <v>0.12806863509254318</v>
      </c>
      <c r="AG15" s="103">
        <f t="shared" si="25"/>
        <v>-0.27353397663851359</v>
      </c>
      <c r="AH15" s="103">
        <f t="shared" si="25"/>
        <v>0.29151167313303955</v>
      </c>
      <c r="AI15" s="103">
        <f t="shared" si="25"/>
        <v>-0.44441281557512546</v>
      </c>
      <c r="AJ15" s="103">
        <f t="shared" si="25"/>
        <v>-0.44180800672281345</v>
      </c>
      <c r="AK15" s="103">
        <f t="shared" si="25"/>
        <v>-0.17738330230523211</v>
      </c>
      <c r="AL15" s="103">
        <f t="shared" si="25"/>
        <v>1</v>
      </c>
      <c r="AM15" s="103">
        <f t="shared" si="25"/>
        <v>-0.36608690169159713</v>
      </c>
      <c r="AN15" s="103">
        <f t="shared" si="25"/>
        <v>0.33346081965706664</v>
      </c>
      <c r="AQ15" s="101">
        <v>-0.9192655294585641</v>
      </c>
      <c r="AR15" s="101">
        <v>-0.69466113755226822</v>
      </c>
      <c r="AS15" s="101">
        <v>-0.9628128708303515</v>
      </c>
      <c r="AT15" s="101">
        <v>-1.1534244734506958</v>
      </c>
      <c r="AU15" s="101">
        <v>-0.71624055554719268</v>
      </c>
      <c r="AV15" s="101">
        <v>-0.19740628955312908</v>
      </c>
      <c r="AW15" s="101">
        <v>-1.2239523369942173</v>
      </c>
      <c r="AX15" s="101">
        <v>-1.7459331717698257E-2</v>
      </c>
      <c r="AY15" s="101">
        <v>5.942449784169393E-2</v>
      </c>
      <c r="AZ15" s="101">
        <v>0.78362624350367116</v>
      </c>
      <c r="BA15" s="101">
        <v>9.1160448880840322E-2</v>
      </c>
      <c r="BB15" s="101">
        <v>-0.17414009250860929</v>
      </c>
    </row>
    <row r="16" spans="1:54">
      <c r="B16">
        <v>0.22489000000000001</v>
      </c>
      <c r="C16">
        <v>7.87</v>
      </c>
      <c r="D16">
        <v>0.52400000000000002</v>
      </c>
      <c r="E16">
        <v>6.3769999999999998</v>
      </c>
      <c r="F16">
        <v>94.3</v>
      </c>
      <c r="G16">
        <v>6.3467000000000002</v>
      </c>
      <c r="H16">
        <v>5</v>
      </c>
      <c r="I16">
        <v>311</v>
      </c>
      <c r="J16">
        <v>15.2</v>
      </c>
      <c r="K16">
        <v>392.52</v>
      </c>
      <c r="L16">
        <v>20.45</v>
      </c>
      <c r="M16">
        <v>15</v>
      </c>
      <c r="O16" s="101">
        <f t="shared" si="4"/>
        <v>-0.39434624119448364</v>
      </c>
      <c r="P16" s="101">
        <f t="shared" si="5"/>
        <v>-0.47665353648553743</v>
      </c>
      <c r="Q16" s="101">
        <f t="shared" si="6"/>
        <v>-0.26515405343693799</v>
      </c>
      <c r="R16" s="101">
        <f t="shared" si="7"/>
        <v>0.13158947143301486</v>
      </c>
      <c r="S16" s="101">
        <f t="shared" si="8"/>
        <v>0.91479922545435044</v>
      </c>
      <c r="T16" s="101">
        <f t="shared" si="9"/>
        <v>1.2129791389041076</v>
      </c>
      <c r="U16" s="101">
        <f t="shared" si="10"/>
        <v>-0.52300144620353584</v>
      </c>
      <c r="V16" s="101">
        <f t="shared" si="11"/>
        <v>-0.57751896570390349</v>
      </c>
      <c r="W16" s="101">
        <f t="shared" si="12"/>
        <v>-1.5052366295676791</v>
      </c>
      <c r="X16" s="101">
        <f t="shared" si="13"/>
        <v>0.39302804299929434</v>
      </c>
      <c r="Y16" s="101">
        <f t="shared" si="14"/>
        <v>1.0929261242157593</v>
      </c>
      <c r="Z16" s="101">
        <f t="shared" si="15"/>
        <v>-0.81985163895249258</v>
      </c>
      <c r="AB16" t="s">
        <v>608</v>
      </c>
      <c r="AC16" s="103">
        <f>CORREL($Y$6:$Y$511,O6:O511)</f>
        <v>0.45562147944794645</v>
      </c>
      <c r="AD16" s="103">
        <f t="shared" ref="AD16:AN16" si="26">CORREL($Y$6:$Y$511,P6:P511)</f>
        <v>0.60379971647662156</v>
      </c>
      <c r="AE16" s="103">
        <f t="shared" si="26"/>
        <v>0.59087892088084581</v>
      </c>
      <c r="AF16" s="103">
        <f t="shared" si="26"/>
        <v>-0.61380827186639586</v>
      </c>
      <c r="AG16" s="103">
        <f t="shared" si="26"/>
        <v>0.60233852872624061</v>
      </c>
      <c r="AH16" s="103">
        <f t="shared" si="26"/>
        <v>-0.49699583086368521</v>
      </c>
      <c r="AI16" s="103">
        <f t="shared" si="26"/>
        <v>0.48867633497506652</v>
      </c>
      <c r="AJ16" s="103">
        <f t="shared" si="26"/>
        <v>0.54399341200156981</v>
      </c>
      <c r="AK16" s="103">
        <f t="shared" si="26"/>
        <v>0.37404431671467725</v>
      </c>
      <c r="AL16" s="103">
        <f t="shared" si="26"/>
        <v>-0.36608690169159713</v>
      </c>
      <c r="AM16" s="103">
        <f t="shared" si="26"/>
        <v>1.0000000000000002</v>
      </c>
      <c r="AN16" s="103">
        <f t="shared" si="26"/>
        <v>-0.7376627261740154</v>
      </c>
      <c r="AQ16" s="101">
        <v>-0.64877349745154234</v>
      </c>
      <c r="AR16" s="101">
        <v>-0.62466675786777515</v>
      </c>
      <c r="AS16" s="101">
        <v>-1.10680373425043</v>
      </c>
      <c r="AT16" s="101">
        <v>-1.1890009512951727</v>
      </c>
      <c r="AU16" s="101">
        <v>-0.6911830239280834</v>
      </c>
      <c r="AV16" s="101">
        <v>0.18324126620947065</v>
      </c>
      <c r="AW16" s="101">
        <v>-1.7978474344422122</v>
      </c>
      <c r="AX16" s="101">
        <v>0.30409788628436474</v>
      </c>
      <c r="AY16" s="101">
        <v>0.19828681394746128</v>
      </c>
      <c r="AZ16" s="101">
        <v>0.54525330910660719</v>
      </c>
      <c r="BA16" s="101">
        <v>-9.5320392093623973E-2</v>
      </c>
      <c r="BB16" s="101">
        <v>-0.20203175335697748</v>
      </c>
    </row>
    <row r="17" spans="2:55">
      <c r="B17">
        <v>0.11747</v>
      </c>
      <c r="C17">
        <v>7.87</v>
      </c>
      <c r="D17">
        <v>0.52400000000000002</v>
      </c>
      <c r="E17">
        <v>6.0090000000000003</v>
      </c>
      <c r="F17">
        <v>82.9</v>
      </c>
      <c r="G17">
        <v>6.2267000000000001</v>
      </c>
      <c r="H17">
        <v>5</v>
      </c>
      <c r="I17">
        <v>311</v>
      </c>
      <c r="J17">
        <v>15.2</v>
      </c>
      <c r="K17">
        <v>396.9</v>
      </c>
      <c r="L17">
        <v>13.27</v>
      </c>
      <c r="M17">
        <v>18.899999999999999</v>
      </c>
      <c r="O17" s="101">
        <f t="shared" si="4"/>
        <v>-0.40684705384142866</v>
      </c>
      <c r="P17" s="101">
        <f t="shared" si="5"/>
        <v>-0.47665353648553743</v>
      </c>
      <c r="Q17" s="101">
        <f t="shared" si="6"/>
        <v>-0.26515405343693799</v>
      </c>
      <c r="R17" s="101">
        <f t="shared" si="7"/>
        <v>-0.39268492137356209</v>
      </c>
      <c r="S17" s="101">
        <f t="shared" si="8"/>
        <v>0.50940870604413158</v>
      </c>
      <c r="T17" s="101">
        <f t="shared" si="9"/>
        <v>1.1559348422544238</v>
      </c>
      <c r="U17" s="101">
        <f t="shared" si="10"/>
        <v>-0.52300144620353584</v>
      </c>
      <c r="V17" s="101">
        <f t="shared" si="11"/>
        <v>-0.57751896570390349</v>
      </c>
      <c r="W17" s="101">
        <f t="shared" si="12"/>
        <v>-1.5052366295676791</v>
      </c>
      <c r="X17" s="101">
        <f t="shared" si="13"/>
        <v>0.44105193260702835</v>
      </c>
      <c r="Y17" s="101">
        <f t="shared" si="14"/>
        <v>8.6478359596079149E-2</v>
      </c>
      <c r="Z17" s="101">
        <f t="shared" si="15"/>
        <v>-0.39538547662988721</v>
      </c>
      <c r="AB17" t="s">
        <v>592</v>
      </c>
      <c r="AC17" s="103">
        <f>CORREL($Z$6:$Z$511,O6:O511)</f>
        <v>-0.38830460858681221</v>
      </c>
      <c r="AD17" s="103">
        <f t="shared" ref="AD17:AN17" si="27">CORREL($Z$6:$Z$511,P6:P511)</f>
        <v>-0.48372516002837385</v>
      </c>
      <c r="AE17" s="103">
        <f t="shared" si="27"/>
        <v>-0.42732077237328275</v>
      </c>
      <c r="AF17" s="103">
        <f t="shared" si="27"/>
        <v>0.69535994707154003</v>
      </c>
      <c r="AG17" s="103">
        <f t="shared" si="27"/>
        <v>-0.37695456500459673</v>
      </c>
      <c r="AH17" s="103">
        <f t="shared" si="27"/>
        <v>0.24992873408590399</v>
      </c>
      <c r="AI17" s="103">
        <f t="shared" si="27"/>
        <v>-0.38162623063977802</v>
      </c>
      <c r="AJ17" s="103">
        <f t="shared" si="27"/>
        <v>-0.46853593356776702</v>
      </c>
      <c r="AK17" s="103">
        <f t="shared" si="27"/>
        <v>-0.50778668553756356</v>
      </c>
      <c r="AL17" s="103">
        <f t="shared" si="27"/>
        <v>0.33346081965706664</v>
      </c>
      <c r="AM17" s="103">
        <f t="shared" si="27"/>
        <v>-0.7376627261740154</v>
      </c>
      <c r="AN17" s="103">
        <f t="shared" si="27"/>
        <v>0.99999999999999978</v>
      </c>
      <c r="AQ17" s="101">
        <v>-1.0992196328402384</v>
      </c>
      <c r="AR17" s="101">
        <v>-0.53172272721862546</v>
      </c>
      <c r="AS17" s="101">
        <v>-0.91347073268448586</v>
      </c>
      <c r="AT17" s="101">
        <v>-0.95657178328183967</v>
      </c>
      <c r="AU17" s="101">
        <v>-0.71055081763954164</v>
      </c>
      <c r="AV17" s="101">
        <v>-0.29224613209529648</v>
      </c>
      <c r="AW17" s="101">
        <v>-0.92392215983435477</v>
      </c>
      <c r="AX17" s="101">
        <v>2.7746242970577595E-2</v>
      </c>
      <c r="AY17" s="101">
        <v>-0.25283077909434371</v>
      </c>
      <c r="AZ17" s="101">
        <v>0.79943895635652162</v>
      </c>
      <c r="BA17" s="101">
        <v>-0.114576626859378</v>
      </c>
      <c r="BB17" s="101">
        <v>-0.20670619663963005</v>
      </c>
    </row>
    <row r="18" spans="2:55">
      <c r="B18">
        <v>9.3780000000000002E-2</v>
      </c>
      <c r="C18">
        <v>7.87</v>
      </c>
      <c r="D18">
        <v>0.52400000000000002</v>
      </c>
      <c r="E18">
        <v>5.8890000000000002</v>
      </c>
      <c r="F18">
        <v>39</v>
      </c>
      <c r="G18">
        <v>5.4508999999999999</v>
      </c>
      <c r="H18">
        <v>5</v>
      </c>
      <c r="I18">
        <v>311</v>
      </c>
      <c r="J18">
        <v>15.2</v>
      </c>
      <c r="K18">
        <v>390.5</v>
      </c>
      <c r="L18">
        <v>15.71</v>
      </c>
      <c r="M18">
        <v>21.7</v>
      </c>
      <c r="O18" s="101">
        <f t="shared" si="4"/>
        <v>-0.40960393572195491</v>
      </c>
      <c r="P18" s="101">
        <f t="shared" si="5"/>
        <v>-0.47665353648553743</v>
      </c>
      <c r="Q18" s="101">
        <f t="shared" si="6"/>
        <v>-0.26515405343693799</v>
      </c>
      <c r="R18" s="101">
        <f t="shared" si="7"/>
        <v>-0.5636439625061419</v>
      </c>
      <c r="S18" s="101">
        <f t="shared" si="8"/>
        <v>-1.0517003994039935</v>
      </c>
      <c r="T18" s="101">
        <f t="shared" si="9"/>
        <v>0.78714346441421834</v>
      </c>
      <c r="U18" s="101">
        <f t="shared" si="10"/>
        <v>-0.52300144620353584</v>
      </c>
      <c r="V18" s="101">
        <f t="shared" si="11"/>
        <v>-0.57751896570390349</v>
      </c>
      <c r="W18" s="101">
        <f t="shared" si="12"/>
        <v>-1.5052366295676791</v>
      </c>
      <c r="X18" s="101">
        <f t="shared" si="13"/>
        <v>0.37088003911627559</v>
      </c>
      <c r="Y18" s="101">
        <f t="shared" si="14"/>
        <v>0.42850239102672272</v>
      </c>
      <c r="Z18" s="101">
        <f t="shared" si="15"/>
        <v>-9.0640539577760082E-2</v>
      </c>
      <c r="AQ18" s="101">
        <v>-1.3814315977452289</v>
      </c>
      <c r="AR18" s="101">
        <v>-0.7781946394054835</v>
      </c>
      <c r="AS18" s="101">
        <v>-0.53141853328941979</v>
      </c>
      <c r="AT18" s="101">
        <v>-1.0927093783540383</v>
      </c>
      <c r="AU18" s="101">
        <v>-0.82391040239165403</v>
      </c>
      <c r="AV18" s="101">
        <v>-0.88591076070427421</v>
      </c>
      <c r="AW18" s="101">
        <v>-0.2101838623500788</v>
      </c>
      <c r="AX18" s="101">
        <v>-1.6427201456094553E-3</v>
      </c>
      <c r="AY18" s="101">
        <v>0.28935082685882901</v>
      </c>
      <c r="AZ18" s="101">
        <v>-0.33513576395989103</v>
      </c>
      <c r="BA18" s="101">
        <v>9.0627404728234592E-2</v>
      </c>
      <c r="BB18" s="101">
        <v>-9.1447969390652889E-2</v>
      </c>
    </row>
    <row r="19" spans="2:55">
      <c r="B19">
        <v>0.62975999999999999</v>
      </c>
      <c r="C19">
        <v>8.14</v>
      </c>
      <c r="D19">
        <v>0.53800000000000003</v>
      </c>
      <c r="E19">
        <v>5.9489999999999998</v>
      </c>
      <c r="F19">
        <v>61.8</v>
      </c>
      <c r="G19">
        <v>4.7074999999999996</v>
      </c>
      <c r="H19">
        <v>4</v>
      </c>
      <c r="I19">
        <v>307</v>
      </c>
      <c r="J19">
        <v>21</v>
      </c>
      <c r="K19">
        <v>396.9</v>
      </c>
      <c r="L19">
        <v>8.26</v>
      </c>
      <c r="M19">
        <v>20.399999999999999</v>
      </c>
      <c r="O19" s="101">
        <f t="shared" si="4"/>
        <v>-0.3472302105077526</v>
      </c>
      <c r="P19" s="101">
        <f t="shared" si="5"/>
        <v>-0.43725801312807383</v>
      </c>
      <c r="Q19" s="101">
        <f t="shared" si="6"/>
        <v>-0.14421743255530298</v>
      </c>
      <c r="R19" s="101">
        <f t="shared" si="7"/>
        <v>-0.47816444193985264</v>
      </c>
      <c r="S19" s="101">
        <f t="shared" si="8"/>
        <v>-0.24091936058355523</v>
      </c>
      <c r="T19" s="101">
        <f t="shared" si="9"/>
        <v>0.43375404666942735</v>
      </c>
      <c r="U19" s="101">
        <f t="shared" si="10"/>
        <v>-0.63796179884427828</v>
      </c>
      <c r="V19" s="101">
        <f t="shared" si="11"/>
        <v>-0.60127609725515552</v>
      </c>
      <c r="W19" s="101">
        <f t="shared" si="12"/>
        <v>1.1764658292772154</v>
      </c>
      <c r="X19" s="101">
        <f t="shared" si="13"/>
        <v>0.44105193260702835</v>
      </c>
      <c r="Y19" s="101">
        <f t="shared" si="14"/>
        <v>-0.61579229510372546</v>
      </c>
      <c r="Z19" s="101">
        <f t="shared" si="15"/>
        <v>-0.23212926035196199</v>
      </c>
      <c r="AB19" s="120" t="s">
        <v>392</v>
      </c>
      <c r="AC19" s="120"/>
      <c r="AD19" s="120"/>
      <c r="AE19" s="120"/>
      <c r="AF19" s="120"/>
      <c r="AG19" s="120"/>
      <c r="AH19" s="120"/>
      <c r="AI19" s="120"/>
      <c r="AJ19" s="120"/>
      <c r="AK19" s="120"/>
      <c r="AL19" s="120"/>
      <c r="AM19" s="120"/>
      <c r="AN19" s="120"/>
      <c r="AQ19" s="101">
        <v>-0.77496871227433994</v>
      </c>
      <c r="AR19" s="101">
        <v>-1.1049028902123963</v>
      </c>
      <c r="AS19" s="101">
        <v>-0.10720192481348406</v>
      </c>
      <c r="AT19" s="101">
        <v>0.7871757920643403</v>
      </c>
      <c r="AU19" s="101">
        <v>0.49313197105564921</v>
      </c>
      <c r="AV19" s="101">
        <v>0.40572910363087195</v>
      </c>
      <c r="AW19" s="101">
        <v>0.41678023340995801</v>
      </c>
      <c r="AX19" s="101">
        <v>1.7156863467165273E-2</v>
      </c>
      <c r="AY19" s="101">
        <v>-0.64835613420943461</v>
      </c>
      <c r="AZ19" s="101">
        <v>7.5922499724442205E-2</v>
      </c>
      <c r="BA19" s="101">
        <v>0.3453913267407418</v>
      </c>
      <c r="BB19" s="101">
        <v>8.8621001591586812E-2</v>
      </c>
      <c r="BC19" s="9"/>
    </row>
    <row r="20" spans="2:55">
      <c r="B20">
        <v>0.63795999999999997</v>
      </c>
      <c r="C20">
        <v>8.14</v>
      </c>
      <c r="D20">
        <v>0.53800000000000003</v>
      </c>
      <c r="E20">
        <v>6.0960000000000001</v>
      </c>
      <c r="F20">
        <v>84.5</v>
      </c>
      <c r="G20">
        <v>4.4619</v>
      </c>
      <c r="H20">
        <v>4</v>
      </c>
      <c r="I20">
        <v>307</v>
      </c>
      <c r="J20">
        <v>21</v>
      </c>
      <c r="K20">
        <v>380.02</v>
      </c>
      <c r="L20">
        <v>10.26</v>
      </c>
      <c r="M20">
        <v>18.2</v>
      </c>
      <c r="O20" s="101">
        <f t="shared" si="4"/>
        <v>-0.34627595000035222</v>
      </c>
      <c r="P20" s="101">
        <f t="shared" si="5"/>
        <v>-0.43725801312807383</v>
      </c>
      <c r="Q20" s="101">
        <f t="shared" si="6"/>
        <v>-0.14421743255530298</v>
      </c>
      <c r="R20" s="101">
        <f t="shared" si="7"/>
        <v>-0.26873961655244216</v>
      </c>
      <c r="S20" s="101">
        <f t="shared" si="8"/>
        <v>0.56630562104907445</v>
      </c>
      <c r="T20" s="101">
        <f t="shared" si="9"/>
        <v>0.31700338619307478</v>
      </c>
      <c r="U20" s="101">
        <f t="shared" si="10"/>
        <v>-0.63796179884427828</v>
      </c>
      <c r="V20" s="101">
        <f t="shared" si="11"/>
        <v>-0.60127609725515552</v>
      </c>
      <c r="W20" s="101">
        <f t="shared" si="12"/>
        <v>1.1764658292772154</v>
      </c>
      <c r="X20" s="101">
        <f t="shared" si="13"/>
        <v>0.25597356352516737</v>
      </c>
      <c r="Y20" s="101">
        <f t="shared" si="14"/>
        <v>-0.33544472835729644</v>
      </c>
      <c r="Z20" s="101">
        <f t="shared" si="15"/>
        <v>-0.47157171089291888</v>
      </c>
      <c r="AB20" s="9"/>
      <c r="AC20" s="102" t="s">
        <v>193</v>
      </c>
      <c r="AD20" s="102" t="s">
        <v>194</v>
      </c>
      <c r="AE20" s="102" t="s">
        <v>195</v>
      </c>
      <c r="AF20" s="102" t="s">
        <v>378</v>
      </c>
      <c r="AG20" s="102" t="s">
        <v>379</v>
      </c>
      <c r="AH20" s="102" t="s">
        <v>380</v>
      </c>
      <c r="AI20" s="102" t="s">
        <v>381</v>
      </c>
      <c r="AJ20" s="102" t="s">
        <v>382</v>
      </c>
      <c r="AK20" s="102" t="s">
        <v>383</v>
      </c>
      <c r="AL20" s="102" t="s">
        <v>384</v>
      </c>
      <c r="AM20" s="102" t="s">
        <v>385</v>
      </c>
      <c r="AN20" s="102" t="s">
        <v>386</v>
      </c>
      <c r="AO20" s="9"/>
      <c r="AQ20" s="101">
        <v>-0.34690054714265028</v>
      </c>
      <c r="AR20" s="101">
        <v>-0.9428552262995451</v>
      </c>
      <c r="AS20" s="101">
        <v>-0.38630377905145241</v>
      </c>
      <c r="AT20" s="101">
        <v>0.64480942279165132</v>
      </c>
      <c r="AU20" s="101">
        <v>0.66383519173041006</v>
      </c>
      <c r="AV20" s="101">
        <v>0.88840312858572412</v>
      </c>
      <c r="AW20" s="101">
        <v>-4.3301307517141549E-2</v>
      </c>
      <c r="AX20" s="101">
        <v>-3.4497678526515529E-3</v>
      </c>
      <c r="AY20" s="101">
        <v>-0.65110727590625173</v>
      </c>
      <c r="AZ20" s="101">
        <v>0.33679616647501148</v>
      </c>
      <c r="BA20" s="101">
        <v>0.17634435349223626</v>
      </c>
      <c r="BB20" s="101">
        <v>6.0994983764456043E-2</v>
      </c>
      <c r="BC20" s="9"/>
    </row>
    <row r="21" spans="2:55">
      <c r="B21">
        <v>0.62739</v>
      </c>
      <c r="C21">
        <v>8.14</v>
      </c>
      <c r="D21">
        <v>0.53800000000000003</v>
      </c>
      <c r="E21">
        <v>5.8339999999999996</v>
      </c>
      <c r="F21">
        <v>56.5</v>
      </c>
      <c r="G21">
        <v>4.4985999999999997</v>
      </c>
      <c r="H21">
        <v>4</v>
      </c>
      <c r="I21">
        <v>307</v>
      </c>
      <c r="J21">
        <v>21</v>
      </c>
      <c r="K21">
        <v>395.62</v>
      </c>
      <c r="L21">
        <v>8.4700000000000006</v>
      </c>
      <c r="M21">
        <v>19.899999999999999</v>
      </c>
      <c r="O21" s="101">
        <f t="shared" si="4"/>
        <v>-0.34750601506903783</v>
      </c>
      <c r="P21" s="101">
        <f t="shared" si="5"/>
        <v>-0.43725801312807383</v>
      </c>
      <c r="Q21" s="101">
        <f t="shared" si="6"/>
        <v>-0.14421743255530298</v>
      </c>
      <c r="R21" s="101">
        <f t="shared" si="7"/>
        <v>-0.64200018969190853</v>
      </c>
      <c r="S21" s="101">
        <f t="shared" si="8"/>
        <v>-0.42939039153742897</v>
      </c>
      <c r="T21" s="101">
        <f t="shared" si="9"/>
        <v>0.33444943358510298</v>
      </c>
      <c r="U21" s="101">
        <f t="shared" si="10"/>
        <v>-0.63796179884427828</v>
      </c>
      <c r="V21" s="101">
        <f t="shared" si="11"/>
        <v>-0.60127609725515552</v>
      </c>
      <c r="W21" s="101">
        <f t="shared" si="12"/>
        <v>1.1764658292772154</v>
      </c>
      <c r="X21" s="101">
        <f t="shared" si="13"/>
        <v>0.42701755390887808</v>
      </c>
      <c r="Y21" s="101">
        <f t="shared" si="14"/>
        <v>-0.58635580059535031</v>
      </c>
      <c r="Z21" s="101">
        <f t="shared" si="15"/>
        <v>-0.28654799911127038</v>
      </c>
      <c r="AB21" s="9" t="s">
        <v>199</v>
      </c>
      <c r="AC21" s="104">
        <v>6.1922013839841901</v>
      </c>
      <c r="AD21" s="104">
        <v>1.5155941285121322</v>
      </c>
      <c r="AE21" s="104">
        <v>1.1698572585814948</v>
      </c>
      <c r="AF21" s="104">
        <v>0.80984371289722534</v>
      </c>
      <c r="AG21" s="104">
        <v>0.60298717909947297</v>
      </c>
      <c r="AH21" s="104">
        <v>0.49243732334174684</v>
      </c>
      <c r="AI21" s="104">
        <v>0.34214872609571734</v>
      </c>
      <c r="AJ21" s="104">
        <v>0.25952170225300342</v>
      </c>
      <c r="AK21" s="104">
        <v>0.21730289799957184</v>
      </c>
      <c r="AL21" s="104">
        <v>0.1938597086501265</v>
      </c>
      <c r="AM21" s="104">
        <v>0.14008349685892635</v>
      </c>
      <c r="AN21" s="104">
        <v>6.416248172639312E-2</v>
      </c>
      <c r="AO21" s="98"/>
      <c r="AQ21" s="101">
        <v>-0.74042377448903518</v>
      </c>
      <c r="AR21" s="101">
        <v>-1.2371747174262417</v>
      </c>
      <c r="AS21" s="101">
        <v>-0.11381795393628077</v>
      </c>
      <c r="AT21" s="101">
        <v>0.74899120127721097</v>
      </c>
      <c r="AU21" s="101">
        <v>0.46626143806771908</v>
      </c>
      <c r="AV21" s="101">
        <v>0.30643112819097063</v>
      </c>
      <c r="AW21" s="101">
        <v>0.56847111395882965</v>
      </c>
      <c r="AX21" s="101">
        <v>-2.5782617641064154E-2</v>
      </c>
      <c r="AY21" s="101">
        <v>-0.637157182707773</v>
      </c>
      <c r="AZ21" s="101">
        <v>-6.2618742663654164E-2</v>
      </c>
      <c r="BA21" s="101">
        <v>0.30944830148298907</v>
      </c>
      <c r="BB21" s="101">
        <v>9.2053367232234173E-2</v>
      </c>
      <c r="BC21" s="9"/>
    </row>
    <row r="22" spans="2:55">
      <c r="B22">
        <v>1.05393</v>
      </c>
      <c r="C22">
        <v>8.14</v>
      </c>
      <c r="D22">
        <v>0.53800000000000003</v>
      </c>
      <c r="E22">
        <v>5.9349999999999996</v>
      </c>
      <c r="F22">
        <v>29.3</v>
      </c>
      <c r="G22">
        <v>4.4985999999999997</v>
      </c>
      <c r="H22">
        <v>4</v>
      </c>
      <c r="I22">
        <v>307</v>
      </c>
      <c r="J22">
        <v>21</v>
      </c>
      <c r="K22">
        <v>386.85</v>
      </c>
      <c r="L22">
        <v>6.58</v>
      </c>
      <c r="M22">
        <v>23.1</v>
      </c>
      <c r="O22" s="101">
        <f t="shared" si="4"/>
        <v>-0.29786817643165242</v>
      </c>
      <c r="P22" s="101">
        <f t="shared" si="5"/>
        <v>-0.43725801312807383</v>
      </c>
      <c r="Q22" s="101">
        <f t="shared" si="6"/>
        <v>-0.14421743255530298</v>
      </c>
      <c r="R22" s="101">
        <f t="shared" si="7"/>
        <v>-0.49810966340532059</v>
      </c>
      <c r="S22" s="101">
        <f t="shared" si="8"/>
        <v>-1.3966379466214609</v>
      </c>
      <c r="T22" s="101">
        <f t="shared" si="9"/>
        <v>0.33444943358510298</v>
      </c>
      <c r="U22" s="101">
        <f t="shared" si="10"/>
        <v>-0.63796179884427828</v>
      </c>
      <c r="V22" s="101">
        <f t="shared" si="11"/>
        <v>-0.60127609725515552</v>
      </c>
      <c r="W22" s="101">
        <f t="shared" si="12"/>
        <v>1.1764658292772154</v>
      </c>
      <c r="X22" s="101">
        <f t="shared" si="13"/>
        <v>0.33086013110983081</v>
      </c>
      <c r="Y22" s="101">
        <f t="shared" si="14"/>
        <v>-0.85128425117072581</v>
      </c>
      <c r="Z22" s="101">
        <f t="shared" si="15"/>
        <v>6.1731928948303663E-2</v>
      </c>
      <c r="AB22" s="11" t="s">
        <v>393</v>
      </c>
      <c r="AC22" s="104">
        <f>AC21/12*100</f>
        <v>51.601678199868253</v>
      </c>
      <c r="AD22" s="104">
        <f t="shared" ref="AD22:AN22" si="28">AD21/12*100</f>
        <v>12.629951070934434</v>
      </c>
      <c r="AE22" s="104">
        <f t="shared" si="28"/>
        <v>9.7488104881791227</v>
      </c>
      <c r="AF22" s="104">
        <f t="shared" si="28"/>
        <v>6.7486976074768776</v>
      </c>
      <c r="AG22" s="104">
        <f t="shared" si="28"/>
        <v>5.024893159162275</v>
      </c>
      <c r="AH22" s="104">
        <f t="shared" si="28"/>
        <v>4.1036443611812237</v>
      </c>
      <c r="AI22" s="104">
        <f t="shared" si="28"/>
        <v>2.8512393841309778</v>
      </c>
      <c r="AJ22" s="104">
        <f t="shared" si="28"/>
        <v>2.1626808521083616</v>
      </c>
      <c r="AK22" s="104">
        <f t="shared" si="28"/>
        <v>1.8108574833297653</v>
      </c>
      <c r="AL22" s="104">
        <f t="shared" si="28"/>
        <v>1.6154975720843876</v>
      </c>
      <c r="AM22" s="104">
        <f t="shared" si="28"/>
        <v>1.1673624738243862</v>
      </c>
      <c r="AN22" s="104">
        <f t="shared" si="28"/>
        <v>0.53468734771994264</v>
      </c>
      <c r="AO22" s="4"/>
      <c r="AQ22" s="101">
        <v>-1.2087846710688133</v>
      </c>
      <c r="AR22" s="101">
        <v>-1.1249920362767902</v>
      </c>
      <c r="AS22" s="101">
        <v>0.39229717280318765</v>
      </c>
      <c r="AT22" s="101">
        <v>0.73878994303074053</v>
      </c>
      <c r="AU22" s="101">
        <v>0.47068271253477478</v>
      </c>
      <c r="AV22" s="101">
        <v>-7.9709845561869982E-2</v>
      </c>
      <c r="AW22" s="101">
        <v>1.0639454597322031</v>
      </c>
      <c r="AX22" s="101">
        <v>9.8995993151216141E-2</v>
      </c>
      <c r="AY22" s="101">
        <v>-0.52236389176151343</v>
      </c>
      <c r="AZ22" s="101">
        <v>-0.52523114675812244</v>
      </c>
      <c r="BA22" s="101">
        <v>0.48493430903350865</v>
      </c>
      <c r="BB22" s="101">
        <v>0.14766811136890412</v>
      </c>
      <c r="BC22" s="9"/>
    </row>
    <row r="23" spans="2:55">
      <c r="B23">
        <v>0.78420000000000001</v>
      </c>
      <c r="C23">
        <v>8.14</v>
      </c>
      <c r="D23">
        <v>0.53800000000000003</v>
      </c>
      <c r="E23">
        <v>5.99</v>
      </c>
      <c r="F23">
        <v>81.7</v>
      </c>
      <c r="G23">
        <v>4.2579000000000002</v>
      </c>
      <c r="H23">
        <v>4</v>
      </c>
      <c r="I23">
        <v>307</v>
      </c>
      <c r="J23">
        <v>21</v>
      </c>
      <c r="K23">
        <v>386.75</v>
      </c>
      <c r="L23">
        <v>14.67</v>
      </c>
      <c r="M23">
        <v>17.5</v>
      </c>
      <c r="O23" s="101">
        <f t="shared" si="4"/>
        <v>-0.32925752846349465</v>
      </c>
      <c r="P23" s="101">
        <f t="shared" si="5"/>
        <v>-0.43725801312807383</v>
      </c>
      <c r="Q23" s="101">
        <f t="shared" si="6"/>
        <v>-0.14421743255530298</v>
      </c>
      <c r="R23" s="101">
        <f t="shared" si="7"/>
        <v>-0.41975343621955408</v>
      </c>
      <c r="S23" s="101">
        <f t="shared" si="8"/>
        <v>0.46673601979042417</v>
      </c>
      <c r="T23" s="101">
        <f t="shared" si="9"/>
        <v>0.22002808188861256</v>
      </c>
      <c r="U23" s="101">
        <f t="shared" si="10"/>
        <v>-0.63796179884427828</v>
      </c>
      <c r="V23" s="101">
        <f t="shared" si="11"/>
        <v>-0.60127609725515552</v>
      </c>
      <c r="W23" s="101">
        <f t="shared" si="12"/>
        <v>1.1764658292772154</v>
      </c>
      <c r="X23" s="101">
        <f t="shared" si="13"/>
        <v>0.32976369527403754</v>
      </c>
      <c r="Y23" s="101">
        <f t="shared" si="14"/>
        <v>0.28272165631857948</v>
      </c>
      <c r="Z23" s="101">
        <f t="shared" si="15"/>
        <v>-0.54775794515595055</v>
      </c>
      <c r="AB23" s="11" t="s">
        <v>394</v>
      </c>
      <c r="AC23" s="104">
        <f>AC22</f>
        <v>51.601678199868253</v>
      </c>
      <c r="AD23" s="104">
        <f>AC23+AD22</f>
        <v>64.231629270802685</v>
      </c>
      <c r="AE23" s="104">
        <f t="shared" ref="AE23:AN23" si="29">AD23+AE22</f>
        <v>73.980439758981802</v>
      </c>
      <c r="AF23" s="104">
        <f t="shared" si="29"/>
        <v>80.729137366458673</v>
      </c>
      <c r="AG23" s="104">
        <f t="shared" si="29"/>
        <v>85.754030525620948</v>
      </c>
      <c r="AH23" s="104">
        <f t="shared" si="29"/>
        <v>89.857674886802172</v>
      </c>
      <c r="AI23" s="104">
        <f t="shared" si="29"/>
        <v>92.70891427093315</v>
      </c>
      <c r="AJ23" s="104">
        <f t="shared" si="29"/>
        <v>94.871595123041516</v>
      </c>
      <c r="AK23" s="104">
        <f t="shared" si="29"/>
        <v>96.682452606371285</v>
      </c>
      <c r="AL23" s="104">
        <f t="shared" si="29"/>
        <v>98.297950178455679</v>
      </c>
      <c r="AM23" s="104">
        <f t="shared" si="29"/>
        <v>99.465312652280062</v>
      </c>
      <c r="AN23" s="104">
        <f t="shared" si="29"/>
        <v>100</v>
      </c>
      <c r="AO23" s="4"/>
      <c r="AQ23" s="101">
        <v>-0.10700740429418978</v>
      </c>
      <c r="AR23" s="101">
        <v>-1.2121080761154235</v>
      </c>
      <c r="AS23" s="101">
        <v>-0.55790288284895062</v>
      </c>
      <c r="AT23" s="101">
        <v>0.54888281341476719</v>
      </c>
      <c r="AU23" s="101">
        <v>0.51709508587415942</v>
      </c>
      <c r="AV23" s="101">
        <v>0.91319458087478289</v>
      </c>
      <c r="AW23" s="101">
        <v>-0.17554733752735702</v>
      </c>
      <c r="AX23" s="101">
        <v>-8.728253409390424E-2</v>
      </c>
      <c r="AY23" s="101">
        <v>-0.29426580687568638</v>
      </c>
      <c r="AZ23" s="101">
        <v>4.865720213401209E-2</v>
      </c>
      <c r="BA23" s="101">
        <v>0.26895440481308552</v>
      </c>
      <c r="BB23" s="101">
        <v>9.9691214458668895E-2</v>
      </c>
      <c r="BC23" s="9"/>
    </row>
    <row r="24" spans="2:55">
      <c r="B24">
        <v>0.80271000000000003</v>
      </c>
      <c r="C24">
        <v>8.14</v>
      </c>
      <c r="D24">
        <v>0.53800000000000003</v>
      </c>
      <c r="E24">
        <v>5.4560000000000004</v>
      </c>
      <c r="F24">
        <v>36.6</v>
      </c>
      <c r="G24">
        <v>3.7965</v>
      </c>
      <c r="H24">
        <v>4</v>
      </c>
      <c r="I24">
        <v>307</v>
      </c>
      <c r="J24">
        <v>21</v>
      </c>
      <c r="K24">
        <v>288.99</v>
      </c>
      <c r="L24">
        <v>11.69</v>
      </c>
      <c r="M24">
        <v>20.2</v>
      </c>
      <c r="O24" s="101">
        <f t="shared" si="4"/>
        <v>-0.3271034599278872</v>
      </c>
      <c r="P24" s="101">
        <f t="shared" si="5"/>
        <v>-0.43725801312807383</v>
      </c>
      <c r="Q24" s="101">
        <f t="shared" si="6"/>
        <v>-0.14421743255530298</v>
      </c>
      <c r="R24" s="101">
        <f t="shared" si="7"/>
        <v>-1.1805211692595334</v>
      </c>
      <c r="S24" s="101">
        <f t="shared" si="8"/>
        <v>-1.1370457719114082</v>
      </c>
      <c r="T24" s="101">
        <f t="shared" si="9"/>
        <v>6.9276127057841456E-4</v>
      </c>
      <c r="U24" s="101">
        <f t="shared" si="10"/>
        <v>-0.63796179884427828</v>
      </c>
      <c r="V24" s="101">
        <f t="shared" si="11"/>
        <v>-0.60127609725515552</v>
      </c>
      <c r="W24" s="101">
        <f t="shared" si="12"/>
        <v>1.1764658292772154</v>
      </c>
      <c r="X24" s="101">
        <f t="shared" si="13"/>
        <v>-0.74211197779721438</v>
      </c>
      <c r="Y24" s="101">
        <f t="shared" si="14"/>
        <v>-0.13499621813359977</v>
      </c>
      <c r="Z24" s="101">
        <f t="shared" si="15"/>
        <v>-0.25389675585568527</v>
      </c>
      <c r="AB24" s="11"/>
      <c r="AC24" s="105"/>
      <c r="AD24" s="105"/>
      <c r="AE24" s="105"/>
      <c r="AF24" s="105"/>
      <c r="AG24" s="105"/>
      <c r="AH24" s="105"/>
      <c r="AI24" s="105"/>
      <c r="AJ24" s="105"/>
      <c r="AK24" s="105"/>
      <c r="AL24" s="105"/>
      <c r="AM24" s="105"/>
      <c r="AN24" s="105"/>
      <c r="AO24" s="11"/>
      <c r="AQ24" s="101">
        <v>-0.35557385200234504</v>
      </c>
      <c r="AR24" s="101">
        <v>-1.5826300656431234</v>
      </c>
      <c r="AS24" s="101">
        <v>0.22634830782226364</v>
      </c>
      <c r="AT24" s="101">
        <v>-0.19216311216430748</v>
      </c>
      <c r="AU24" s="101">
        <v>0.95170081432908837</v>
      </c>
      <c r="AV24" s="101">
        <v>7.5998326808745964E-2</v>
      </c>
      <c r="AW24" s="101">
        <v>1.1883363914137086</v>
      </c>
      <c r="AX24" s="101">
        <v>-0.38946354028375268</v>
      </c>
      <c r="AY24" s="101">
        <v>-0.27776995649345743</v>
      </c>
      <c r="AZ24" s="101">
        <v>-0.56638426178373547</v>
      </c>
      <c r="BA24" s="101">
        <v>0.40976738853316547</v>
      </c>
      <c r="BB24" s="101">
        <v>0.17609251489375657</v>
      </c>
      <c r="BC24" s="9"/>
    </row>
    <row r="25" spans="2:55">
      <c r="B25">
        <v>0.7258</v>
      </c>
      <c r="C25">
        <v>8.14</v>
      </c>
      <c r="D25">
        <v>0.53800000000000003</v>
      </c>
      <c r="E25">
        <v>5.7270000000000003</v>
      </c>
      <c r="F25">
        <v>69.5</v>
      </c>
      <c r="G25">
        <v>3.7965</v>
      </c>
      <c r="H25">
        <v>4</v>
      </c>
      <c r="I25">
        <v>307</v>
      </c>
      <c r="J25">
        <v>21</v>
      </c>
      <c r="K25">
        <v>390.95</v>
      </c>
      <c r="L25">
        <v>11.28</v>
      </c>
      <c r="M25">
        <v>18.2</v>
      </c>
      <c r="O25" s="101">
        <f t="shared" si="4"/>
        <v>-0.33605372524790711</v>
      </c>
      <c r="P25" s="101">
        <f t="shared" si="5"/>
        <v>-0.43725801312807383</v>
      </c>
      <c r="Q25" s="101">
        <f t="shared" si="6"/>
        <v>-0.14421743255530298</v>
      </c>
      <c r="R25" s="101">
        <f t="shared" si="7"/>
        <v>-0.79443866803512442</v>
      </c>
      <c r="S25" s="101">
        <f t="shared" si="8"/>
        <v>3.2897042877733304E-2</v>
      </c>
      <c r="T25" s="101">
        <f t="shared" si="9"/>
        <v>6.9276127057841456E-4</v>
      </c>
      <c r="U25" s="101">
        <f t="shared" si="10"/>
        <v>-0.63796179884427828</v>
      </c>
      <c r="V25" s="101">
        <f t="shared" si="11"/>
        <v>-0.60127609725515552</v>
      </c>
      <c r="W25" s="101">
        <f t="shared" si="12"/>
        <v>1.1764658292772154</v>
      </c>
      <c r="X25" s="101">
        <f t="shared" si="13"/>
        <v>0.37581400037734408</v>
      </c>
      <c r="Y25" s="101">
        <f t="shared" si="14"/>
        <v>-0.19246746931661773</v>
      </c>
      <c r="Z25" s="101">
        <f t="shared" si="15"/>
        <v>-0.47157171089291888</v>
      </c>
      <c r="AB25" s="120" t="s">
        <v>391</v>
      </c>
      <c r="AC25" s="120"/>
      <c r="AD25" s="120"/>
      <c r="AE25" s="120"/>
      <c r="AF25" s="120"/>
      <c r="AG25" s="120"/>
      <c r="AH25" s="120"/>
      <c r="AI25" s="120"/>
      <c r="AJ25" s="120"/>
      <c r="AK25" s="120"/>
      <c r="AL25" s="120"/>
      <c r="AM25" s="120"/>
      <c r="AN25" s="120"/>
      <c r="AQ25" s="101">
        <v>-0.27948153236076667</v>
      </c>
      <c r="AR25" s="101">
        <v>-1.2908240542091109</v>
      </c>
      <c r="AS25" s="101">
        <v>-0.48425521068488031</v>
      </c>
      <c r="AT25" s="101">
        <v>0.65179550285861443</v>
      </c>
      <c r="AU25" s="101">
        <v>0.47250161047903849</v>
      </c>
      <c r="AV25" s="101">
        <v>0.59097343274550551</v>
      </c>
      <c r="AW25" s="101">
        <v>0.41952515043845584</v>
      </c>
      <c r="AX25" s="101">
        <v>-0.21574703481796442</v>
      </c>
      <c r="AY25" s="101">
        <v>-0.52749842426797466</v>
      </c>
      <c r="AZ25" s="101">
        <v>-6.1838761664760586E-2</v>
      </c>
      <c r="BA25" s="101">
        <v>0.14465356905044729</v>
      </c>
      <c r="BB25" s="101">
        <v>9.3084486966365274E-2</v>
      </c>
      <c r="BC25" s="9"/>
    </row>
    <row r="26" spans="2:55">
      <c r="B26">
        <v>1.25179</v>
      </c>
      <c r="C26">
        <v>8.14</v>
      </c>
      <c r="D26">
        <v>0.53800000000000003</v>
      </c>
      <c r="E26">
        <v>5.57</v>
      </c>
      <c r="F26">
        <v>98.1</v>
      </c>
      <c r="G26">
        <v>3.7978999999999998</v>
      </c>
      <c r="H26">
        <v>4</v>
      </c>
      <c r="I26">
        <v>307</v>
      </c>
      <c r="J26">
        <v>21</v>
      </c>
      <c r="K26">
        <v>376.57</v>
      </c>
      <c r="L26">
        <v>21.02</v>
      </c>
      <c r="M26">
        <v>13.6</v>
      </c>
      <c r="O26" s="101">
        <f t="shared" si="4"/>
        <v>-0.27484256862747675</v>
      </c>
      <c r="P26" s="101">
        <f t="shared" si="5"/>
        <v>-0.43725801312807383</v>
      </c>
      <c r="Q26" s="101">
        <f t="shared" si="6"/>
        <v>-0.14421743255530298</v>
      </c>
      <c r="R26" s="101">
        <f t="shared" si="7"/>
        <v>-1.018110080183583</v>
      </c>
      <c r="S26" s="101">
        <f t="shared" si="8"/>
        <v>1.04992939859109</v>
      </c>
      <c r="T26" s="101">
        <f t="shared" si="9"/>
        <v>1.3582780648246518E-3</v>
      </c>
      <c r="U26" s="101">
        <f t="shared" si="10"/>
        <v>-0.63796179884427828</v>
      </c>
      <c r="V26" s="101">
        <f t="shared" si="11"/>
        <v>-0.60127609725515552</v>
      </c>
      <c r="W26" s="101">
        <f t="shared" si="12"/>
        <v>1.1764658292772154</v>
      </c>
      <c r="X26" s="101">
        <f t="shared" si="13"/>
        <v>0.21814652719030847</v>
      </c>
      <c r="Y26" s="101">
        <f t="shared" si="14"/>
        <v>1.1728251807384915</v>
      </c>
      <c r="Z26" s="101">
        <f t="shared" si="15"/>
        <v>-0.97222410747855603</v>
      </c>
      <c r="AB26" s="9"/>
      <c r="AC26" s="102" t="s">
        <v>193</v>
      </c>
      <c r="AD26" s="102" t="s">
        <v>194</v>
      </c>
      <c r="AE26" s="102" t="s">
        <v>195</v>
      </c>
      <c r="AF26" s="102" t="s">
        <v>378</v>
      </c>
      <c r="AG26" s="102" t="s">
        <v>379</v>
      </c>
      <c r="AH26" s="102" t="s">
        <v>380</v>
      </c>
      <c r="AI26" s="102" t="s">
        <v>381</v>
      </c>
      <c r="AJ26" s="102" t="s">
        <v>382</v>
      </c>
      <c r="AK26" s="102" t="s">
        <v>383</v>
      </c>
      <c r="AL26" s="102" t="s">
        <v>384</v>
      </c>
      <c r="AM26" s="102" t="s">
        <v>385</v>
      </c>
      <c r="AN26" s="102" t="s">
        <v>386</v>
      </c>
      <c r="AO26" s="9"/>
      <c r="AQ26" s="101">
        <v>0.69872770445627674</v>
      </c>
      <c r="AR26" s="101">
        <v>-1.7595232435068111</v>
      </c>
      <c r="AS26" s="101">
        <v>-1.116701126728743</v>
      </c>
      <c r="AT26" s="101">
        <v>0.22589338009567936</v>
      </c>
      <c r="AU26" s="101">
        <v>0.40936202540633154</v>
      </c>
      <c r="AV26" s="101">
        <v>1.2021497618834172</v>
      </c>
      <c r="AW26" s="101">
        <v>-0.46154187946045933</v>
      </c>
      <c r="AX26" s="101">
        <v>-0.42634891152913595</v>
      </c>
      <c r="AY26" s="101">
        <v>-3.3475058290047321E-2</v>
      </c>
      <c r="AZ26" s="101">
        <v>9.7155319126009693E-2</v>
      </c>
      <c r="BA26" s="101">
        <v>0.19055702915759659</v>
      </c>
      <c r="BB26" s="101">
        <v>0.1037350641371084</v>
      </c>
      <c r="BC26" s="9"/>
    </row>
    <row r="27" spans="2:55">
      <c r="B27">
        <v>0.85204000000000002</v>
      </c>
      <c r="C27">
        <v>8.14</v>
      </c>
      <c r="D27">
        <v>0.53800000000000003</v>
      </c>
      <c r="E27">
        <v>5.9649999999999999</v>
      </c>
      <c r="F27">
        <v>89.2</v>
      </c>
      <c r="G27">
        <v>4.0122999999999998</v>
      </c>
      <c r="H27">
        <v>4</v>
      </c>
      <c r="I27">
        <v>307</v>
      </c>
      <c r="J27">
        <v>21</v>
      </c>
      <c r="K27">
        <v>392.53</v>
      </c>
      <c r="L27">
        <v>13.83</v>
      </c>
      <c r="M27">
        <v>19.600000000000001</v>
      </c>
      <c r="O27" s="101">
        <f t="shared" si="4"/>
        <v>-0.32136276836324557</v>
      </c>
      <c r="P27" s="101">
        <f t="shared" si="5"/>
        <v>-0.43725801312807383</v>
      </c>
      <c r="Q27" s="101">
        <f t="shared" si="6"/>
        <v>-0.14421743255530298</v>
      </c>
      <c r="R27" s="101">
        <f t="shared" si="7"/>
        <v>-0.45536990312217535</v>
      </c>
      <c r="S27" s="101">
        <f t="shared" si="8"/>
        <v>0.73344030887609468</v>
      </c>
      <c r="T27" s="101">
        <f t="shared" si="9"/>
        <v>0.10327742141225958</v>
      </c>
      <c r="U27" s="101">
        <f t="shared" si="10"/>
        <v>-0.63796179884427828</v>
      </c>
      <c r="V27" s="101">
        <f t="shared" si="11"/>
        <v>-0.60127609725515552</v>
      </c>
      <c r="W27" s="101">
        <f t="shared" si="12"/>
        <v>1.1764658292772154</v>
      </c>
      <c r="X27" s="101">
        <f t="shared" si="13"/>
        <v>0.39313768658287351</v>
      </c>
      <c r="Y27" s="101">
        <f t="shared" si="14"/>
        <v>0.16497567828507934</v>
      </c>
      <c r="Z27" s="101">
        <f t="shared" si="15"/>
        <v>-0.3191992423668551</v>
      </c>
      <c r="AB27" t="s">
        <v>584</v>
      </c>
      <c r="AC27" s="104">
        <v>0.25736955091612851</v>
      </c>
      <c r="AD27" s="104">
        <v>4.4348961868758412E-2</v>
      </c>
      <c r="AE27" s="104">
        <v>0.39279290642218295</v>
      </c>
      <c r="AF27" s="104">
        <v>-0.14776048176350054</v>
      </c>
      <c r="AG27" s="104">
        <v>-0.64026262961359526</v>
      </c>
      <c r="AH27" s="104">
        <v>0.44642281880019941</v>
      </c>
      <c r="AI27" s="104">
        <v>0.30571416203260721</v>
      </c>
      <c r="AJ27" s="104">
        <v>0.17088588765626347</v>
      </c>
      <c r="AK27" s="104">
        <v>-2.8300697936244727E-2</v>
      </c>
      <c r="AL27" s="104">
        <v>0.10600177423378322</v>
      </c>
      <c r="AM27" s="104">
        <v>9.5412173954914928E-2</v>
      </c>
      <c r="AN27" s="104">
        <v>5.1392260701729676E-2</v>
      </c>
      <c r="AQ27" s="101">
        <v>-9.7429639463399581E-2</v>
      </c>
      <c r="AR27" s="101">
        <v>-0.99607721428127105</v>
      </c>
      <c r="AS27" s="101">
        <v>-0.68284585907389317</v>
      </c>
      <c r="AT27" s="101">
        <v>0.66957421489820623</v>
      </c>
      <c r="AU27" s="101">
        <v>0.50373730887870904</v>
      </c>
      <c r="AV27" s="101">
        <v>1.009016035462367</v>
      </c>
      <c r="AW27" s="101">
        <v>-0.10962336385179007</v>
      </c>
      <c r="AX27" s="101">
        <v>-0.26175839608078216</v>
      </c>
      <c r="AY27" s="101">
        <v>-0.31272671406799341</v>
      </c>
      <c r="AZ27" s="101">
        <v>0.23455229635932293</v>
      </c>
      <c r="BA27" s="101">
        <v>0.26988468782900465</v>
      </c>
      <c r="BB27" s="101">
        <v>0.1147693449634927</v>
      </c>
      <c r="BC27" s="9"/>
    </row>
    <row r="28" spans="2:55">
      <c r="B28">
        <v>1.23247</v>
      </c>
      <c r="C28">
        <v>8.14</v>
      </c>
      <c r="D28">
        <v>0.53800000000000003</v>
      </c>
      <c r="E28">
        <v>6.1420000000000003</v>
      </c>
      <c r="F28">
        <v>91.7</v>
      </c>
      <c r="G28">
        <v>3.9769000000000001</v>
      </c>
      <c r="H28">
        <v>4</v>
      </c>
      <c r="I28">
        <v>307</v>
      </c>
      <c r="J28">
        <v>21</v>
      </c>
      <c r="K28">
        <v>396.9</v>
      </c>
      <c r="L28">
        <v>18.72</v>
      </c>
      <c r="M28">
        <v>15.2</v>
      </c>
      <c r="O28" s="101">
        <f t="shared" si="4"/>
        <v>-0.27709089948149818</v>
      </c>
      <c r="P28" s="101">
        <f t="shared" si="5"/>
        <v>-0.43725801312807383</v>
      </c>
      <c r="Q28" s="101">
        <f t="shared" si="6"/>
        <v>-0.14421743255530298</v>
      </c>
      <c r="R28" s="101">
        <f t="shared" si="7"/>
        <v>-0.20320531745161957</v>
      </c>
      <c r="S28" s="101">
        <f t="shared" si="8"/>
        <v>0.8223417385713182</v>
      </c>
      <c r="T28" s="101">
        <f t="shared" si="9"/>
        <v>8.6449353900603043E-2</v>
      </c>
      <c r="U28" s="101">
        <f t="shared" si="10"/>
        <v>-0.63796179884427828</v>
      </c>
      <c r="V28" s="101">
        <f t="shared" si="11"/>
        <v>-0.60127609725515552</v>
      </c>
      <c r="W28" s="101">
        <f t="shared" si="12"/>
        <v>1.1764658292772154</v>
      </c>
      <c r="X28" s="101">
        <f t="shared" si="13"/>
        <v>0.44105193260702835</v>
      </c>
      <c r="Y28" s="101">
        <f t="shared" si="14"/>
        <v>0.85042547898009802</v>
      </c>
      <c r="Z28" s="101">
        <f t="shared" si="15"/>
        <v>-0.79808414344876921</v>
      </c>
      <c r="AB28" t="s">
        <v>595</v>
      </c>
      <c r="AC28" s="104">
        <v>0.33956339408972708</v>
      </c>
      <c r="AD28" s="104">
        <v>0.11072888873871368</v>
      </c>
      <c r="AE28" s="104">
        <v>-0.16044300260093619</v>
      </c>
      <c r="AF28" s="104">
        <v>0.12432131004249859</v>
      </c>
      <c r="AG28" s="104">
        <v>0.12627656579363924</v>
      </c>
      <c r="AH28" s="104">
        <v>-0.29580136312767391</v>
      </c>
      <c r="AI28" s="104">
        <v>0.30167271648795896</v>
      </c>
      <c r="AJ28" s="104">
        <v>0.56825394861488909</v>
      </c>
      <c r="AK28" s="104">
        <v>0.3985407642610635</v>
      </c>
      <c r="AL28" s="104">
        <v>0.31191396940156396</v>
      </c>
      <c r="AM28" s="104">
        <v>3.2582610306781473E-2</v>
      </c>
      <c r="AN28" s="104">
        <v>-0.23809280189070911</v>
      </c>
      <c r="AQ28" s="101">
        <v>0.23651180572336888</v>
      </c>
      <c r="AR28" s="101">
        <v>-1.238716273554308</v>
      </c>
      <c r="AS28" s="101">
        <v>-0.81305730359361927</v>
      </c>
      <c r="AT28" s="101">
        <v>0.52030984927947599</v>
      </c>
      <c r="AU28" s="101">
        <v>0.42620670975546804</v>
      </c>
      <c r="AV28" s="101">
        <v>1.2537527432733024</v>
      </c>
      <c r="AW28" s="101">
        <v>-0.62083539255266706</v>
      </c>
      <c r="AX28" s="101">
        <v>-1.6953998999428843E-3</v>
      </c>
      <c r="AY28" s="101">
        <v>-6.389604444645347E-2</v>
      </c>
      <c r="AZ28" s="101">
        <v>-8.6414550444089744E-2</v>
      </c>
      <c r="BA28" s="101">
        <v>0.19512986455615083</v>
      </c>
      <c r="BB28" s="101">
        <v>0.10158406200488793</v>
      </c>
      <c r="BC28" s="9"/>
    </row>
    <row r="29" spans="2:55">
      <c r="B29">
        <v>0.98843000000000003</v>
      </c>
      <c r="C29">
        <v>8.14</v>
      </c>
      <c r="D29">
        <v>0.53800000000000003</v>
      </c>
      <c r="E29">
        <v>5.8129999999999997</v>
      </c>
      <c r="F29">
        <v>100</v>
      </c>
      <c r="G29">
        <v>4.0952000000000002</v>
      </c>
      <c r="H29">
        <v>4</v>
      </c>
      <c r="I29">
        <v>307</v>
      </c>
      <c r="J29">
        <v>21</v>
      </c>
      <c r="K29">
        <v>394.54</v>
      </c>
      <c r="L29">
        <v>19.88</v>
      </c>
      <c r="M29">
        <v>14.5</v>
      </c>
      <c r="O29" s="101">
        <f t="shared" si="4"/>
        <v>-0.30549062316759451</v>
      </c>
      <c r="P29" s="101">
        <f t="shared" si="5"/>
        <v>-0.43725801312807383</v>
      </c>
      <c r="Q29" s="101">
        <f t="shared" si="6"/>
        <v>-0.14421743255530298</v>
      </c>
      <c r="R29" s="101">
        <f t="shared" si="7"/>
        <v>-0.67191802189010985</v>
      </c>
      <c r="S29" s="101">
        <f t="shared" si="8"/>
        <v>1.1174944851594601</v>
      </c>
      <c r="T29" s="101">
        <f t="shared" si="9"/>
        <v>0.14268552301441631</v>
      </c>
      <c r="U29" s="101">
        <f t="shared" si="10"/>
        <v>-0.63796179884427828</v>
      </c>
      <c r="V29" s="101">
        <f t="shared" si="11"/>
        <v>-0.60127609725515552</v>
      </c>
      <c r="W29" s="101">
        <f t="shared" si="12"/>
        <v>1.1764658292772154</v>
      </c>
      <c r="X29" s="101">
        <f t="shared" si="13"/>
        <v>0.41517604688231369</v>
      </c>
      <c r="Y29" s="101">
        <f t="shared" si="14"/>
        <v>1.0130270676930269</v>
      </c>
      <c r="Z29" s="101">
        <f t="shared" si="15"/>
        <v>-0.87427037771180094</v>
      </c>
      <c r="AB29" t="s">
        <v>598</v>
      </c>
      <c r="AC29" s="104">
        <v>0.33293893252766527</v>
      </c>
      <c r="AD29" s="104">
        <v>0.2538220597642718</v>
      </c>
      <c r="AE29" s="104">
        <v>-0.23443475488266902</v>
      </c>
      <c r="AF29" s="104">
        <v>-6.7161513937976883E-2</v>
      </c>
      <c r="AG29" s="104">
        <v>-2.6965777613083889E-2</v>
      </c>
      <c r="AH29" s="104">
        <v>-0.20620174313326511</v>
      </c>
      <c r="AI29" s="104">
        <v>-3.8014739850648023E-2</v>
      </c>
      <c r="AJ29" s="104">
        <v>0.12472080461223634</v>
      </c>
      <c r="AK29" s="104">
        <v>-0.51618422664428676</v>
      </c>
      <c r="AL29" s="104">
        <v>-0.2531280475627557</v>
      </c>
      <c r="AM29" s="104">
        <v>0.60465094961359578</v>
      </c>
      <c r="AN29" s="104">
        <v>9.4266957002950083E-2</v>
      </c>
      <c r="AQ29" s="101">
        <v>0.47736899215084699</v>
      </c>
      <c r="AR29" s="101">
        <v>-1.5292328646901741</v>
      </c>
      <c r="AS29" s="101">
        <v>-1.0554768829897185</v>
      </c>
      <c r="AT29" s="101">
        <v>0.4316390910434742</v>
      </c>
      <c r="AU29" s="101">
        <v>0.38449111420287285</v>
      </c>
      <c r="AV29" s="101">
        <v>1.2478074708820726</v>
      </c>
      <c r="AW29" s="101">
        <v>-0.63938031675979012</v>
      </c>
      <c r="AX29" s="101">
        <v>-0.25806193189442722</v>
      </c>
      <c r="AY29" s="101">
        <v>-7.7444360113593458E-2</v>
      </c>
      <c r="AZ29" s="101">
        <v>0.16981246904017336</v>
      </c>
      <c r="BA29" s="101">
        <v>0.22531996044828656</v>
      </c>
      <c r="BB29" s="101">
        <v>9.4060077017956156E-2</v>
      </c>
      <c r="BC29" s="9"/>
    </row>
    <row r="30" spans="2:55">
      <c r="B30">
        <v>0.75026000000000004</v>
      </c>
      <c r="C30">
        <v>8.14</v>
      </c>
      <c r="D30">
        <v>0.53800000000000003</v>
      </c>
      <c r="E30">
        <v>5.9240000000000004</v>
      </c>
      <c r="F30">
        <v>94.1</v>
      </c>
      <c r="G30">
        <v>4.3996000000000004</v>
      </c>
      <c r="H30">
        <v>4</v>
      </c>
      <c r="I30">
        <v>307</v>
      </c>
      <c r="J30">
        <v>21</v>
      </c>
      <c r="K30">
        <v>394.33</v>
      </c>
      <c r="L30">
        <v>16.3</v>
      </c>
      <c r="M30">
        <v>15.6</v>
      </c>
      <c r="O30" s="101">
        <f t="shared" si="4"/>
        <v>-0.33320723597827134</v>
      </c>
      <c r="P30" s="101">
        <f t="shared" si="5"/>
        <v>-0.43725801312807383</v>
      </c>
      <c r="Q30" s="101">
        <f t="shared" si="6"/>
        <v>-0.14421743255530298</v>
      </c>
      <c r="R30" s="101">
        <f t="shared" si="7"/>
        <v>-0.51378090884247263</v>
      </c>
      <c r="S30" s="101">
        <f t="shared" si="8"/>
        <v>0.90768711107873246</v>
      </c>
      <c r="T30" s="101">
        <f t="shared" si="9"/>
        <v>0.2873878888491142</v>
      </c>
      <c r="U30" s="101">
        <f t="shared" si="10"/>
        <v>-0.63796179884427828</v>
      </c>
      <c r="V30" s="101">
        <f t="shared" si="11"/>
        <v>-0.60127609725515552</v>
      </c>
      <c r="W30" s="101">
        <f t="shared" si="12"/>
        <v>1.1764658292772154</v>
      </c>
      <c r="X30" s="101">
        <f t="shared" si="13"/>
        <v>0.41287353162714796</v>
      </c>
      <c r="Y30" s="101">
        <f t="shared" si="14"/>
        <v>0.51120492321691924</v>
      </c>
      <c r="Z30" s="101">
        <f t="shared" si="15"/>
        <v>-0.75454915244132248</v>
      </c>
      <c r="AB30" t="s">
        <v>586</v>
      </c>
      <c r="AC30" s="104">
        <v>-0.20823294022127253</v>
      </c>
      <c r="AD30" s="104">
        <v>0.55472964745078102</v>
      </c>
      <c r="AE30" s="104">
        <v>0.24650194728825064</v>
      </c>
      <c r="AF30" s="104">
        <v>9.0154224367174338E-2</v>
      </c>
      <c r="AG30" s="104">
        <v>0.15785985074960729</v>
      </c>
      <c r="AH30" s="104">
        <v>0.28535482208432994</v>
      </c>
      <c r="AI30" s="104">
        <v>-0.41591696457599947</v>
      </c>
      <c r="AJ30" s="104">
        <v>0.47507135418269492</v>
      </c>
      <c r="AK30" s="104">
        <v>9.3230075312050631E-2</v>
      </c>
      <c r="AL30" s="104">
        <v>-0.25098396530907885</v>
      </c>
      <c r="AM30" s="104">
        <v>-5.7487828091818696E-2</v>
      </c>
      <c r="AN30" s="104">
        <v>-2.5687626506110182E-3</v>
      </c>
      <c r="AQ30" s="101">
        <v>0.13708349416761612</v>
      </c>
      <c r="AR30" s="101">
        <v>-1.3544283562612636</v>
      </c>
      <c r="AS30" s="101">
        <v>-0.80403141139355117</v>
      </c>
      <c r="AT30" s="101">
        <v>0.54002476322635773</v>
      </c>
      <c r="AU30" s="101">
        <v>0.46115764800641146</v>
      </c>
      <c r="AV30" s="101">
        <v>1.0908594382945511</v>
      </c>
      <c r="AW30" s="101">
        <v>-0.4721495852786135</v>
      </c>
      <c r="AX30" s="101">
        <v>-0.12461589617337643</v>
      </c>
      <c r="AY30" s="101">
        <v>-0.30469471872372234</v>
      </c>
      <c r="AZ30" s="101">
        <v>0.25508419357434237</v>
      </c>
      <c r="BA30" s="101">
        <v>0.22643848290776203</v>
      </c>
      <c r="BB30" s="101">
        <v>7.4704438627634054E-2</v>
      </c>
      <c r="BC30" s="9"/>
    </row>
    <row r="31" spans="2:55">
      <c r="B31">
        <v>0.84053999999999995</v>
      </c>
      <c r="C31">
        <v>8.14</v>
      </c>
      <c r="D31">
        <v>0.53800000000000003</v>
      </c>
      <c r="E31">
        <v>5.5990000000000002</v>
      </c>
      <c r="F31">
        <v>85.7</v>
      </c>
      <c r="G31">
        <v>4.4546000000000001</v>
      </c>
      <c r="H31">
        <v>4</v>
      </c>
      <c r="I31">
        <v>307</v>
      </c>
      <c r="J31">
        <v>21</v>
      </c>
      <c r="K31">
        <v>303.42</v>
      </c>
      <c r="L31">
        <v>16.510000000000002</v>
      </c>
      <c r="M31">
        <v>13.9</v>
      </c>
      <c r="O31" s="101">
        <f t="shared" si="4"/>
        <v>-0.32270106053825831</v>
      </c>
      <c r="P31" s="101">
        <f t="shared" si="5"/>
        <v>-0.43725801312807383</v>
      </c>
      <c r="Q31" s="101">
        <f t="shared" si="6"/>
        <v>-0.14421743255530298</v>
      </c>
      <c r="R31" s="101">
        <f t="shared" si="7"/>
        <v>-0.97679497857654296</v>
      </c>
      <c r="S31" s="101">
        <f t="shared" si="8"/>
        <v>0.6089783073027818</v>
      </c>
      <c r="T31" s="101">
        <f t="shared" si="9"/>
        <v>0.31353319148021913</v>
      </c>
      <c r="U31" s="101">
        <f t="shared" si="10"/>
        <v>-0.63796179884427828</v>
      </c>
      <c r="V31" s="101">
        <f t="shared" si="11"/>
        <v>-0.60127609725515552</v>
      </c>
      <c r="W31" s="101">
        <f t="shared" si="12"/>
        <v>1.1764658292772154</v>
      </c>
      <c r="X31" s="101">
        <f t="shared" si="13"/>
        <v>-0.58389628669228222</v>
      </c>
      <c r="Y31" s="101">
        <f t="shared" si="14"/>
        <v>0.54064141772529439</v>
      </c>
      <c r="Z31" s="101">
        <f t="shared" si="15"/>
        <v>-0.93957286422297093</v>
      </c>
      <c r="AB31" t="s">
        <v>600</v>
      </c>
      <c r="AC31" s="104">
        <v>0.29933038010515511</v>
      </c>
      <c r="AD31" s="104">
        <v>0.2221311734480983</v>
      </c>
      <c r="AE31" s="104">
        <v>-0.36146034988267223</v>
      </c>
      <c r="AF31" s="104">
        <v>5.399999508672948E-2</v>
      </c>
      <c r="AG31" s="104">
        <v>6.6568416752843043E-2</v>
      </c>
      <c r="AH31" s="104">
        <v>0.4179132046336213</v>
      </c>
      <c r="AI31" s="104">
        <v>-0.3468534015257953</v>
      </c>
      <c r="AJ31" s="104">
        <v>-0.19291669703884012</v>
      </c>
      <c r="AK31" s="104">
        <v>-0.1344972341930275</v>
      </c>
      <c r="AL31" s="104">
        <v>0.60377444477981779</v>
      </c>
      <c r="AM31" s="104">
        <v>-8.6460545401364802E-2</v>
      </c>
      <c r="AN31" s="104">
        <v>-2.7821473247074305E-2</v>
      </c>
      <c r="AQ31" s="101">
        <v>0.40739525256215398</v>
      </c>
      <c r="AR31" s="101">
        <v>-1.7052417363949963</v>
      </c>
      <c r="AS31" s="101">
        <v>-0.47547993576134223</v>
      </c>
      <c r="AT31" s="101">
        <v>-0.23498400408350895</v>
      </c>
      <c r="AU31" s="101">
        <v>0.92616806462021706</v>
      </c>
      <c r="AV31" s="101">
        <v>0.91896489581030616</v>
      </c>
      <c r="AW31" s="101">
        <v>-8.9419184227322063E-2</v>
      </c>
      <c r="AX31" s="101">
        <v>-0.30622584689627047</v>
      </c>
      <c r="AY31" s="101">
        <v>-0.35686000329142403</v>
      </c>
      <c r="AZ31" s="101">
        <v>0.24131643987276122</v>
      </c>
      <c r="BA31" s="101">
        <v>0.23883747617802759</v>
      </c>
      <c r="BB31" s="101">
        <v>7.9004707189154616E-2</v>
      </c>
      <c r="BC31" s="9"/>
    </row>
    <row r="32" spans="2:55">
      <c r="B32">
        <v>0.67191000000000001</v>
      </c>
      <c r="C32">
        <v>8.14</v>
      </c>
      <c r="D32">
        <v>0.53800000000000003</v>
      </c>
      <c r="E32">
        <v>5.8129999999999997</v>
      </c>
      <c r="F32">
        <v>90.3</v>
      </c>
      <c r="G32">
        <v>4.6820000000000004</v>
      </c>
      <c r="H32">
        <v>4</v>
      </c>
      <c r="I32">
        <v>307</v>
      </c>
      <c r="J32">
        <v>21</v>
      </c>
      <c r="K32">
        <v>376.88</v>
      </c>
      <c r="L32">
        <v>14.81</v>
      </c>
      <c r="M32">
        <v>16.600000000000001</v>
      </c>
      <c r="O32" s="101">
        <f t="shared" si="4"/>
        <v>-0.34232507875324941</v>
      </c>
      <c r="P32" s="101">
        <f t="shared" si="5"/>
        <v>-0.43725801312807383</v>
      </c>
      <c r="Q32" s="101">
        <f t="shared" si="6"/>
        <v>-0.14421743255530298</v>
      </c>
      <c r="R32" s="101">
        <f t="shared" si="7"/>
        <v>-0.67191802189010985</v>
      </c>
      <c r="S32" s="101">
        <f t="shared" si="8"/>
        <v>0.77255693794199287</v>
      </c>
      <c r="T32" s="101">
        <f t="shared" si="9"/>
        <v>0.42163213363136992</v>
      </c>
      <c r="U32" s="101">
        <f t="shared" si="10"/>
        <v>-0.63796179884427828</v>
      </c>
      <c r="V32" s="101">
        <f t="shared" si="11"/>
        <v>-0.60127609725515552</v>
      </c>
      <c r="W32" s="101">
        <f t="shared" si="12"/>
        <v>1.1764658292772154</v>
      </c>
      <c r="X32" s="101">
        <f t="shared" si="13"/>
        <v>0.22154547828126683</v>
      </c>
      <c r="Y32" s="101">
        <f t="shared" si="14"/>
        <v>0.30234598599082962</v>
      </c>
      <c r="Z32" s="101">
        <f t="shared" si="15"/>
        <v>-0.64571167492270554</v>
      </c>
      <c r="AB32" t="s">
        <v>602</v>
      </c>
      <c r="AC32" s="104">
        <v>-0.29665554282156481</v>
      </c>
      <c r="AD32" s="104">
        <v>-0.33731174865770647</v>
      </c>
      <c r="AE32" s="104">
        <v>0.30734471296140581</v>
      </c>
      <c r="AF32" s="104">
        <v>-9.9383195298421961E-2</v>
      </c>
      <c r="AG32" s="104">
        <v>-5.7083676337736478E-2</v>
      </c>
      <c r="AH32" s="104">
        <v>-0.18946702567909804</v>
      </c>
      <c r="AI32" s="104">
        <v>-0.41381616906855517</v>
      </c>
      <c r="AJ32" s="104">
        <v>0.21233987805607962</v>
      </c>
      <c r="AK32" s="104">
        <v>-4.1234734277048685E-2</v>
      </c>
      <c r="AL32" s="104">
        <v>0.48547648451586045</v>
      </c>
      <c r="AM32" s="104">
        <v>0.44773600886325582</v>
      </c>
      <c r="AN32" s="104">
        <v>-2.3127506496243032E-2</v>
      </c>
      <c r="AQ32" s="101">
        <v>2.9820145523641234E-2</v>
      </c>
      <c r="AR32" s="101">
        <v>-1.3971802722808362</v>
      </c>
      <c r="AS32" s="101">
        <v>-0.64598032286611184</v>
      </c>
      <c r="AT32" s="101">
        <v>0.43289363473793202</v>
      </c>
      <c r="AU32" s="101">
        <v>0.55565510582222966</v>
      </c>
      <c r="AV32" s="101">
        <v>0.94002073151078569</v>
      </c>
      <c r="AW32" s="101">
        <v>-0.27946648988188116</v>
      </c>
      <c r="AX32" s="101">
        <v>-0.19586823238312279</v>
      </c>
      <c r="AY32" s="101">
        <v>-0.39241047411091262</v>
      </c>
      <c r="AZ32" s="101">
        <v>0.37868057738140071</v>
      </c>
      <c r="BA32" s="101">
        <v>0.30885749966125425</v>
      </c>
      <c r="BB32" s="101">
        <v>7.7367391050419676E-2</v>
      </c>
      <c r="BC32" s="9"/>
    </row>
    <row r="33" spans="2:55">
      <c r="B33">
        <v>0.95577000000000001</v>
      </c>
      <c r="C33">
        <v>8.14</v>
      </c>
      <c r="D33">
        <v>0.53800000000000003</v>
      </c>
      <c r="E33">
        <v>6.0469999999999997</v>
      </c>
      <c r="F33">
        <v>88.8</v>
      </c>
      <c r="G33">
        <v>4.4534000000000002</v>
      </c>
      <c r="H33">
        <v>4</v>
      </c>
      <c r="I33">
        <v>307</v>
      </c>
      <c r="J33">
        <v>21</v>
      </c>
      <c r="K33">
        <v>306.38</v>
      </c>
      <c r="L33">
        <v>17.28</v>
      </c>
      <c r="M33">
        <v>14.8</v>
      </c>
      <c r="O33" s="101">
        <f t="shared" si="4"/>
        <v>-0.30929137294463072</v>
      </c>
      <c r="P33" s="101">
        <f t="shared" si="5"/>
        <v>-0.43725801312807383</v>
      </c>
      <c r="Q33" s="101">
        <f t="shared" si="6"/>
        <v>-0.14421743255530298</v>
      </c>
      <c r="R33" s="101">
        <f t="shared" si="7"/>
        <v>-0.33854789168157939</v>
      </c>
      <c r="S33" s="101">
        <f t="shared" si="8"/>
        <v>0.71921608012485871</v>
      </c>
      <c r="T33" s="101">
        <f t="shared" si="9"/>
        <v>0.31296274851372236</v>
      </c>
      <c r="U33" s="101">
        <f t="shared" si="10"/>
        <v>-0.63796179884427828</v>
      </c>
      <c r="V33" s="101">
        <f t="shared" si="11"/>
        <v>-0.60127609725515552</v>
      </c>
      <c r="W33" s="101">
        <f t="shared" si="12"/>
        <v>1.1764658292772154</v>
      </c>
      <c r="X33" s="101">
        <f t="shared" si="13"/>
        <v>-0.55144178595280913</v>
      </c>
      <c r="Y33" s="101">
        <f t="shared" si="14"/>
        <v>0.64857523092266955</v>
      </c>
      <c r="Z33" s="101">
        <f t="shared" si="15"/>
        <v>-0.84161913445621583</v>
      </c>
      <c r="AB33" t="s">
        <v>588</v>
      </c>
      <c r="AC33" s="104">
        <v>0.31929484080129433</v>
      </c>
      <c r="AD33" s="104">
        <v>0.14498519311650299</v>
      </c>
      <c r="AE33" s="104">
        <v>0.40865677645168041</v>
      </c>
      <c r="AF33" s="104">
        <v>0.17447586228289927</v>
      </c>
      <c r="AG33" s="104">
        <v>-0.10562690826839351</v>
      </c>
      <c r="AH33" s="104">
        <v>-0.25967803033601877</v>
      </c>
      <c r="AI33" s="104">
        <v>-0.23492577293569242</v>
      </c>
      <c r="AJ33" s="104">
        <v>-0.33432378434622845</v>
      </c>
      <c r="AK33" s="104">
        <v>-3.0670619747980837E-2</v>
      </c>
      <c r="AL33" s="104">
        <v>-7.7717627509785905E-2</v>
      </c>
      <c r="AM33" s="104">
        <v>-5.5128427242686344E-2</v>
      </c>
      <c r="AN33" s="104">
        <v>-0.65116496847199146</v>
      </c>
      <c r="AQ33" s="101">
        <v>0.31210618955397174</v>
      </c>
      <c r="AR33" s="101">
        <v>-1.3070114459413824</v>
      </c>
      <c r="AS33" s="101">
        <v>-0.37941609332469961</v>
      </c>
      <c r="AT33" s="101">
        <v>-0.15904952084582324</v>
      </c>
      <c r="AU33" s="101">
        <v>0.99301236671208593</v>
      </c>
      <c r="AV33" s="101">
        <v>1.1614483631324672</v>
      </c>
      <c r="AW33" s="101">
        <v>-0.41258478483951166</v>
      </c>
      <c r="AX33" s="101">
        <v>-7.097283741340743E-2</v>
      </c>
      <c r="AY33" s="101">
        <v>-0.20715305655372329</v>
      </c>
      <c r="AZ33" s="101">
        <v>0.12736169122117888</v>
      </c>
      <c r="BA33" s="101">
        <v>0.26437137521840642</v>
      </c>
      <c r="BB33" s="101">
        <v>9.4233066506971802E-2</v>
      </c>
      <c r="BC33" s="9"/>
    </row>
    <row r="34" spans="2:55">
      <c r="B34">
        <v>0.77298999999999995</v>
      </c>
      <c r="C34">
        <v>8.14</v>
      </c>
      <c r="D34">
        <v>0.53800000000000003</v>
      </c>
      <c r="E34">
        <v>6.4950000000000001</v>
      </c>
      <c r="F34">
        <v>94.4</v>
      </c>
      <c r="G34">
        <v>4.4546999999999999</v>
      </c>
      <c r="H34">
        <v>4</v>
      </c>
      <c r="I34">
        <v>307</v>
      </c>
      <c r="J34">
        <v>21</v>
      </c>
      <c r="K34">
        <v>387.94</v>
      </c>
      <c r="L34">
        <v>12.8</v>
      </c>
      <c r="M34">
        <v>18.399999999999999</v>
      </c>
      <c r="O34" s="101">
        <f t="shared" si="4"/>
        <v>-0.33056207240105051</v>
      </c>
      <c r="P34" s="101">
        <f t="shared" si="5"/>
        <v>-0.43725801312807383</v>
      </c>
      <c r="Q34" s="101">
        <f t="shared" si="6"/>
        <v>-0.14421743255530298</v>
      </c>
      <c r="R34" s="101">
        <f t="shared" si="7"/>
        <v>0.29969919521338539</v>
      </c>
      <c r="S34" s="101">
        <f t="shared" si="8"/>
        <v>0.91835528264215971</v>
      </c>
      <c r="T34" s="101">
        <f t="shared" si="9"/>
        <v>0.31358072839409373</v>
      </c>
      <c r="U34" s="101">
        <f t="shared" si="10"/>
        <v>-0.63796179884427828</v>
      </c>
      <c r="V34" s="101">
        <f t="shared" si="11"/>
        <v>-0.60127609725515552</v>
      </c>
      <c r="W34" s="101">
        <f t="shared" si="12"/>
        <v>1.1764658292772154</v>
      </c>
      <c r="X34" s="101">
        <f t="shared" si="13"/>
        <v>0.34281128171997438</v>
      </c>
      <c r="Y34" s="101">
        <f t="shared" si="14"/>
        <v>2.0596681410668498E-2</v>
      </c>
      <c r="Z34" s="101">
        <f t="shared" si="15"/>
        <v>-0.44980421538919557</v>
      </c>
      <c r="AB34" t="s">
        <v>604</v>
      </c>
      <c r="AC34" s="104">
        <v>0.34142148508194076</v>
      </c>
      <c r="AD34" s="104">
        <v>0.10986698806115489</v>
      </c>
      <c r="AE34" s="104">
        <v>0.29942155869620074</v>
      </c>
      <c r="AF34" s="104">
        <v>0.16553459978746959</v>
      </c>
      <c r="AG34" s="104">
        <v>-5.3793363191848138E-2</v>
      </c>
      <c r="AH34" s="104">
        <v>-0.39084644318713629</v>
      </c>
      <c r="AI34" s="104">
        <v>-0.18824973302761949</v>
      </c>
      <c r="AJ34" s="104">
        <v>-5.5875023618191334E-2</v>
      </c>
      <c r="AK34" s="104">
        <v>4.5044929099049523E-2</v>
      </c>
      <c r="AL34" s="104">
        <v>0.1100615782282806</v>
      </c>
      <c r="AM34" s="104">
        <v>-0.25899264878710465</v>
      </c>
      <c r="AN34" s="104">
        <v>0.69200520505970531</v>
      </c>
      <c r="AQ34" s="101">
        <v>-0.26407443177427026</v>
      </c>
      <c r="AR34" s="101">
        <v>-0.6320135886660001</v>
      </c>
      <c r="AS34" s="101">
        <v>-0.46470916747829105</v>
      </c>
      <c r="AT34" s="101">
        <v>0.70421085511430936</v>
      </c>
      <c r="AU34" s="101">
        <v>0.67677741764982269</v>
      </c>
      <c r="AV34" s="101">
        <v>1.2473336748478938</v>
      </c>
      <c r="AW34" s="101">
        <v>-0.54465048990876253</v>
      </c>
      <c r="AX34" s="101">
        <v>0.16881534688761951</v>
      </c>
      <c r="AY34" s="101">
        <v>-0.4163719799874489</v>
      </c>
      <c r="AZ34" s="101">
        <v>0.28713380954561074</v>
      </c>
      <c r="BA34" s="101">
        <v>0.20951830880758071</v>
      </c>
      <c r="BB34" s="101">
        <v>7.6785205304224613E-2</v>
      </c>
      <c r="BC34" s="9"/>
    </row>
    <row r="35" spans="2:55">
      <c r="B35">
        <v>1.0024500000000001</v>
      </c>
      <c r="C35">
        <v>8.14</v>
      </c>
      <c r="D35">
        <v>0.53800000000000003</v>
      </c>
      <c r="E35">
        <v>6.6740000000000004</v>
      </c>
      <c r="F35">
        <v>87.3</v>
      </c>
      <c r="G35">
        <v>4.2389999999999999</v>
      </c>
      <c r="H35">
        <v>4</v>
      </c>
      <c r="I35">
        <v>307</v>
      </c>
      <c r="J35">
        <v>21</v>
      </c>
      <c r="K35">
        <v>380.23</v>
      </c>
      <c r="L35">
        <v>11.98</v>
      </c>
      <c r="M35">
        <v>21</v>
      </c>
      <c r="O35" s="101">
        <f t="shared" si="4"/>
        <v>-0.30385907044640509</v>
      </c>
      <c r="P35" s="101">
        <f t="shared" si="5"/>
        <v>-0.43725801312807383</v>
      </c>
      <c r="Q35" s="101">
        <f t="shared" si="6"/>
        <v>-0.14421743255530298</v>
      </c>
      <c r="R35" s="101">
        <f t="shared" si="7"/>
        <v>0.55471309823615045</v>
      </c>
      <c r="S35" s="101">
        <f t="shared" si="8"/>
        <v>0.66587522230772467</v>
      </c>
      <c r="T35" s="101">
        <f t="shared" si="9"/>
        <v>0.2110436051662872</v>
      </c>
      <c r="U35" s="101">
        <f t="shared" si="10"/>
        <v>-0.63796179884427828</v>
      </c>
      <c r="V35" s="101">
        <f t="shared" si="11"/>
        <v>-0.60127609725515552</v>
      </c>
      <c r="W35" s="101">
        <f t="shared" si="12"/>
        <v>1.1764658292772154</v>
      </c>
      <c r="X35" s="101">
        <f t="shared" si="13"/>
        <v>0.2582760787803331</v>
      </c>
      <c r="Y35" s="101">
        <f t="shared" si="14"/>
        <v>-9.4345820955367435E-2</v>
      </c>
      <c r="Z35" s="101">
        <f t="shared" si="15"/>
        <v>-0.16682677384079175</v>
      </c>
      <c r="AB35" t="s">
        <v>590</v>
      </c>
      <c r="AC35" s="104">
        <v>0.21043015853550462</v>
      </c>
      <c r="AD35" s="104">
        <v>-0.3266058395859438</v>
      </c>
      <c r="AE35" s="104">
        <v>0.2612333020729129</v>
      </c>
      <c r="AF35" s="104">
        <v>0.59389444341453201</v>
      </c>
      <c r="AG35" s="104">
        <v>0.43705588168816928</v>
      </c>
      <c r="AH35" s="104">
        <v>0.36334922647007983</v>
      </c>
      <c r="AI35" s="104">
        <v>0.13823262062446035</v>
      </c>
      <c r="AJ35" s="104">
        <v>-1.4771394653678925E-2</v>
      </c>
      <c r="AK35" s="104">
        <v>-3.7176845402831213E-2</v>
      </c>
      <c r="AL35" s="104">
        <v>-7.1836339862731649E-2</v>
      </c>
      <c r="AM35" s="104">
        <v>0.26887378514216415</v>
      </c>
      <c r="AN35" s="104">
        <v>8.3016145426689877E-2</v>
      </c>
      <c r="AQ35" s="101">
        <v>-0.45310053910505349</v>
      </c>
      <c r="AR35" s="101">
        <v>-0.33617322958703144</v>
      </c>
      <c r="AS35" s="101">
        <v>-0.26613595786769717</v>
      </c>
      <c r="AT35" s="101">
        <v>0.72492314771772459</v>
      </c>
      <c r="AU35" s="101">
        <v>0.74444798470842954</v>
      </c>
      <c r="AV35" s="101">
        <v>1.2236137975355421</v>
      </c>
      <c r="AW35" s="101">
        <v>-0.38507634182280998</v>
      </c>
      <c r="AX35" s="101">
        <v>0.19926649854387923</v>
      </c>
      <c r="AY35" s="101">
        <v>-0.31493103450626575</v>
      </c>
      <c r="AZ35" s="101">
        <v>0.1151140309994336</v>
      </c>
      <c r="BA35" s="101">
        <v>0.27592727046409893</v>
      </c>
      <c r="BB35" s="101">
        <v>0.11554536518226723</v>
      </c>
      <c r="BC35" s="9"/>
    </row>
    <row r="36" spans="2:55">
      <c r="B36">
        <v>1.1308100000000001</v>
      </c>
      <c r="C36">
        <v>8.14</v>
      </c>
      <c r="D36">
        <v>0.53800000000000003</v>
      </c>
      <c r="E36">
        <v>5.7130000000000001</v>
      </c>
      <c r="F36">
        <v>94.1</v>
      </c>
      <c r="G36">
        <v>4.2329999999999997</v>
      </c>
      <c r="H36">
        <v>4</v>
      </c>
      <c r="I36">
        <v>307</v>
      </c>
      <c r="J36">
        <v>21</v>
      </c>
      <c r="K36">
        <v>360.17</v>
      </c>
      <c r="L36">
        <v>22.6</v>
      </c>
      <c r="M36">
        <v>12.7</v>
      </c>
      <c r="O36" s="101">
        <f t="shared" si="4"/>
        <v>-0.28892140230861074</v>
      </c>
      <c r="P36" s="101">
        <f t="shared" si="5"/>
        <v>-0.43725801312807383</v>
      </c>
      <c r="Q36" s="101">
        <f t="shared" si="6"/>
        <v>-0.14421743255530298</v>
      </c>
      <c r="R36" s="101">
        <f t="shared" si="7"/>
        <v>-0.81438388950059237</v>
      </c>
      <c r="S36" s="101">
        <f t="shared" si="8"/>
        <v>0.90768711107873246</v>
      </c>
      <c r="T36" s="101">
        <f t="shared" si="9"/>
        <v>0.20819139033380291</v>
      </c>
      <c r="U36" s="101">
        <f t="shared" si="10"/>
        <v>-0.63796179884427828</v>
      </c>
      <c r="V36" s="101">
        <f t="shared" si="11"/>
        <v>-0.60127609725515552</v>
      </c>
      <c r="W36" s="101">
        <f t="shared" si="12"/>
        <v>1.1764658292772154</v>
      </c>
      <c r="X36" s="101">
        <f t="shared" si="13"/>
        <v>3.8331050120254159E-2</v>
      </c>
      <c r="Y36" s="101">
        <f t="shared" si="14"/>
        <v>1.3942997584681707</v>
      </c>
      <c r="Z36" s="101">
        <f t="shared" si="15"/>
        <v>-1.0701778372453112</v>
      </c>
      <c r="AB36" t="s">
        <v>606</v>
      </c>
      <c r="AC36" s="104">
        <v>-0.20842335089270356</v>
      </c>
      <c r="AD36" s="104">
        <v>-7.947676927434702E-2</v>
      </c>
      <c r="AE36" s="104">
        <v>-0.3389767898651066</v>
      </c>
      <c r="AF36" s="104">
        <v>0.68323748522227079</v>
      </c>
      <c r="AG36" s="104">
        <v>-0.56770892950203999</v>
      </c>
      <c r="AH36" s="104">
        <v>-7.3244939739801757E-2</v>
      </c>
      <c r="AI36" s="104">
        <v>-0.15148589507114768</v>
      </c>
      <c r="AJ36" s="104">
        <v>0.10508599208637989</v>
      </c>
      <c r="AK36" s="104">
        <v>-6.5973756255182578E-3</v>
      </c>
      <c r="AL36" s="104">
        <v>-7.7333365674478932E-2</v>
      </c>
      <c r="AM36" s="104">
        <v>-2.442620833914633E-2</v>
      </c>
      <c r="AN36" s="104">
        <v>-1.5953627506772268E-2</v>
      </c>
      <c r="AQ36" s="101">
        <v>0.6847376321263805</v>
      </c>
      <c r="AR36" s="101">
        <v>-1.8374435181567859</v>
      </c>
      <c r="AS36" s="101">
        <v>-0.94357181421328484</v>
      </c>
      <c r="AT36" s="101">
        <v>3.71151542391569E-2</v>
      </c>
      <c r="AU36" s="101">
        <v>0.5080238974780753</v>
      </c>
      <c r="AV36" s="101">
        <v>1.2035464474683382</v>
      </c>
      <c r="AW36" s="101">
        <v>-0.67133655531999192</v>
      </c>
      <c r="AX36" s="101">
        <v>-0.25633364926790964</v>
      </c>
      <c r="AY36" s="101">
        <v>9.6958370085938272E-2</v>
      </c>
      <c r="AZ36" s="101">
        <v>-1.5835964155751669E-2</v>
      </c>
      <c r="BA36" s="101">
        <v>0.29716609761224133</v>
      </c>
      <c r="BB36" s="101">
        <v>0.10775051753295864</v>
      </c>
    </row>
    <row r="37" spans="2:55">
      <c r="B37">
        <v>1.3547199999999999</v>
      </c>
      <c r="C37">
        <v>8.14</v>
      </c>
      <c r="D37">
        <v>0.53800000000000003</v>
      </c>
      <c r="E37">
        <v>6.0720000000000001</v>
      </c>
      <c r="F37">
        <v>100</v>
      </c>
      <c r="G37">
        <v>4.1749999999999998</v>
      </c>
      <c r="H37">
        <v>4</v>
      </c>
      <c r="I37">
        <v>307</v>
      </c>
      <c r="J37">
        <v>21</v>
      </c>
      <c r="K37">
        <v>376.73</v>
      </c>
      <c r="L37">
        <v>13.04</v>
      </c>
      <c r="M37">
        <v>14.5</v>
      </c>
      <c r="O37" s="101">
        <f t="shared" si="4"/>
        <v>-0.26286427179494976</v>
      </c>
      <c r="P37" s="101">
        <f t="shared" si="5"/>
        <v>-0.43725801312807383</v>
      </c>
      <c r="Q37" s="101">
        <f t="shared" si="6"/>
        <v>-0.14421743255530298</v>
      </c>
      <c r="R37" s="101">
        <f t="shared" si="7"/>
        <v>-0.30293142477895812</v>
      </c>
      <c r="S37" s="101">
        <f t="shared" si="8"/>
        <v>1.1174944851594601</v>
      </c>
      <c r="T37" s="101">
        <f t="shared" si="9"/>
        <v>0.18061998028645584</v>
      </c>
      <c r="U37" s="101">
        <f t="shared" si="10"/>
        <v>-0.63796179884427828</v>
      </c>
      <c r="V37" s="101">
        <f t="shared" si="11"/>
        <v>-0.60127609725515552</v>
      </c>
      <c r="W37" s="101">
        <f t="shared" si="12"/>
        <v>1.1764658292772154</v>
      </c>
      <c r="X37" s="101">
        <f t="shared" si="13"/>
        <v>0.21990082452757756</v>
      </c>
      <c r="Y37" s="101">
        <f t="shared" si="14"/>
        <v>5.4238389420239758E-2</v>
      </c>
      <c r="Z37" s="101">
        <f t="shared" si="15"/>
        <v>-0.87427037771180094</v>
      </c>
      <c r="AB37" t="s">
        <v>608</v>
      </c>
      <c r="AC37" s="104">
        <v>0.32262406116645853</v>
      </c>
      <c r="AD37" s="104">
        <v>-0.24818918459425576</v>
      </c>
      <c r="AE37" s="104">
        <v>-0.19127052653034066</v>
      </c>
      <c r="AF37" s="104">
        <v>-0.20017776077091887</v>
      </c>
      <c r="AG37" s="104">
        <v>-0.11411200453610033</v>
      </c>
      <c r="AH37" s="104">
        <v>0.13836738634788417</v>
      </c>
      <c r="AI37" s="104">
        <v>-0.39657124505610419</v>
      </c>
      <c r="AJ37" s="104">
        <v>-8.8343793048351452E-2</v>
      </c>
      <c r="AK37" s="104">
        <v>0.62188056927019542</v>
      </c>
      <c r="AL37" s="104">
        <v>-0.3271361631916912</v>
      </c>
      <c r="AM37" s="104">
        <v>0.24860388331775707</v>
      </c>
      <c r="AN37" s="104">
        <v>6.9731124447152973E-2</v>
      </c>
      <c r="AQ37" s="101">
        <v>0.13162270503314646</v>
      </c>
      <c r="AR37" s="101">
        <v>-1.0819695393950131</v>
      </c>
      <c r="AS37" s="101">
        <v>-0.68653690161252967</v>
      </c>
      <c r="AT37" s="101">
        <v>0.51334507253895001</v>
      </c>
      <c r="AU37" s="101">
        <v>0.63355057069530329</v>
      </c>
      <c r="AV37" s="101">
        <v>1.2465794612185885</v>
      </c>
      <c r="AW37" s="101">
        <v>-0.38570505296114205</v>
      </c>
      <c r="AX37" s="101">
        <v>-3.2453915070397299E-3</v>
      </c>
      <c r="AY37" s="101">
        <v>-0.64077802969752984</v>
      </c>
      <c r="AZ37" s="101">
        <v>0.42889324528368933</v>
      </c>
      <c r="BA37" s="101">
        <v>-8.4293377000222991E-3</v>
      </c>
      <c r="BB37" s="101">
        <v>3.0683508699825446E-2</v>
      </c>
    </row>
    <row r="38" spans="2:55">
      <c r="B38">
        <v>1.3879900000000001</v>
      </c>
      <c r="C38">
        <v>8.14</v>
      </c>
      <c r="D38">
        <v>0.53800000000000003</v>
      </c>
      <c r="E38">
        <v>5.95</v>
      </c>
      <c r="F38">
        <v>82</v>
      </c>
      <c r="G38">
        <v>3.99</v>
      </c>
      <c r="H38">
        <v>4</v>
      </c>
      <c r="I38">
        <v>307</v>
      </c>
      <c r="J38">
        <v>21</v>
      </c>
      <c r="K38">
        <v>232.6</v>
      </c>
      <c r="L38">
        <v>27.71</v>
      </c>
      <c r="M38">
        <v>13.2</v>
      </c>
      <c r="O38" s="101">
        <f t="shared" si="4"/>
        <v>-0.2589925343460216</v>
      </c>
      <c r="P38" s="101">
        <f t="shared" si="5"/>
        <v>-0.43725801312807383</v>
      </c>
      <c r="Q38" s="101">
        <f t="shared" si="6"/>
        <v>-0.14421743255530298</v>
      </c>
      <c r="R38" s="101">
        <f t="shared" si="7"/>
        <v>-0.47673978326374733</v>
      </c>
      <c r="S38" s="101">
        <f t="shared" si="8"/>
        <v>0.47740419135385087</v>
      </c>
      <c r="T38" s="101">
        <f t="shared" si="9"/>
        <v>9.2676689618193572E-2</v>
      </c>
      <c r="U38" s="101">
        <f t="shared" si="10"/>
        <v>-0.63796179884427828</v>
      </c>
      <c r="V38" s="101">
        <f t="shared" si="11"/>
        <v>-0.60127609725515552</v>
      </c>
      <c r="W38" s="101">
        <f t="shared" si="12"/>
        <v>1.1764658292772154</v>
      </c>
      <c r="X38" s="101">
        <f t="shared" si="13"/>
        <v>-1.3603921456008961</v>
      </c>
      <c r="Y38" s="101">
        <f t="shared" si="14"/>
        <v>2.1105877915052966</v>
      </c>
      <c r="Z38" s="101">
        <f t="shared" si="15"/>
        <v>-1.0157590984860028</v>
      </c>
      <c r="AB38" t="s">
        <v>592</v>
      </c>
      <c r="AC38" s="104">
        <v>-0.27626053360721492</v>
      </c>
      <c r="AD38" s="104">
        <v>0.49277066171994327</v>
      </c>
      <c r="AE38" s="104">
        <v>5.2425250538987257E-2</v>
      </c>
      <c r="AF38" s="104">
        <v>0.1408575255732854</v>
      </c>
      <c r="AG38" s="104">
        <v>-1.9940325719979581E-2</v>
      </c>
      <c r="AH38" s="104">
        <v>-4.4562875486483446E-2</v>
      </c>
      <c r="AI38" s="104">
        <v>0.24412335092919191</v>
      </c>
      <c r="AJ38" s="104">
        <v>-0.43631642206005489</v>
      </c>
      <c r="AK38" s="104">
        <v>0.39281764145041748</v>
      </c>
      <c r="AL38" s="104">
        <v>0.16692208958716631</v>
      </c>
      <c r="AM38" s="104">
        <v>0.45626125341559898</v>
      </c>
      <c r="AN38" s="104">
        <v>0.12479275311341406</v>
      </c>
      <c r="AQ38" s="101">
        <v>1.0351876925729599</v>
      </c>
      <c r="AR38" s="101">
        <v>-1.7452227763359582</v>
      </c>
      <c r="AS38" s="101">
        <v>-0.38857582974202054</v>
      </c>
      <c r="AT38" s="101">
        <v>-1.0400019270901892</v>
      </c>
      <c r="AU38" s="101">
        <v>1.2313582185193557</v>
      </c>
      <c r="AV38" s="101">
        <v>1.3544563075236049</v>
      </c>
      <c r="AW38" s="101">
        <v>-0.664459360017433</v>
      </c>
      <c r="AX38" s="101">
        <v>-0.2663434089346301</v>
      </c>
      <c r="AY38" s="101">
        <v>0.66627518097487626</v>
      </c>
      <c r="AZ38" s="101">
        <v>-0.5303522663753244</v>
      </c>
      <c r="BA38" s="101">
        <v>0.50316030721603355</v>
      </c>
      <c r="BB38" s="101">
        <v>0.20211731693157953</v>
      </c>
    </row>
    <row r="39" spans="2:55">
      <c r="B39">
        <v>1.1517200000000001</v>
      </c>
      <c r="C39">
        <v>8.14</v>
      </c>
      <c r="D39">
        <v>0.53800000000000003</v>
      </c>
      <c r="E39">
        <v>5.7009999999999996</v>
      </c>
      <c r="F39">
        <v>95</v>
      </c>
      <c r="G39">
        <v>3.7871999999999999</v>
      </c>
      <c r="H39">
        <v>4</v>
      </c>
      <c r="I39">
        <v>307</v>
      </c>
      <c r="J39">
        <v>21</v>
      </c>
      <c r="K39">
        <v>358.77</v>
      </c>
      <c r="L39">
        <v>18.350000000000001</v>
      </c>
      <c r="M39">
        <v>13.1</v>
      </c>
      <c r="O39" s="101">
        <f t="shared" si="4"/>
        <v>-0.28648803801473977</v>
      </c>
      <c r="P39" s="101">
        <f t="shared" si="5"/>
        <v>-0.43725801312807383</v>
      </c>
      <c r="Q39" s="101">
        <f t="shared" si="6"/>
        <v>-0.14421743255530298</v>
      </c>
      <c r="R39" s="101">
        <f t="shared" si="7"/>
        <v>-0.83147979361385105</v>
      </c>
      <c r="S39" s="101">
        <f t="shared" si="8"/>
        <v>0.93969162576901322</v>
      </c>
      <c r="T39" s="101">
        <f t="shared" si="9"/>
        <v>-3.7281717197721171E-3</v>
      </c>
      <c r="U39" s="101">
        <f t="shared" si="10"/>
        <v>-0.63796179884427828</v>
      </c>
      <c r="V39" s="101">
        <f t="shared" si="11"/>
        <v>-0.60127609725515552</v>
      </c>
      <c r="W39" s="101">
        <f t="shared" si="12"/>
        <v>1.1764658292772154</v>
      </c>
      <c r="X39" s="101">
        <f t="shared" si="13"/>
        <v>2.2980948419151569E-2</v>
      </c>
      <c r="Y39" s="101">
        <f t="shared" si="14"/>
        <v>0.79856117913200908</v>
      </c>
      <c r="Z39" s="101">
        <f t="shared" si="15"/>
        <v>-1.0266428462378645</v>
      </c>
      <c r="AB39" s="9"/>
      <c r="AQ39" s="101">
        <v>0.56034359257180477</v>
      </c>
      <c r="AR39" s="101">
        <v>-1.597698432328519</v>
      </c>
      <c r="AS39" s="101">
        <v>-0.90209800692893438</v>
      </c>
      <c r="AT39" s="101">
        <v>0.17290189908411482</v>
      </c>
      <c r="AU39" s="101">
        <v>0.59382199731761487</v>
      </c>
      <c r="AV39" s="101">
        <v>1.1700347192626137</v>
      </c>
      <c r="AW39" s="101">
        <v>-0.33768127639498091</v>
      </c>
      <c r="AX39" s="101">
        <v>-0.28319108161003809</v>
      </c>
      <c r="AY39" s="101">
        <v>-0.25354608410693052</v>
      </c>
      <c r="AZ39" s="101">
        <v>0.10849597848972092</v>
      </c>
      <c r="BA39" s="101">
        <v>7.2865279958436002E-2</v>
      </c>
      <c r="BB39" s="101">
        <v>7.6066467419587336E-2</v>
      </c>
    </row>
    <row r="40" spans="2:55">
      <c r="B40">
        <v>1.6128199999999999</v>
      </c>
      <c r="C40">
        <v>8.14</v>
      </c>
      <c r="D40">
        <v>0.53800000000000003</v>
      </c>
      <c r="E40">
        <v>6.0960000000000001</v>
      </c>
      <c r="F40">
        <v>96.9</v>
      </c>
      <c r="G40">
        <v>3.7597999999999998</v>
      </c>
      <c r="H40">
        <v>4</v>
      </c>
      <c r="I40">
        <v>307</v>
      </c>
      <c r="J40">
        <v>21</v>
      </c>
      <c r="K40">
        <v>248.31</v>
      </c>
      <c r="L40">
        <v>20.34</v>
      </c>
      <c r="M40">
        <v>13.5</v>
      </c>
      <c r="O40" s="101">
        <f t="shared" si="4"/>
        <v>-0.23282834045835957</v>
      </c>
      <c r="P40" s="101">
        <f t="shared" si="5"/>
        <v>-0.43725801312807383</v>
      </c>
      <c r="Q40" s="101">
        <f t="shared" si="6"/>
        <v>-0.14421743255530298</v>
      </c>
      <c r="R40" s="101">
        <f t="shared" si="7"/>
        <v>-0.26873961655244216</v>
      </c>
      <c r="S40" s="101">
        <f t="shared" si="8"/>
        <v>1.0072567123373832</v>
      </c>
      <c r="T40" s="101">
        <f t="shared" si="9"/>
        <v>-1.675328612144995E-2</v>
      </c>
      <c r="U40" s="101">
        <f t="shared" si="10"/>
        <v>-0.63796179884427828</v>
      </c>
      <c r="V40" s="101">
        <f t="shared" si="11"/>
        <v>-0.60127609725515552</v>
      </c>
      <c r="W40" s="101">
        <f t="shared" si="12"/>
        <v>1.1764658292772154</v>
      </c>
      <c r="X40" s="101">
        <f t="shared" si="13"/>
        <v>-1.1881420757978132</v>
      </c>
      <c r="Y40" s="101">
        <f t="shared" si="14"/>
        <v>1.0775070080447058</v>
      </c>
      <c r="Z40" s="101">
        <f t="shared" si="15"/>
        <v>-0.98310785523041777</v>
      </c>
      <c r="AQ40" s="101">
        <v>0.81145513398510016</v>
      </c>
      <c r="AR40" s="101">
        <v>-1.2152706106797444</v>
      </c>
      <c r="AS40" s="101">
        <v>-0.4112587966609948</v>
      </c>
      <c r="AT40" s="101">
        <v>-0.65654165732354697</v>
      </c>
      <c r="AU40" s="101">
        <v>1.3084071868513802</v>
      </c>
      <c r="AV40" s="101">
        <v>1.5106400211626949</v>
      </c>
      <c r="AW40" s="101">
        <v>-0.48990104179011551</v>
      </c>
      <c r="AX40" s="101">
        <v>-0.19339007176225476</v>
      </c>
      <c r="AY40" s="101">
        <v>-1.2588075163091184E-2</v>
      </c>
      <c r="AZ40" s="101">
        <v>1.708982960596156E-2</v>
      </c>
      <c r="BA40" s="101">
        <v>0.15275432000614342</v>
      </c>
      <c r="BB40" s="101">
        <v>0.12000595609403369</v>
      </c>
    </row>
    <row r="41" spans="2:55">
      <c r="B41">
        <v>6.4170000000000005E-2</v>
      </c>
      <c r="C41">
        <v>5.96</v>
      </c>
      <c r="D41">
        <v>0.499</v>
      </c>
      <c r="E41">
        <v>5.9329999999999998</v>
      </c>
      <c r="F41">
        <v>68.2</v>
      </c>
      <c r="G41">
        <v>3.3603000000000001</v>
      </c>
      <c r="H41">
        <v>5</v>
      </c>
      <c r="I41">
        <v>279</v>
      </c>
      <c r="J41">
        <v>19.2</v>
      </c>
      <c r="K41">
        <v>396.9</v>
      </c>
      <c r="L41">
        <v>9.68</v>
      </c>
      <c r="M41">
        <v>18.899999999999999</v>
      </c>
      <c r="O41" s="101">
        <f t="shared" si="4"/>
        <v>-0.41304974713953119</v>
      </c>
      <c r="P41" s="101">
        <f t="shared" si="5"/>
        <v>-0.75534038690315009</v>
      </c>
      <c r="Q41" s="101">
        <f t="shared" si="6"/>
        <v>-0.48111230501128627</v>
      </c>
      <c r="R41" s="101">
        <f t="shared" si="7"/>
        <v>-0.50095898075752998</v>
      </c>
      <c r="S41" s="101">
        <f t="shared" si="8"/>
        <v>-1.3331700563782819E-2</v>
      </c>
      <c r="T41" s="101">
        <f t="shared" si="9"/>
        <v>-0.20666325705102198</v>
      </c>
      <c r="U41" s="101">
        <f t="shared" si="10"/>
        <v>-0.52300144620353584</v>
      </c>
      <c r="V41" s="101">
        <f t="shared" si="11"/>
        <v>-0.76757601811391951</v>
      </c>
      <c r="W41" s="101">
        <f t="shared" si="12"/>
        <v>0.34421334204948922</v>
      </c>
      <c r="X41" s="101">
        <f t="shared" si="13"/>
        <v>0.44105193260702835</v>
      </c>
      <c r="Y41" s="101">
        <f t="shared" si="14"/>
        <v>-0.41674552271376086</v>
      </c>
      <c r="Z41" s="101">
        <f t="shared" si="15"/>
        <v>-0.39538547662988721</v>
      </c>
      <c r="AB41" s="120" t="s">
        <v>611</v>
      </c>
      <c r="AC41" s="120"/>
      <c r="AD41" s="120"/>
      <c r="AE41" s="120"/>
      <c r="AF41" s="120"/>
      <c r="AG41" s="120"/>
      <c r="AH41" s="120"/>
      <c r="AI41" s="120"/>
      <c r="AJ41" s="120"/>
      <c r="AK41" s="120"/>
      <c r="AL41" s="120"/>
      <c r="AM41" s="120"/>
      <c r="AN41" s="120"/>
      <c r="AQ41" s="101">
        <v>-0.83511400280848225</v>
      </c>
      <c r="AR41" s="101">
        <v>-0.83425831848347098</v>
      </c>
      <c r="AS41" s="101">
        <v>-0.55461014853256452</v>
      </c>
      <c r="AT41" s="101">
        <v>0.28928338157729205</v>
      </c>
      <c r="AU41" s="101">
        <v>0.16590506162098387</v>
      </c>
      <c r="AV41" s="101">
        <v>0.51741209401512867</v>
      </c>
      <c r="AW41" s="101">
        <v>0.2795280254380802</v>
      </c>
      <c r="AX41" s="101">
        <v>-0.37078237207922271</v>
      </c>
      <c r="AY41" s="101">
        <v>-0.52611293162011041</v>
      </c>
      <c r="AZ41" s="101">
        <v>-0.17258431813057695</v>
      </c>
      <c r="BA41" s="101">
        <v>-0.3921029373401349</v>
      </c>
      <c r="BB41" s="101">
        <v>-0.12777095511439146</v>
      </c>
    </row>
    <row r="42" spans="2:55">
      <c r="B42">
        <v>9.7439999999999999E-2</v>
      </c>
      <c r="C42">
        <v>5.96</v>
      </c>
      <c r="D42">
        <v>0.499</v>
      </c>
      <c r="E42">
        <v>5.8410000000000002</v>
      </c>
      <c r="F42">
        <v>61.4</v>
      </c>
      <c r="G42">
        <v>3.3778999999999999</v>
      </c>
      <c r="H42">
        <v>5</v>
      </c>
      <c r="I42">
        <v>279</v>
      </c>
      <c r="J42">
        <v>19.2</v>
      </c>
      <c r="K42">
        <v>377.56</v>
      </c>
      <c r="L42">
        <v>11.41</v>
      </c>
      <c r="M42">
        <v>20</v>
      </c>
      <c r="O42" s="101">
        <f t="shared" si="4"/>
        <v>-0.40917800969060303</v>
      </c>
      <c r="P42" s="101">
        <f t="shared" si="5"/>
        <v>-0.75534038690315009</v>
      </c>
      <c r="Q42" s="101">
        <f t="shared" si="6"/>
        <v>-0.48111230501128627</v>
      </c>
      <c r="R42" s="101">
        <f t="shared" si="7"/>
        <v>-0.63202757895917394</v>
      </c>
      <c r="S42" s="101">
        <f t="shared" si="8"/>
        <v>-0.25514358933479092</v>
      </c>
      <c r="T42" s="101">
        <f t="shared" si="9"/>
        <v>-0.19829676020906845</v>
      </c>
      <c r="U42" s="101">
        <f t="shared" si="10"/>
        <v>-0.52300144620353584</v>
      </c>
      <c r="V42" s="101">
        <f t="shared" si="11"/>
        <v>-0.76757601811391951</v>
      </c>
      <c r="W42" s="101">
        <f t="shared" si="12"/>
        <v>0.34421334204948922</v>
      </c>
      <c r="X42" s="101">
        <f t="shared" si="13"/>
        <v>0.22900124196465943</v>
      </c>
      <c r="Y42" s="101">
        <f t="shared" si="14"/>
        <v>-0.17424487747809972</v>
      </c>
      <c r="Z42" s="101">
        <f t="shared" si="15"/>
        <v>-0.27566425135940853</v>
      </c>
      <c r="AB42" s="4"/>
      <c r="AC42" s="102" t="s">
        <v>193</v>
      </c>
      <c r="AD42" s="102" t="s">
        <v>194</v>
      </c>
      <c r="AE42" s="102" t="s">
        <v>195</v>
      </c>
      <c r="AF42" s="102" t="s">
        <v>378</v>
      </c>
      <c r="AG42" s="102" t="s">
        <v>379</v>
      </c>
      <c r="AH42" s="102" t="s">
        <v>380</v>
      </c>
      <c r="AI42" s="102" t="s">
        <v>381</v>
      </c>
      <c r="AJ42" s="102" t="s">
        <v>382</v>
      </c>
      <c r="AK42" s="102" t="s">
        <v>383</v>
      </c>
      <c r="AL42" s="7" t="s">
        <v>384</v>
      </c>
      <c r="AM42" s="7" t="s">
        <v>385</v>
      </c>
      <c r="AN42" s="7" t="s">
        <v>386</v>
      </c>
      <c r="AQ42" s="101">
        <v>-0.79232973922083527</v>
      </c>
      <c r="AR42" s="101">
        <v>-0.94766815069706645</v>
      </c>
      <c r="AS42" s="101">
        <v>-0.46364776218670567</v>
      </c>
      <c r="AT42" s="101">
        <v>8.6444992768945905E-2</v>
      </c>
      <c r="AU42" s="101">
        <v>0.21648459411350063</v>
      </c>
      <c r="AV42" s="101">
        <v>0.42284861128526152</v>
      </c>
      <c r="AW42" s="101">
        <v>0.38081706095586604</v>
      </c>
      <c r="AX42" s="101">
        <v>-0.47990491209157748</v>
      </c>
      <c r="AY42" s="101">
        <v>-0.3070299731052758</v>
      </c>
      <c r="AZ42" s="101">
        <v>-0.32416391195964939</v>
      </c>
      <c r="BA42" s="101">
        <v>-0.23945515495654221</v>
      </c>
      <c r="BB42" s="101">
        <v>-8.5468065159995929E-2</v>
      </c>
    </row>
    <row r="43" spans="2:55">
      <c r="B43">
        <v>8.0140000000000003E-2</v>
      </c>
      <c r="C43">
        <v>5.96</v>
      </c>
      <c r="D43">
        <v>0.499</v>
      </c>
      <c r="E43">
        <v>5.85</v>
      </c>
      <c r="F43">
        <v>41.5</v>
      </c>
      <c r="G43">
        <v>3.9342000000000001</v>
      </c>
      <c r="H43">
        <v>5</v>
      </c>
      <c r="I43">
        <v>279</v>
      </c>
      <c r="J43">
        <v>19.2</v>
      </c>
      <c r="K43">
        <v>396.9</v>
      </c>
      <c r="L43">
        <v>8.77</v>
      </c>
      <c r="M43">
        <v>21</v>
      </c>
      <c r="O43" s="101">
        <f t="shared" si="4"/>
        <v>-0.41119126661475264</v>
      </c>
      <c r="P43" s="101">
        <f t="shared" si="5"/>
        <v>-0.75534038690315009</v>
      </c>
      <c r="Q43" s="101">
        <f t="shared" si="6"/>
        <v>-0.48111230501128627</v>
      </c>
      <c r="R43" s="101">
        <f t="shared" si="7"/>
        <v>-0.61920565087423118</v>
      </c>
      <c r="S43" s="101">
        <f t="shared" si="8"/>
        <v>-0.9627989697087701</v>
      </c>
      <c r="T43" s="101">
        <f t="shared" si="9"/>
        <v>6.6151091676090595E-2</v>
      </c>
      <c r="U43" s="101">
        <f t="shared" si="10"/>
        <v>-0.52300144620353584</v>
      </c>
      <c r="V43" s="101">
        <f t="shared" si="11"/>
        <v>-0.76757601811391951</v>
      </c>
      <c r="W43" s="101">
        <f t="shared" si="12"/>
        <v>0.34421334204948922</v>
      </c>
      <c r="X43" s="101">
        <f t="shared" si="13"/>
        <v>0.44105193260702835</v>
      </c>
      <c r="Y43" s="101">
        <f t="shared" si="14"/>
        <v>-0.54430366558338605</v>
      </c>
      <c r="Z43" s="101">
        <f t="shared" si="15"/>
        <v>-0.16682677384079175</v>
      </c>
      <c r="AB43" t="s">
        <v>584</v>
      </c>
      <c r="AC43" s="103">
        <f>CORREL($O$6:$O$511,AQ6:AQ511)</f>
        <v>0.64044184621632527</v>
      </c>
      <c r="AD43" s="103">
        <f t="shared" ref="AD43:AN43" si="30">CORREL($O$6:$O$511,AR6:AR511)</f>
        <v>5.4597771347265539E-2</v>
      </c>
      <c r="AE43" s="103">
        <f t="shared" si="30"/>
        <v>0.42484457122662711</v>
      </c>
      <c r="AF43" s="103">
        <f t="shared" si="30"/>
        <v>-0.13297160347902992</v>
      </c>
      <c r="AG43" s="103">
        <f t="shared" si="30"/>
        <v>-0.49717833196870065</v>
      </c>
      <c r="AH43" s="103">
        <f t="shared" si="30"/>
        <v>0.31327220667236566</v>
      </c>
      <c r="AI43" s="103">
        <f t="shared" si="30"/>
        <v>0.17882285377161666</v>
      </c>
      <c r="AJ43" s="103">
        <f t="shared" si="30"/>
        <v>8.7054863562684826E-2</v>
      </c>
      <c r="AK43" s="103">
        <f t="shared" si="30"/>
        <v>-1.3192585127684866E-2</v>
      </c>
      <c r="AL43" s="103">
        <f t="shared" si="30"/>
        <v>4.6672053722130444E-2</v>
      </c>
      <c r="AM43" s="103">
        <f t="shared" si="30"/>
        <v>3.5710610772420631E-2</v>
      </c>
      <c r="AN43" s="103">
        <f t="shared" si="30"/>
        <v>1.3017821052169263E-2</v>
      </c>
      <c r="AQ43" s="101">
        <v>-1.2794441972829222</v>
      </c>
      <c r="AR43" s="101">
        <v>-1.0584150194189992</v>
      </c>
      <c r="AS43" s="101">
        <v>-0.11960500559475631</v>
      </c>
      <c r="AT43" s="101">
        <v>0.25769246193348261</v>
      </c>
      <c r="AU43" s="101">
        <v>7.7269345846191453E-2</v>
      </c>
      <c r="AV43" s="101">
        <v>8.1801524074462603E-3</v>
      </c>
      <c r="AW43" s="101">
        <v>0.65209035658743963</v>
      </c>
      <c r="AX43" s="101">
        <v>-0.2739978798907069</v>
      </c>
      <c r="AY43" s="101">
        <v>-0.41028241933659482</v>
      </c>
      <c r="AZ43" s="101">
        <v>-0.50364804236107452</v>
      </c>
      <c r="BA43" s="101">
        <v>-0.10831657529078226</v>
      </c>
      <c r="BB43" s="101">
        <v>-8.7637936329570496E-2</v>
      </c>
    </row>
    <row r="44" spans="2:55">
      <c r="B44">
        <v>0.17505000000000001</v>
      </c>
      <c r="C44">
        <v>5.96</v>
      </c>
      <c r="D44">
        <v>0.499</v>
      </c>
      <c r="E44">
        <v>5.9660000000000002</v>
      </c>
      <c r="F44">
        <v>30.2</v>
      </c>
      <c r="G44">
        <v>3.8473000000000002</v>
      </c>
      <c r="H44">
        <v>5</v>
      </c>
      <c r="I44">
        <v>279</v>
      </c>
      <c r="J44">
        <v>19.2</v>
      </c>
      <c r="K44">
        <v>393.43</v>
      </c>
      <c r="L44">
        <v>10.130000000000001</v>
      </c>
      <c r="M44">
        <v>24.7</v>
      </c>
      <c r="O44" s="101">
        <f t="shared" si="4"/>
        <v>-0.40014628310775618</v>
      </c>
      <c r="P44" s="101">
        <f t="shared" si="5"/>
        <v>-0.75534038690315009</v>
      </c>
      <c r="Q44" s="101">
        <f t="shared" si="6"/>
        <v>-0.48111230501128627</v>
      </c>
      <c r="R44" s="101">
        <f t="shared" si="7"/>
        <v>-0.45394524444607004</v>
      </c>
      <c r="S44" s="101">
        <f t="shared" si="8"/>
        <v>-1.3646334319311804</v>
      </c>
      <c r="T44" s="101">
        <f t="shared" si="9"/>
        <v>2.4841513518944619E-2</v>
      </c>
      <c r="U44" s="101">
        <f t="shared" si="10"/>
        <v>-0.52300144620353584</v>
      </c>
      <c r="V44" s="101">
        <f t="shared" si="11"/>
        <v>-0.76757601811391951</v>
      </c>
      <c r="W44" s="101">
        <f t="shared" si="12"/>
        <v>0.34421334204948922</v>
      </c>
      <c r="X44" s="101">
        <f t="shared" si="13"/>
        <v>0.40300560910501104</v>
      </c>
      <c r="Y44" s="101">
        <f t="shared" si="14"/>
        <v>-0.35366732019581421</v>
      </c>
      <c r="Z44" s="101">
        <f t="shared" si="15"/>
        <v>0.2358718929780903</v>
      </c>
      <c r="AB44" t="s">
        <v>595</v>
      </c>
      <c r="AC44" s="103">
        <f>CORREL($P$6:$P$511,AQ6:AQ511)</f>
        <v>0.84497410919209637</v>
      </c>
      <c r="AD44" s="103">
        <f t="shared" ref="AD44:AN44" si="31">CORREL($P$6:$P$511,AR6:AR511)</f>
        <v>0.13631774667517133</v>
      </c>
      <c r="AE44" s="103">
        <f t="shared" si="31"/>
        <v>-0.17353505506843309</v>
      </c>
      <c r="AF44" s="103">
        <f t="shared" si="31"/>
        <v>0.1118783841794035</v>
      </c>
      <c r="AG44" s="103">
        <f t="shared" si="31"/>
        <v>9.8056593375028547E-2</v>
      </c>
      <c r="AH44" s="103">
        <f t="shared" si="31"/>
        <v>-0.20757528938739186</v>
      </c>
      <c r="AI44" s="103">
        <f t="shared" si="31"/>
        <v>0.1764588715751973</v>
      </c>
      <c r="AJ44" s="103">
        <f t="shared" si="31"/>
        <v>0.28948715811042725</v>
      </c>
      <c r="AK44" s="103">
        <f t="shared" si="31"/>
        <v>0.18578280187274798</v>
      </c>
      <c r="AL44" s="103">
        <f t="shared" si="31"/>
        <v>0.13733416888033728</v>
      </c>
      <c r="AM44" s="103">
        <f t="shared" si="31"/>
        <v>1.2194931427153716E-2</v>
      </c>
      <c r="AN44" s="103">
        <f t="shared" si="31"/>
        <v>-6.0309654921585541E-2</v>
      </c>
      <c r="AQ44" s="101">
        <v>-1.4608568965449855</v>
      </c>
      <c r="AR44" s="101">
        <v>-0.88742808517097382</v>
      </c>
      <c r="AS44" s="101">
        <v>5.5566627389572909E-2</v>
      </c>
      <c r="AT44" s="101">
        <v>0.24593309912461386</v>
      </c>
      <c r="AU44" s="101">
        <v>6.3709656891663413E-2</v>
      </c>
      <c r="AV44" s="101">
        <v>-8.8617243003575027E-2</v>
      </c>
      <c r="AW44" s="101">
        <v>0.77167531579482651</v>
      </c>
      <c r="AX44" s="101">
        <v>-0.32139477155509771</v>
      </c>
      <c r="AY44" s="101">
        <v>-6.2447561294829659E-2</v>
      </c>
      <c r="AZ44" s="101">
        <v>-0.79882966413682788</v>
      </c>
      <c r="BA44" s="101">
        <v>0.13154189153552687</v>
      </c>
      <c r="BB44" s="101">
        <v>-1.1205671234776067E-2</v>
      </c>
    </row>
    <row r="45" spans="2:55">
      <c r="B45">
        <v>2.7629999999999998E-2</v>
      </c>
      <c r="C45">
        <v>2.95</v>
      </c>
      <c r="D45">
        <v>0.42799999999999999</v>
      </c>
      <c r="E45">
        <v>6.5949999999999998</v>
      </c>
      <c r="F45">
        <v>21.8</v>
      </c>
      <c r="G45">
        <v>5.4010999999999996</v>
      </c>
      <c r="H45">
        <v>3</v>
      </c>
      <c r="I45">
        <v>252</v>
      </c>
      <c r="J45">
        <v>18.3</v>
      </c>
      <c r="K45">
        <v>395.63</v>
      </c>
      <c r="L45">
        <v>4.32</v>
      </c>
      <c r="M45">
        <v>30.8</v>
      </c>
      <c r="O45" s="101">
        <f t="shared" si="4"/>
        <v>-0.41730202505909342</v>
      </c>
      <c r="P45" s="101">
        <f t="shared" si="5"/>
        <v>-1.1945275176659844</v>
      </c>
      <c r="Q45" s="101">
        <f t="shared" si="6"/>
        <v>-1.0944337394824348</v>
      </c>
      <c r="R45" s="101">
        <f t="shared" si="7"/>
        <v>0.44216506282386797</v>
      </c>
      <c r="S45" s="101">
        <f t="shared" si="8"/>
        <v>-1.6633422357071315</v>
      </c>
      <c r="T45" s="101">
        <f t="shared" si="9"/>
        <v>0.76347008130459948</v>
      </c>
      <c r="U45" s="101">
        <f t="shared" si="10"/>
        <v>-0.75292215148502073</v>
      </c>
      <c r="V45" s="101">
        <f t="shared" si="11"/>
        <v>-0.92793665608487053</v>
      </c>
      <c r="W45" s="101">
        <f t="shared" si="12"/>
        <v>-7.1912901564373022E-2</v>
      </c>
      <c r="X45" s="101">
        <f t="shared" si="13"/>
        <v>0.42712719749245726</v>
      </c>
      <c r="Y45" s="101">
        <f t="shared" si="14"/>
        <v>-1.1680770015941906</v>
      </c>
      <c r="Z45" s="101">
        <f t="shared" si="15"/>
        <v>0.89978050584165292</v>
      </c>
      <c r="AB45" t="s">
        <v>598</v>
      </c>
      <c r="AC45" s="103">
        <f>CORREL($Q$6:$Q$511,AQ6:AQ511)</f>
        <v>0.82848971009346495</v>
      </c>
      <c r="AD45" s="103">
        <f t="shared" ref="AD45:AN45" si="32">CORREL($Q$6:$Q$511,AR6:AR511)</f>
        <v>0.31247898924878115</v>
      </c>
      <c r="AE45" s="103">
        <f t="shared" si="32"/>
        <v>-0.2535644898440203</v>
      </c>
      <c r="AF45" s="103">
        <f t="shared" si="32"/>
        <v>-6.0439530819437842E-2</v>
      </c>
      <c r="AG45" s="103">
        <f t="shared" si="32"/>
        <v>-2.0939532862602025E-2</v>
      </c>
      <c r="AH45" s="103">
        <f t="shared" si="32"/>
        <v>-0.14469976080542138</v>
      </c>
      <c r="AI45" s="103">
        <f t="shared" si="32"/>
        <v>-2.2236144462382531E-2</v>
      </c>
      <c r="AJ45" s="103">
        <f t="shared" si="32"/>
        <v>6.3536859509653015E-2</v>
      </c>
      <c r="AK45" s="103">
        <f t="shared" si="32"/>
        <v>-0.24062319468575097</v>
      </c>
      <c r="AL45" s="103">
        <f t="shared" si="32"/>
        <v>-0.11145101988220038</v>
      </c>
      <c r="AM45" s="103">
        <f t="shared" si="32"/>
        <v>0.22630712450097945</v>
      </c>
      <c r="AN45" s="103">
        <f t="shared" si="32"/>
        <v>2.3878116313967607E-2</v>
      </c>
      <c r="AQ45" s="101">
        <v>-2.9806492635101964</v>
      </c>
      <c r="AR45" s="101">
        <v>-0.29857473499626785</v>
      </c>
      <c r="AS45" s="101">
        <v>0.75067561157442642</v>
      </c>
      <c r="AT45" s="101">
        <v>0.18553799799420276</v>
      </c>
      <c r="AU45" s="101">
        <v>3.2228172403654443E-2</v>
      </c>
      <c r="AV45" s="101">
        <v>-2.1824178847354353E-2</v>
      </c>
      <c r="AW45" s="101">
        <v>0.59057218569383352</v>
      </c>
      <c r="AX45" s="101">
        <v>-0.13342412624139766</v>
      </c>
      <c r="AY45" s="101">
        <v>-5.7677421625090319E-2</v>
      </c>
      <c r="AZ45" s="101">
        <v>-0.42357240635562143</v>
      </c>
      <c r="BA45" s="101">
        <v>9.1954594315576232E-2</v>
      </c>
      <c r="BB45" s="101">
        <v>5.3467162754479353E-2</v>
      </c>
    </row>
    <row r="46" spans="2:55">
      <c r="B46">
        <v>3.3590000000000002E-2</v>
      </c>
      <c r="C46">
        <v>2.95</v>
      </c>
      <c r="D46">
        <v>0.42799999999999999</v>
      </c>
      <c r="E46">
        <v>7.024</v>
      </c>
      <c r="F46">
        <v>15.8</v>
      </c>
      <c r="G46">
        <v>5.4010999999999996</v>
      </c>
      <c r="H46">
        <v>3</v>
      </c>
      <c r="I46">
        <v>252</v>
      </c>
      <c r="J46">
        <v>18.3</v>
      </c>
      <c r="K46">
        <v>395.62</v>
      </c>
      <c r="L46">
        <v>1.98</v>
      </c>
      <c r="M46">
        <v>34.9</v>
      </c>
      <c r="O46" s="101">
        <f t="shared" si="4"/>
        <v>-0.41660844059273899</v>
      </c>
      <c r="P46" s="101">
        <f t="shared" si="5"/>
        <v>-1.1945275176659844</v>
      </c>
      <c r="Q46" s="101">
        <f t="shared" si="6"/>
        <v>-1.0944337394824348</v>
      </c>
      <c r="R46" s="101">
        <f t="shared" si="7"/>
        <v>1.0533436348728409</v>
      </c>
      <c r="S46" s="101">
        <f t="shared" si="8"/>
        <v>-1.8767056669756679</v>
      </c>
      <c r="T46" s="101">
        <f t="shared" si="9"/>
        <v>0.76347008130459948</v>
      </c>
      <c r="U46" s="101">
        <f t="shared" si="10"/>
        <v>-0.75292215148502073</v>
      </c>
      <c r="V46" s="101">
        <f t="shared" si="11"/>
        <v>-0.92793665608487053</v>
      </c>
      <c r="W46" s="101">
        <f t="shared" si="12"/>
        <v>-7.1912901564373022E-2</v>
      </c>
      <c r="X46" s="101">
        <f t="shared" si="13"/>
        <v>0.42701755390887808</v>
      </c>
      <c r="Y46" s="101">
        <f t="shared" si="14"/>
        <v>-1.4960836546875125</v>
      </c>
      <c r="Z46" s="101">
        <f t="shared" si="15"/>
        <v>1.3460141636679814</v>
      </c>
      <c r="AB46" t="s">
        <v>586</v>
      </c>
      <c r="AC46" s="103">
        <f>CORREL($R$6:$R$511,AQ6:AQ511)</f>
        <v>-0.518169644403078</v>
      </c>
      <c r="AD46" s="103">
        <f t="shared" ref="AD46:AN46" si="33">CORREL($R$6:$R$511,AR6:AR511)</f>
        <v>0.68292472176863384</v>
      </c>
      <c r="AE46" s="103">
        <f t="shared" si="33"/>
        <v>0.26661635788931504</v>
      </c>
      <c r="AF46" s="103">
        <f t="shared" si="33"/>
        <v>8.1130973801244996E-2</v>
      </c>
      <c r="AG46" s="103">
        <f t="shared" si="33"/>
        <v>0.12258172460558429</v>
      </c>
      <c r="AH46" s="103">
        <f t="shared" si="33"/>
        <v>0.20024454638851658</v>
      </c>
      <c r="AI46" s="103">
        <f t="shared" si="33"/>
        <v>-0.24328430857680639</v>
      </c>
      <c r="AJ46" s="103">
        <f t="shared" si="33"/>
        <v>0.24201689509326341</v>
      </c>
      <c r="AK46" s="103">
        <f t="shared" si="33"/>
        <v>4.3459907147574445E-2</v>
      </c>
      <c r="AL46" s="103">
        <f t="shared" si="33"/>
        <v>-0.11050699123260825</v>
      </c>
      <c r="AM46" s="103">
        <f t="shared" si="33"/>
        <v>-2.1516389015193933E-2</v>
      </c>
      <c r="AN46" s="103">
        <f t="shared" si="33"/>
        <v>-6.5067577376744907E-4</v>
      </c>
      <c r="AQ46" s="101">
        <v>-3.4006811586798085</v>
      </c>
      <c r="AR46" s="101">
        <v>0.29440750193769694</v>
      </c>
      <c r="AS46" s="101">
        <v>1.0648962584853114</v>
      </c>
      <c r="AT46" s="101">
        <v>0.3574543130888363</v>
      </c>
      <c r="AU46" s="101">
        <v>0.14265508638471752</v>
      </c>
      <c r="AV46" s="101">
        <v>-1.5420369262390196E-3</v>
      </c>
      <c r="AW46" s="101">
        <v>0.64962119179022371</v>
      </c>
      <c r="AX46" s="101">
        <v>3.247595474479914E-2</v>
      </c>
      <c r="AY46" s="101">
        <v>-7.118226518261217E-4</v>
      </c>
      <c r="AZ46" s="101">
        <v>-0.5239207222367408</v>
      </c>
      <c r="BA46" s="101">
        <v>0.19739103917018552</v>
      </c>
      <c r="BB46" s="101">
        <v>9.0685123092964393E-2</v>
      </c>
    </row>
    <row r="47" spans="2:55">
      <c r="B47">
        <v>0.12744</v>
      </c>
      <c r="C47">
        <v>6.91</v>
      </c>
      <c r="D47">
        <v>0.44800000000000001</v>
      </c>
      <c r="E47">
        <v>6.77</v>
      </c>
      <c r="F47">
        <v>2.9</v>
      </c>
      <c r="G47">
        <v>5.7209000000000003</v>
      </c>
      <c r="H47">
        <v>3</v>
      </c>
      <c r="I47">
        <v>233</v>
      </c>
      <c r="J47">
        <v>17.899999999999999</v>
      </c>
      <c r="K47">
        <v>385.41</v>
      </c>
      <c r="L47">
        <v>4.84</v>
      </c>
      <c r="M47">
        <v>26.6</v>
      </c>
      <c r="O47" s="101">
        <f t="shared" si="4"/>
        <v>-0.40568681271230894</v>
      </c>
      <c r="P47" s="101">
        <f t="shared" si="5"/>
        <v>-0.61672650842318566</v>
      </c>
      <c r="Q47" s="101">
        <f t="shared" si="6"/>
        <v>-0.92166713822295621</v>
      </c>
      <c r="R47" s="101">
        <f t="shared" si="7"/>
        <v>0.69148033114221308</v>
      </c>
      <c r="S47" s="101">
        <f t="shared" si="8"/>
        <v>-2.335437044203021</v>
      </c>
      <c r="T47" s="101">
        <f t="shared" si="9"/>
        <v>0.915493131876007</v>
      </c>
      <c r="U47" s="101">
        <f t="shared" si="10"/>
        <v>-0.75292215148502073</v>
      </c>
      <c r="V47" s="101">
        <f t="shared" si="11"/>
        <v>-1.0407830309533175</v>
      </c>
      <c r="W47" s="101">
        <f t="shared" si="12"/>
        <v>-0.25685789872609083</v>
      </c>
      <c r="X47" s="101">
        <f t="shared" si="13"/>
        <v>0.31507145507441142</v>
      </c>
      <c r="Y47" s="101">
        <f t="shared" si="14"/>
        <v>-1.0951866342401191</v>
      </c>
      <c r="Z47" s="101">
        <f t="shared" si="15"/>
        <v>0.44266310026346245</v>
      </c>
      <c r="AB47" t="s">
        <v>600</v>
      </c>
      <c r="AC47" s="103">
        <f>CORREL($S$6:$S$511,AQ6:AQ511)</f>
        <v>0.7448577369814664</v>
      </c>
      <c r="AD47" s="103">
        <f t="shared" ref="AD47:AN47" si="34">CORREL($S$6:$S$511,AR6:AR511)</f>
        <v>0.27346450744780282</v>
      </c>
      <c r="AE47" s="103">
        <f t="shared" si="34"/>
        <v>-0.39095529697599773</v>
      </c>
      <c r="AF47" s="103">
        <f t="shared" si="34"/>
        <v>4.859530673199753E-2</v>
      </c>
      <c r="AG47" s="103">
        <f t="shared" si="34"/>
        <v>5.1691872807506103E-2</v>
      </c>
      <c r="AH47" s="103">
        <f t="shared" si="34"/>
        <v>0.2932659046870707</v>
      </c>
      <c r="AI47" s="103">
        <f t="shared" si="34"/>
        <v>-0.20288662678152608</v>
      </c>
      <c r="AJ47" s="103">
        <f t="shared" si="34"/>
        <v>-9.8278078793420098E-2</v>
      </c>
      <c r="AK47" s="103">
        <f t="shared" si="34"/>
        <v>-6.2696906454906859E-2</v>
      </c>
      <c r="AL47" s="103">
        <f t="shared" si="34"/>
        <v>0.26583888390660981</v>
      </c>
      <c r="AM47" s="103">
        <f t="shared" si="34"/>
        <v>-3.2360219422070194E-2</v>
      </c>
      <c r="AN47" s="103">
        <f t="shared" si="34"/>
        <v>-7.0472665414723409E-3</v>
      </c>
      <c r="AQ47" s="101">
        <v>-2.9264230522877885</v>
      </c>
      <c r="AR47" s="101">
        <v>-0.43893096686486183</v>
      </c>
      <c r="AS47" s="101">
        <v>0.89112275717579181</v>
      </c>
      <c r="AT47" s="101">
        <v>-6.8931314179093789E-2</v>
      </c>
      <c r="AU47" s="101">
        <v>6.8685413367903653E-2</v>
      </c>
      <c r="AV47" s="101">
        <v>-0.44614570558990907</v>
      </c>
      <c r="AW47" s="101">
        <v>0.70053004390402096</v>
      </c>
      <c r="AX47" s="101">
        <v>0.68909757275316286</v>
      </c>
      <c r="AY47" s="101">
        <v>5.8758775573333116E-2</v>
      </c>
      <c r="AZ47" s="101">
        <v>-0.77102992609394927</v>
      </c>
      <c r="BA47" s="101">
        <v>0.11998835091151266</v>
      </c>
      <c r="BB47" s="101">
        <v>-0.19629587903106488</v>
      </c>
    </row>
    <row r="48" spans="2:55">
      <c r="B48">
        <v>0.14149999999999999</v>
      </c>
      <c r="C48">
        <v>6.91</v>
      </c>
      <c r="D48">
        <v>0.44800000000000001</v>
      </c>
      <c r="E48">
        <v>6.1689999999999996</v>
      </c>
      <c r="F48">
        <v>6.6</v>
      </c>
      <c r="G48">
        <v>5.7209000000000003</v>
      </c>
      <c r="H48">
        <v>3</v>
      </c>
      <c r="I48">
        <v>233</v>
      </c>
      <c r="J48">
        <v>17.899999999999999</v>
      </c>
      <c r="K48">
        <v>383.37</v>
      </c>
      <c r="L48">
        <v>5.81</v>
      </c>
      <c r="M48">
        <v>25.3</v>
      </c>
      <c r="O48" s="101">
        <f t="shared" si="4"/>
        <v>-0.40405060506181512</v>
      </c>
      <c r="P48" s="101">
        <f t="shared" si="5"/>
        <v>-0.61672650842318566</v>
      </c>
      <c r="Q48" s="101">
        <f t="shared" si="6"/>
        <v>-0.92166713822295621</v>
      </c>
      <c r="R48" s="101">
        <f t="shared" si="7"/>
        <v>-0.16473953319679022</v>
      </c>
      <c r="S48" s="101">
        <f t="shared" si="8"/>
        <v>-2.2038629282540905</v>
      </c>
      <c r="T48" s="101">
        <f t="shared" si="9"/>
        <v>0.915493131876007</v>
      </c>
      <c r="U48" s="101">
        <f t="shared" si="10"/>
        <v>-0.75292215148502073</v>
      </c>
      <c r="V48" s="101">
        <f t="shared" si="11"/>
        <v>-1.0407830309533175</v>
      </c>
      <c r="W48" s="101">
        <f t="shared" si="12"/>
        <v>-0.25685789872609083</v>
      </c>
      <c r="X48" s="101">
        <f t="shared" si="13"/>
        <v>0.29270416402423366</v>
      </c>
      <c r="Y48" s="101">
        <f t="shared" si="14"/>
        <v>-0.95921806436810098</v>
      </c>
      <c r="Z48" s="101">
        <f t="shared" si="15"/>
        <v>0.30117437948926051</v>
      </c>
      <c r="AB48" t="s">
        <v>602</v>
      </c>
      <c r="AC48" s="103">
        <f>CORREL($T$6:$T$511,AQ6:AQ511)</f>
        <v>-0.73820163596994326</v>
      </c>
      <c r="AD48" s="103">
        <f t="shared" ref="AD48:AN48" si="35">CORREL($T$6:$T$511,AR6:AR511)</f>
        <v>-0.41526270163587525</v>
      </c>
      <c r="AE48" s="103">
        <f t="shared" si="35"/>
        <v>0.3324238566182055</v>
      </c>
      <c r="AF48" s="103">
        <f t="shared" si="35"/>
        <v>-8.9436246246317297E-2</v>
      </c>
      <c r="AG48" s="103">
        <f t="shared" si="35"/>
        <v>-4.4326758534739635E-2</v>
      </c>
      <c r="AH48" s="103">
        <f t="shared" si="35"/>
        <v>-0.13295636058867666</v>
      </c>
      <c r="AI48" s="103">
        <f t="shared" si="35"/>
        <v>-0.24205548013405787</v>
      </c>
      <c r="AJ48" s="103">
        <f t="shared" si="35"/>
        <v>0.10817288285621812</v>
      </c>
      <c r="AK48" s="103">
        <f t="shared" si="35"/>
        <v>-1.9221884322876637E-2</v>
      </c>
      <c r="AL48" s="103">
        <f t="shared" si="35"/>
        <v>0.21375288068977519</v>
      </c>
      <c r="AM48" s="103">
        <f t="shared" si="35"/>
        <v>0.16757742421516769</v>
      </c>
      <c r="AN48" s="103">
        <f t="shared" si="35"/>
        <v>-5.8582701279528962E-3</v>
      </c>
      <c r="AQ48" s="101">
        <v>-2.6207082848387531</v>
      </c>
      <c r="AR48" s="101">
        <v>-0.9862919724868674</v>
      </c>
      <c r="AS48" s="101">
        <v>0.60730438901363071</v>
      </c>
      <c r="AT48" s="101">
        <v>-0.20168972379760952</v>
      </c>
      <c r="AU48" s="101">
        <v>-5.8762452680129133E-2</v>
      </c>
      <c r="AV48" s="101">
        <v>-0.60799812099853912</v>
      </c>
      <c r="AW48" s="101">
        <v>0.92643609649904524</v>
      </c>
      <c r="AX48" s="101">
        <v>0.3046001874974883</v>
      </c>
      <c r="AY48" s="101">
        <v>-9.6848158983779409E-3</v>
      </c>
      <c r="AZ48" s="101">
        <v>-0.54288603093662391</v>
      </c>
      <c r="BA48" s="101">
        <v>0.1277835570906744</v>
      </c>
      <c r="BB48" s="101">
        <v>-0.20549163706309453</v>
      </c>
    </row>
    <row r="49" spans="2:54">
      <c r="B49">
        <v>0.15936</v>
      </c>
      <c r="C49">
        <v>6.91</v>
      </c>
      <c r="D49">
        <v>0.44800000000000001</v>
      </c>
      <c r="E49">
        <v>6.2110000000000003</v>
      </c>
      <c r="F49">
        <v>6.5</v>
      </c>
      <c r="G49">
        <v>5.7209000000000003</v>
      </c>
      <c r="H49">
        <v>3</v>
      </c>
      <c r="I49">
        <v>233</v>
      </c>
      <c r="J49">
        <v>17.899999999999999</v>
      </c>
      <c r="K49">
        <v>394.46</v>
      </c>
      <c r="L49">
        <v>7.44</v>
      </c>
      <c r="M49">
        <v>24.7</v>
      </c>
      <c r="O49" s="101">
        <f t="shared" si="4"/>
        <v>-0.40197217912740402</v>
      </c>
      <c r="P49" s="101">
        <f t="shared" si="5"/>
        <v>-0.61672650842318566</v>
      </c>
      <c r="Q49" s="101">
        <f t="shared" si="6"/>
        <v>-0.92166713822295621</v>
      </c>
      <c r="R49" s="101">
        <f t="shared" si="7"/>
        <v>-0.10490386880038632</v>
      </c>
      <c r="S49" s="101">
        <f t="shared" si="8"/>
        <v>-2.2074189854418993</v>
      </c>
      <c r="T49" s="101">
        <f t="shared" si="9"/>
        <v>0.915493131876007</v>
      </c>
      <c r="U49" s="101">
        <f t="shared" si="10"/>
        <v>-0.75292215148502073</v>
      </c>
      <c r="V49" s="101">
        <f t="shared" si="11"/>
        <v>-1.0407830309533175</v>
      </c>
      <c r="W49" s="101">
        <f t="shared" si="12"/>
        <v>-0.25685789872609083</v>
      </c>
      <c r="X49" s="101">
        <f t="shared" si="13"/>
        <v>0.41429889821367882</v>
      </c>
      <c r="Y49" s="101">
        <f t="shared" si="14"/>
        <v>-0.73073479746976122</v>
      </c>
      <c r="Z49" s="101">
        <f t="shared" si="15"/>
        <v>0.2358718929780903</v>
      </c>
      <c r="AB49" t="s">
        <v>588</v>
      </c>
      <c r="AC49" s="103">
        <f>CORREL($U$6:$U$511,AQ6:AQ511)</f>
        <v>0.79453756904213479</v>
      </c>
      <c r="AD49" s="103">
        <f t="shared" ref="AD49:AN49" si="36">CORREL($U$6:$U$511,AR6:AR511)</f>
        <v>0.17849050092211113</v>
      </c>
      <c r="AE49" s="103">
        <f t="shared" si="36"/>
        <v>0.44200292353891257</v>
      </c>
      <c r="AF49" s="103">
        <f t="shared" si="36"/>
        <v>0.15701312624245137</v>
      </c>
      <c r="AG49" s="103">
        <f t="shared" si="36"/>
        <v>-8.2021669909971368E-2</v>
      </c>
      <c r="AH49" s="103">
        <f t="shared" si="36"/>
        <v>-0.1822261456834256</v>
      </c>
      <c r="AI49" s="103">
        <f t="shared" si="36"/>
        <v>-0.13741626115126701</v>
      </c>
      <c r="AJ49" s="103">
        <f t="shared" si="36"/>
        <v>-0.17031547667711133</v>
      </c>
      <c r="AK49" s="103">
        <f t="shared" si="36"/>
        <v>-1.4297342187629467E-2</v>
      </c>
      <c r="AL49" s="103">
        <f t="shared" si="36"/>
        <v>-3.4218684675436595E-2</v>
      </c>
      <c r="AM49" s="103">
        <f t="shared" si="36"/>
        <v>-2.0633318822365493E-2</v>
      </c>
      <c r="AN49" s="103">
        <f t="shared" si="36"/>
        <v>-0.16494213234928928</v>
      </c>
      <c r="AQ49" s="101">
        <v>-2.5672860362723555</v>
      </c>
      <c r="AR49" s="101">
        <v>-1.0523472724238789</v>
      </c>
      <c r="AS49" s="101">
        <v>0.53581235480427547</v>
      </c>
      <c r="AT49" s="101">
        <v>-0.16865195717371845</v>
      </c>
      <c r="AU49" s="101">
        <v>-0.14468521029725145</v>
      </c>
      <c r="AV49" s="101">
        <v>-0.56586349205939468</v>
      </c>
      <c r="AW49" s="101">
        <v>0.77844662076029947</v>
      </c>
      <c r="AX49" s="101">
        <v>0.3551529661736702</v>
      </c>
      <c r="AY49" s="101">
        <v>0.11194825577124044</v>
      </c>
      <c r="AZ49" s="101">
        <v>-0.65487945970472183</v>
      </c>
      <c r="BA49" s="101">
        <v>0.14888623524989558</v>
      </c>
      <c r="BB49" s="101">
        <v>-0.19959634998032802</v>
      </c>
    </row>
    <row r="50" spans="2:54">
      <c r="B50">
        <v>0.12268999999999999</v>
      </c>
      <c r="C50">
        <v>6.91</v>
      </c>
      <c r="D50">
        <v>0.44800000000000001</v>
      </c>
      <c r="E50">
        <v>6.069</v>
      </c>
      <c r="F50">
        <v>40</v>
      </c>
      <c r="G50">
        <v>5.7209000000000003</v>
      </c>
      <c r="H50">
        <v>3</v>
      </c>
      <c r="I50">
        <v>233</v>
      </c>
      <c r="J50">
        <v>17.899999999999999</v>
      </c>
      <c r="K50">
        <v>389.39</v>
      </c>
      <c r="L50">
        <v>9.5500000000000007</v>
      </c>
      <c r="M50">
        <v>21.2</v>
      </c>
      <c r="O50" s="101">
        <f t="shared" si="4"/>
        <v>-0.40623958556720552</v>
      </c>
      <c r="P50" s="101">
        <f t="shared" si="5"/>
        <v>-0.61672650842318566</v>
      </c>
      <c r="Q50" s="101">
        <f t="shared" si="6"/>
        <v>-0.92166713822295621</v>
      </c>
      <c r="R50" s="101">
        <f t="shared" si="7"/>
        <v>-0.30720540080727282</v>
      </c>
      <c r="S50" s="101">
        <f t="shared" si="8"/>
        <v>-1.0161398275259041</v>
      </c>
      <c r="T50" s="101">
        <f t="shared" si="9"/>
        <v>0.915493131876007</v>
      </c>
      <c r="U50" s="101">
        <f t="shared" si="10"/>
        <v>-0.75292215148502073</v>
      </c>
      <c r="V50" s="101">
        <f t="shared" si="11"/>
        <v>-1.0407830309533175</v>
      </c>
      <c r="W50" s="101">
        <f t="shared" si="12"/>
        <v>-0.25685789872609083</v>
      </c>
      <c r="X50" s="101">
        <f t="shared" si="13"/>
        <v>0.35870960133897301</v>
      </c>
      <c r="Y50" s="101">
        <f t="shared" si="14"/>
        <v>-0.43496811455227863</v>
      </c>
      <c r="Z50" s="101">
        <f t="shared" si="15"/>
        <v>-0.14505927833706847</v>
      </c>
      <c r="AB50" t="s">
        <v>604</v>
      </c>
      <c r="AC50" s="103">
        <f>CORREL($V$6:$V$511,AQ6:AQ511)</f>
        <v>0.84959780776588556</v>
      </c>
      <c r="AD50" s="103">
        <f t="shared" ref="AD50:AN50" si="37">CORREL($V$6:$V$511,AR6:AR511)</f>
        <v>0.13525666527955113</v>
      </c>
      <c r="AE50" s="103">
        <f t="shared" si="37"/>
        <v>0.32385417773826991</v>
      </c>
      <c r="AF50" s="103">
        <f t="shared" si="37"/>
        <v>0.14896676636336706</v>
      </c>
      <c r="AG50" s="103">
        <f t="shared" si="37"/>
        <v>-4.1771756395683417E-2</v>
      </c>
      <c r="AH50" s="103">
        <f t="shared" si="37"/>
        <v>-0.27427210845284272</v>
      </c>
      <c r="AI50" s="103">
        <f t="shared" si="37"/>
        <v>-0.1101138208589747</v>
      </c>
      <c r="AJ50" s="103">
        <f t="shared" si="37"/>
        <v>-2.8464565662988345E-2</v>
      </c>
      <c r="AK50" s="103">
        <f t="shared" si="37"/>
        <v>2.099803558880483E-2</v>
      </c>
      <c r="AL50" s="103">
        <f t="shared" si="37"/>
        <v>4.8459565350888564E-2</v>
      </c>
      <c r="AM50" s="103">
        <f t="shared" si="37"/>
        <v>-9.6935069113187181E-2</v>
      </c>
      <c r="AN50" s="103">
        <f t="shared" si="37"/>
        <v>0.17528709271911605</v>
      </c>
      <c r="AQ50" s="101">
        <v>-1.9574286461958255</v>
      </c>
      <c r="AR50" s="101">
        <v>-1.1568386872464744</v>
      </c>
      <c r="AS50" s="101">
        <v>-4.0301348420637177E-3</v>
      </c>
      <c r="AT50" s="101">
        <v>-0.27277429807847647</v>
      </c>
      <c r="AU50" s="101">
        <v>-8.9182768833649437E-2</v>
      </c>
      <c r="AV50" s="101">
        <v>-6.56735009064352E-2</v>
      </c>
      <c r="AW50" s="101">
        <v>0.24621766389583555</v>
      </c>
      <c r="AX50" s="101">
        <v>0.16273414215775828</v>
      </c>
      <c r="AY50" s="101">
        <v>-3.235350025922424E-2</v>
      </c>
      <c r="AZ50" s="101">
        <v>-4.1336357050601721E-2</v>
      </c>
      <c r="BA50" s="101">
        <v>-4.1807249312787592E-2</v>
      </c>
      <c r="BB50" s="101">
        <v>-0.25846559355237214</v>
      </c>
    </row>
    <row r="51" spans="2:54">
      <c r="B51">
        <v>0.17141999999999999</v>
      </c>
      <c r="C51">
        <v>6.91</v>
      </c>
      <c r="D51">
        <v>0.44800000000000001</v>
      </c>
      <c r="E51">
        <v>5.6820000000000004</v>
      </c>
      <c r="F51">
        <v>33.799999999999997</v>
      </c>
      <c r="G51">
        <v>5.1003999999999996</v>
      </c>
      <c r="H51">
        <v>3</v>
      </c>
      <c r="I51">
        <v>233</v>
      </c>
      <c r="J51">
        <v>17.899999999999999</v>
      </c>
      <c r="K51">
        <v>396.9</v>
      </c>
      <c r="L51">
        <v>10.210000000000001</v>
      </c>
      <c r="M51">
        <v>19.3</v>
      </c>
      <c r="O51" s="101">
        <f t="shared" si="4"/>
        <v>-0.40056871794212984</v>
      </c>
      <c r="P51" s="101">
        <f t="shared" si="5"/>
        <v>-0.61672650842318566</v>
      </c>
      <c r="Q51" s="101">
        <f t="shared" si="6"/>
        <v>-0.92166713822295621</v>
      </c>
      <c r="R51" s="101">
        <f t="shared" si="7"/>
        <v>-0.85854830845984176</v>
      </c>
      <c r="S51" s="101">
        <f t="shared" si="8"/>
        <v>-1.2366153731700587</v>
      </c>
      <c r="T51" s="101">
        <f t="shared" si="9"/>
        <v>0.62052658128326688</v>
      </c>
      <c r="U51" s="101">
        <f t="shared" si="10"/>
        <v>-0.75292215148502073</v>
      </c>
      <c r="V51" s="101">
        <f t="shared" si="11"/>
        <v>-1.0407830309533175</v>
      </c>
      <c r="W51" s="101">
        <f t="shared" si="12"/>
        <v>-0.25685789872609083</v>
      </c>
      <c r="X51" s="101">
        <f t="shared" si="13"/>
        <v>0.44105193260702835</v>
      </c>
      <c r="Y51" s="101">
        <f t="shared" si="14"/>
        <v>-0.34245341752595704</v>
      </c>
      <c r="Z51" s="101">
        <f t="shared" si="15"/>
        <v>-0.35185048562244026</v>
      </c>
      <c r="AB51" t="s">
        <v>590</v>
      </c>
      <c r="AC51" s="103">
        <f>CORREL($W$6:$W$511,AQ6:AQ511)</f>
        <v>0.52363723196020306</v>
      </c>
      <c r="AD51" s="103">
        <f t="shared" ref="AD51:AN51" si="38">CORREL($W$6:$W$511,AR6:AR511)</f>
        <v>-0.40208271387637851</v>
      </c>
      <c r="AE51" s="103">
        <f t="shared" si="38"/>
        <v>0.28254978240273387</v>
      </c>
      <c r="AF51" s="103">
        <f t="shared" si="38"/>
        <v>0.53445343103646092</v>
      </c>
      <c r="AG51" s="103">
        <f t="shared" si="38"/>
        <v>0.33938372204939665</v>
      </c>
      <c r="AH51" s="103">
        <f t="shared" si="38"/>
        <v>0.25497624503086136</v>
      </c>
      <c r="AI51" s="103">
        <f t="shared" si="38"/>
        <v>8.0857071001874281E-2</v>
      </c>
      <c r="AJ51" s="103">
        <f t="shared" si="38"/>
        <v>-7.5250319192367125E-3</v>
      </c>
      <c r="AK51" s="103">
        <f t="shared" si="38"/>
        <v>-1.733026862942702E-2</v>
      </c>
      <c r="AL51" s="103">
        <f t="shared" si="38"/>
        <v>-3.1629183083563585E-2</v>
      </c>
      <c r="AM51" s="103">
        <f t="shared" si="38"/>
        <v>0.10063335432215642</v>
      </c>
      <c r="AN51" s="103">
        <f t="shared" si="38"/>
        <v>2.1028250493265E-2</v>
      </c>
      <c r="AQ51" s="101">
        <v>-1.7498392975735289</v>
      </c>
      <c r="AR51" s="101">
        <v>-1.5433183453691111</v>
      </c>
      <c r="AS51" s="101">
        <v>-0.20512155536810101</v>
      </c>
      <c r="AT51" s="101">
        <v>-0.2972971958027365</v>
      </c>
      <c r="AU51" s="101">
        <v>-0.23086748570143156</v>
      </c>
      <c r="AV51" s="101">
        <v>-0.24073839176823467</v>
      </c>
      <c r="AW51" s="101">
        <v>0.57615388515547905</v>
      </c>
      <c r="AX51" s="101">
        <v>-2.7617429691641271E-2</v>
      </c>
      <c r="AY51" s="101">
        <v>-6.634089729867701E-2</v>
      </c>
      <c r="AZ51" s="101">
        <v>-0.2498245630703812</v>
      </c>
      <c r="BA51" s="101">
        <v>-0.19593799682151608</v>
      </c>
      <c r="BB51" s="101">
        <v>-0.26447063957268607</v>
      </c>
    </row>
    <row r="52" spans="2:54">
      <c r="B52">
        <v>0.18836</v>
      </c>
      <c r="C52">
        <v>6.91</v>
      </c>
      <c r="D52">
        <v>0.44800000000000001</v>
      </c>
      <c r="E52">
        <v>5.7859999999999996</v>
      </c>
      <c r="F52">
        <v>33.299999999999997</v>
      </c>
      <c r="G52">
        <v>5.1003999999999996</v>
      </c>
      <c r="H52">
        <v>3</v>
      </c>
      <c r="I52">
        <v>233</v>
      </c>
      <c r="J52">
        <v>17.899999999999999</v>
      </c>
      <c r="K52">
        <v>396.9</v>
      </c>
      <c r="L52">
        <v>14.15</v>
      </c>
      <c r="M52">
        <v>20</v>
      </c>
      <c r="O52" s="101">
        <f t="shared" si="4"/>
        <v>-0.39859735538171975</v>
      </c>
      <c r="P52" s="101">
        <f t="shared" si="5"/>
        <v>-0.61672650842318566</v>
      </c>
      <c r="Q52" s="101">
        <f t="shared" si="6"/>
        <v>-0.92166713822295621</v>
      </c>
      <c r="R52" s="101">
        <f t="shared" si="7"/>
        <v>-0.71038380614494046</v>
      </c>
      <c r="S52" s="101">
        <f t="shared" si="8"/>
        <v>-1.2543956591091032</v>
      </c>
      <c r="T52" s="101">
        <f t="shared" si="9"/>
        <v>0.62052658128326688</v>
      </c>
      <c r="U52" s="101">
        <f t="shared" si="10"/>
        <v>-0.75292215148502073</v>
      </c>
      <c r="V52" s="101">
        <f t="shared" si="11"/>
        <v>-1.0407830309533175</v>
      </c>
      <c r="W52" s="101">
        <f t="shared" si="12"/>
        <v>-0.25685789872609083</v>
      </c>
      <c r="X52" s="101">
        <f t="shared" si="13"/>
        <v>0.44105193260702835</v>
      </c>
      <c r="Y52" s="101">
        <f t="shared" si="14"/>
        <v>0.20983128896450803</v>
      </c>
      <c r="Z52" s="101">
        <f t="shared" si="15"/>
        <v>-0.27566425135940853</v>
      </c>
      <c r="AB52" t="s">
        <v>606</v>
      </c>
      <c r="AC52" s="103">
        <f>CORREL($X$6:$X$511,AQ6:AQ511)</f>
        <v>-0.5186434648729159</v>
      </c>
      <c r="AD52" s="103">
        <f t="shared" ref="AD52:AN52" si="39">CORREL($X$6:$X$511,AR6:AR511)</f>
        <v>-9.7843428390030934E-2</v>
      </c>
      <c r="AE52" s="103">
        <f t="shared" si="39"/>
        <v>-0.36663709203891087</v>
      </c>
      <c r="AF52" s="103">
        <f t="shared" si="39"/>
        <v>0.61485441094131554</v>
      </c>
      <c r="AG52" s="103">
        <f t="shared" si="39"/>
        <v>-0.44083875217663587</v>
      </c>
      <c r="AH52" s="103">
        <f t="shared" si="39"/>
        <v>-5.139881513794331E-2</v>
      </c>
      <c r="AI52" s="103">
        <f t="shared" si="39"/>
        <v>-8.8609372516172319E-2</v>
      </c>
      <c r="AJ52" s="103">
        <f t="shared" si="39"/>
        <v>5.3534243401389424E-2</v>
      </c>
      <c r="AK52" s="103">
        <f t="shared" si="39"/>
        <v>-3.0754167160046498E-3</v>
      </c>
      <c r="AL52" s="103">
        <f t="shared" si="39"/>
        <v>-3.4049496131497277E-2</v>
      </c>
      <c r="AM52" s="103">
        <f t="shared" si="39"/>
        <v>-9.1421751185271315E-3</v>
      </c>
      <c r="AN52" s="103">
        <f t="shared" si="39"/>
        <v>-4.041103977810892E-3</v>
      </c>
      <c r="AQ52" s="101">
        <v>-1.6283737533815792</v>
      </c>
      <c r="AR52" s="101">
        <v>-1.5645179810281085</v>
      </c>
      <c r="AS52" s="101">
        <v>-0.26303921560845145</v>
      </c>
      <c r="AT52" s="101">
        <v>-0.38501467626504216</v>
      </c>
      <c r="AU52" s="101">
        <v>-0.27446554799967871</v>
      </c>
      <c r="AV52" s="101">
        <v>-0.1319863779301991</v>
      </c>
      <c r="AW52" s="101">
        <v>0.32087818633062765</v>
      </c>
      <c r="AX52" s="101">
        <v>-3.5493957816139787E-2</v>
      </c>
      <c r="AY52" s="101">
        <v>0.32319052328203779</v>
      </c>
      <c r="AZ52" s="101">
        <v>-0.46549292617101024</v>
      </c>
      <c r="BA52" s="101">
        <v>-3.0669317584278433E-2</v>
      </c>
      <c r="BB52" s="101">
        <v>-0.21623632896258499</v>
      </c>
    </row>
    <row r="53" spans="2:54">
      <c r="B53">
        <v>0.22927</v>
      </c>
      <c r="C53">
        <v>6.91</v>
      </c>
      <c r="D53">
        <v>0.44800000000000001</v>
      </c>
      <c r="E53">
        <v>6.03</v>
      </c>
      <c r="F53">
        <v>85.5</v>
      </c>
      <c r="G53">
        <v>5.6894</v>
      </c>
      <c r="H53">
        <v>3</v>
      </c>
      <c r="I53">
        <v>233</v>
      </c>
      <c r="J53">
        <v>17.899999999999999</v>
      </c>
      <c r="K53">
        <v>392.74</v>
      </c>
      <c r="L53">
        <v>18.8</v>
      </c>
      <c r="M53">
        <v>16.600000000000001</v>
      </c>
      <c r="O53" s="101">
        <f t="shared" si="4"/>
        <v>-0.3938365264356527</v>
      </c>
      <c r="P53" s="101">
        <f t="shared" si="5"/>
        <v>-0.61672650842318566</v>
      </c>
      <c r="Q53" s="101">
        <f t="shared" si="6"/>
        <v>-0.92166713822295621</v>
      </c>
      <c r="R53" s="101">
        <f t="shared" si="7"/>
        <v>-0.36276708917536077</v>
      </c>
      <c r="S53" s="101">
        <f t="shared" si="8"/>
        <v>0.60186619292716381</v>
      </c>
      <c r="T53" s="101">
        <f t="shared" si="9"/>
        <v>0.90051900400546481</v>
      </c>
      <c r="U53" s="101">
        <f t="shared" si="10"/>
        <v>-0.75292215148502073</v>
      </c>
      <c r="V53" s="101">
        <f t="shared" si="11"/>
        <v>-1.0407830309533175</v>
      </c>
      <c r="W53" s="101">
        <f t="shared" si="12"/>
        <v>-0.25685789872609083</v>
      </c>
      <c r="X53" s="101">
        <f t="shared" si="13"/>
        <v>0.39544020183803924</v>
      </c>
      <c r="Y53" s="101">
        <f t="shared" si="14"/>
        <v>0.86163938164995546</v>
      </c>
      <c r="Z53" s="101">
        <f t="shared" si="15"/>
        <v>-0.64571167492270554</v>
      </c>
      <c r="AB53" t="s">
        <v>608</v>
      </c>
      <c r="AC53" s="103">
        <f>CORREL($Y$6:$Y$511,AQ6:AQ511)</f>
        <v>0.80282204569944027</v>
      </c>
      <c r="AD53" s="103">
        <f t="shared" ref="AD53:AN53" si="40">CORREL($Y$6:$Y$511,AR6:AR511)</f>
        <v>-0.30554438654570365</v>
      </c>
      <c r="AE53" s="103">
        <f t="shared" si="40"/>
        <v>-0.20687808644574882</v>
      </c>
      <c r="AF53" s="103">
        <f t="shared" si="40"/>
        <v>-0.18014260315911571</v>
      </c>
      <c r="AG53" s="103">
        <f t="shared" si="40"/>
        <v>-8.8610538029049182E-2</v>
      </c>
      <c r="AH53" s="103">
        <f t="shared" si="40"/>
        <v>9.709776169117755E-2</v>
      </c>
      <c r="AI53" s="103">
        <f t="shared" si="40"/>
        <v>-0.23196832390948605</v>
      </c>
      <c r="AJ53" s="103">
        <f t="shared" si="40"/>
        <v>-4.5005219355872893E-2</v>
      </c>
      <c r="AK53" s="103">
        <f t="shared" si="40"/>
        <v>0.2898943469636775</v>
      </c>
      <c r="AL53" s="103">
        <f t="shared" si="40"/>
        <v>-0.14403642504501923</v>
      </c>
      <c r="AM53" s="103">
        <f t="shared" si="40"/>
        <v>9.3046790016479197E-2</v>
      </c>
      <c r="AN53" s="103">
        <f t="shared" si="40"/>
        <v>1.7663112980527571E-2</v>
      </c>
      <c r="AQ53" s="101">
        <v>-0.90493442799844415</v>
      </c>
      <c r="AR53" s="101">
        <v>-1.3940798144638129</v>
      </c>
      <c r="AS53" s="101">
        <v>-0.88900205374479235</v>
      </c>
      <c r="AT53" s="101">
        <v>-0.4957325269893586</v>
      </c>
      <c r="AU53" s="101">
        <v>-0.15615966509177912</v>
      </c>
      <c r="AV53" s="101">
        <v>0.80206026676711362</v>
      </c>
      <c r="AW53" s="101">
        <v>-0.92387820987149594</v>
      </c>
      <c r="AX53" s="101">
        <v>-6.9106588689410164E-2</v>
      </c>
      <c r="AY53" s="101">
        <v>0.35454317232149035</v>
      </c>
      <c r="AZ53" s="101">
        <v>0.43298693515341236</v>
      </c>
      <c r="BA53" s="101">
        <v>-9.1011685525096891E-2</v>
      </c>
      <c r="BB53" s="101">
        <v>-0.27500432305056144</v>
      </c>
    </row>
    <row r="54" spans="2:54">
      <c r="B54">
        <v>0.25386999999999998</v>
      </c>
      <c r="C54">
        <v>6.91</v>
      </c>
      <c r="D54">
        <v>0.44800000000000001</v>
      </c>
      <c r="E54">
        <v>5.399</v>
      </c>
      <c r="F54">
        <v>95.3</v>
      </c>
      <c r="G54">
        <v>5.87</v>
      </c>
      <c r="H54">
        <v>3</v>
      </c>
      <c r="I54">
        <v>233</v>
      </c>
      <c r="J54">
        <v>17.899999999999999</v>
      </c>
      <c r="K54">
        <v>396.9</v>
      </c>
      <c r="L54">
        <v>30.81</v>
      </c>
      <c r="M54">
        <v>14.4</v>
      </c>
      <c r="O54" s="101">
        <f t="shared" si="4"/>
        <v>-0.39097374491345155</v>
      </c>
      <c r="P54" s="101">
        <f t="shared" si="5"/>
        <v>-0.61672650842318566</v>
      </c>
      <c r="Q54" s="101">
        <f t="shared" si="6"/>
        <v>-0.92166713822295621</v>
      </c>
      <c r="R54" s="101">
        <f t="shared" si="7"/>
        <v>-1.2617267137975094</v>
      </c>
      <c r="S54" s="101">
        <f t="shared" si="8"/>
        <v>0.95035979733243992</v>
      </c>
      <c r="T54" s="101">
        <f t="shared" si="9"/>
        <v>0.9863706704632389</v>
      </c>
      <c r="U54" s="101">
        <f t="shared" si="10"/>
        <v>-0.75292215148502073</v>
      </c>
      <c r="V54" s="101">
        <f t="shared" si="11"/>
        <v>-1.0407830309533175</v>
      </c>
      <c r="W54" s="101">
        <f t="shared" si="12"/>
        <v>-0.25685789872609083</v>
      </c>
      <c r="X54" s="101">
        <f t="shared" si="13"/>
        <v>0.44105193260702835</v>
      </c>
      <c r="Y54" s="101">
        <f t="shared" si="14"/>
        <v>2.545126519962261</v>
      </c>
      <c r="Z54" s="101">
        <f t="shared" si="15"/>
        <v>-0.88515412546366257</v>
      </c>
      <c r="AB54" t="s">
        <v>592</v>
      </c>
      <c r="AC54" s="103">
        <f>CORREL($Z$6:$Z$511,AQ6:AQ511)</f>
        <v>-0.68745042119521604</v>
      </c>
      <c r="AD54" s="103">
        <f t="shared" ref="AD54:AM54" si="41">CORREL($Z$6:$Z$511,AR6:AR511)</f>
        <v>0.60664734355330396</v>
      </c>
      <c r="AE54" s="103">
        <f t="shared" si="41"/>
        <v>5.6703119447776833E-2</v>
      </c>
      <c r="AF54" s="103">
        <f t="shared" si="41"/>
        <v>0.12675954235268333</v>
      </c>
      <c r="AG54" s="103">
        <f t="shared" si="41"/>
        <v>-1.5484111401596626E-2</v>
      </c>
      <c r="AH54" s="103">
        <f t="shared" si="41"/>
        <v>-3.1271498154841981E-2</v>
      </c>
      <c r="AI54" s="103">
        <f t="shared" si="41"/>
        <v>0.14279624469184948</v>
      </c>
      <c r="AJ54" s="103">
        <f t="shared" si="41"/>
        <v>-0.22227386419280329</v>
      </c>
      <c r="AK54" s="103">
        <f t="shared" si="41"/>
        <v>0.18311492475240868</v>
      </c>
      <c r="AL54" s="103">
        <f t="shared" si="41"/>
        <v>7.3494965551871641E-2</v>
      </c>
      <c r="AM54" s="103">
        <f t="shared" si="41"/>
        <v>0.17076822980543341</v>
      </c>
      <c r="AN54" s="103">
        <f>CORREL($Z$6:$Z$511,BB6:BB511)</f>
        <v>3.1610396616266349E-2</v>
      </c>
      <c r="AQ54" s="101">
        <v>-3.8382872201151913E-2</v>
      </c>
      <c r="AR54" s="101">
        <v>-2.3836184790988169</v>
      </c>
      <c r="AS54" s="101">
        <v>-1.5590690557561846</v>
      </c>
      <c r="AT54" s="101">
        <v>-0.90647441317726829</v>
      </c>
      <c r="AU54" s="101">
        <v>-0.4948300088935299</v>
      </c>
      <c r="AV54" s="101">
        <v>0.91645896405338168</v>
      </c>
      <c r="AW54" s="101">
        <v>-1.4384990762062813</v>
      </c>
      <c r="AX54" s="101">
        <v>-0.58414766072577118</v>
      </c>
      <c r="AY54" s="101">
        <v>1.1728103870475493</v>
      </c>
      <c r="AZ54" s="101">
        <v>0.3167802780004787</v>
      </c>
      <c r="BA54" s="101">
        <v>0.27740763629029896</v>
      </c>
      <c r="BB54" s="101">
        <v>-0.19744602882457635</v>
      </c>
    </row>
    <row r="55" spans="2:54">
      <c r="B55">
        <v>0.21976999999999999</v>
      </c>
      <c r="C55">
        <v>6.91</v>
      </c>
      <c r="D55">
        <v>0.44800000000000001</v>
      </c>
      <c r="E55">
        <v>5.6020000000000003</v>
      </c>
      <c r="F55">
        <v>62</v>
      </c>
      <c r="G55">
        <v>6.0876999999999999</v>
      </c>
      <c r="H55">
        <v>3</v>
      </c>
      <c r="I55">
        <v>233</v>
      </c>
      <c r="J55">
        <v>17.899999999999999</v>
      </c>
      <c r="K55">
        <v>396.9</v>
      </c>
      <c r="L55">
        <v>16.2</v>
      </c>
      <c r="M55">
        <v>19.399999999999999</v>
      </c>
      <c r="O55" s="101">
        <f t="shared" si="4"/>
        <v>-0.3949420721454458</v>
      </c>
      <c r="P55" s="101">
        <f t="shared" si="5"/>
        <v>-0.61672650842318566</v>
      </c>
      <c r="Q55" s="101">
        <f t="shared" si="6"/>
        <v>-0.92166713822295621</v>
      </c>
      <c r="R55" s="101">
        <f t="shared" si="7"/>
        <v>-0.97252100254822826</v>
      </c>
      <c r="S55" s="101">
        <f t="shared" si="8"/>
        <v>-0.23380724620793725</v>
      </c>
      <c r="T55" s="101">
        <f t="shared" si="9"/>
        <v>1.0898585319685401</v>
      </c>
      <c r="U55" s="101">
        <f t="shared" si="10"/>
        <v>-0.75292215148502073</v>
      </c>
      <c r="V55" s="101">
        <f t="shared" si="11"/>
        <v>-1.0407830309533175</v>
      </c>
      <c r="W55" s="101">
        <f t="shared" si="12"/>
        <v>-0.25685789872609083</v>
      </c>
      <c r="X55" s="101">
        <f t="shared" si="13"/>
        <v>0.44105193260702835</v>
      </c>
      <c r="Y55" s="101">
        <f t="shared" si="14"/>
        <v>0.4971875448795976</v>
      </c>
      <c r="Z55" s="101">
        <f t="shared" si="15"/>
        <v>-0.3409667378705788</v>
      </c>
      <c r="AB55" s="57"/>
      <c r="AQ55" s="101">
        <v>-1.2958356606032226</v>
      </c>
      <c r="AR55" s="101">
        <v>-1.7448756911107808</v>
      </c>
      <c r="AS55" s="101">
        <v>-0.60926260838568025</v>
      </c>
      <c r="AT55" s="101">
        <v>-0.46744017644539193</v>
      </c>
      <c r="AU55" s="101">
        <v>-0.3085277118485128</v>
      </c>
      <c r="AV55" s="101">
        <v>0.17510855702630596</v>
      </c>
      <c r="AW55" s="101">
        <v>-0.24708783722794184</v>
      </c>
      <c r="AX55" s="101">
        <v>-0.253527445186844</v>
      </c>
      <c r="AY55" s="101">
        <v>0.29507821187329586</v>
      </c>
      <c r="AZ55" s="101">
        <v>0.33983655065056406</v>
      </c>
      <c r="BA55" s="101">
        <v>0.14828820941050208</v>
      </c>
      <c r="BB55" s="101">
        <v>-0.2427354606532805</v>
      </c>
    </row>
    <row r="56" spans="2:54">
      <c r="B56">
        <v>8.8730000000000003E-2</v>
      </c>
      <c r="C56">
        <v>5.64</v>
      </c>
      <c r="D56">
        <v>0.439</v>
      </c>
      <c r="E56">
        <v>5.9630000000000001</v>
      </c>
      <c r="F56">
        <v>45.7</v>
      </c>
      <c r="G56">
        <v>6.8147000000000002</v>
      </c>
      <c r="H56">
        <v>4</v>
      </c>
      <c r="I56">
        <v>243</v>
      </c>
      <c r="J56">
        <v>16.8</v>
      </c>
      <c r="K56">
        <v>395.56</v>
      </c>
      <c r="L56">
        <v>13.45</v>
      </c>
      <c r="M56">
        <v>19.7</v>
      </c>
      <c r="O56" s="101">
        <f t="shared" si="4"/>
        <v>-0.41019162054663444</v>
      </c>
      <c r="P56" s="101">
        <f t="shared" si="5"/>
        <v>-0.80203137754903286</v>
      </c>
      <c r="Q56" s="101">
        <f t="shared" si="6"/>
        <v>-0.99941210878972153</v>
      </c>
      <c r="R56" s="101">
        <f t="shared" si="7"/>
        <v>-0.45821922047438468</v>
      </c>
      <c r="S56" s="101">
        <f t="shared" si="8"/>
        <v>-0.81344456782079444</v>
      </c>
      <c r="T56" s="101">
        <f t="shared" si="9"/>
        <v>1.4354518958378744</v>
      </c>
      <c r="U56" s="101">
        <f t="shared" si="10"/>
        <v>-0.63796179884427828</v>
      </c>
      <c r="V56" s="101">
        <f t="shared" si="11"/>
        <v>-0.98139020207518746</v>
      </c>
      <c r="W56" s="101">
        <f t="shared" si="12"/>
        <v>-0.76545664092081123</v>
      </c>
      <c r="X56" s="101">
        <f t="shared" si="13"/>
        <v>0.42635969240740224</v>
      </c>
      <c r="Y56" s="101">
        <f t="shared" si="14"/>
        <v>0.11170964060325772</v>
      </c>
      <c r="Z56" s="101">
        <f t="shared" si="15"/>
        <v>-0.30831549461499369</v>
      </c>
      <c r="AQ56" s="101">
        <v>-1.9520500963715912</v>
      </c>
      <c r="AR56" s="101">
        <v>-1.4436008649879546</v>
      </c>
      <c r="AS56" s="101">
        <v>-0.11246440561850765</v>
      </c>
      <c r="AT56" s="101">
        <v>-0.70272248134336368</v>
      </c>
      <c r="AU56" s="101">
        <v>-0.48313930320147935</v>
      </c>
      <c r="AV56" s="101">
        <v>-0.2133943364175693</v>
      </c>
      <c r="AW56" s="101">
        <v>-0.40599231021876314</v>
      </c>
      <c r="AX56" s="101">
        <v>4.2429512521722321E-2</v>
      </c>
      <c r="AY56" s="101">
        <v>0.16470576137735055</v>
      </c>
      <c r="AZ56" s="101">
        <v>0.15565454694590747</v>
      </c>
      <c r="BA56" s="101">
        <v>3.0027500699374959E-2</v>
      </c>
      <c r="BB56" s="101">
        <v>-0.29846635293508572</v>
      </c>
    </row>
    <row r="57" spans="2:54">
      <c r="B57">
        <v>4.3369999999999999E-2</v>
      </c>
      <c r="C57">
        <v>5.64</v>
      </c>
      <c r="D57">
        <v>0.439</v>
      </c>
      <c r="E57">
        <v>6.1150000000000002</v>
      </c>
      <c r="F57">
        <v>63</v>
      </c>
      <c r="G57">
        <v>6.8147000000000002</v>
      </c>
      <c r="H57">
        <v>4</v>
      </c>
      <c r="I57">
        <v>243</v>
      </c>
      <c r="J57">
        <v>16.8</v>
      </c>
      <c r="K57">
        <v>393.97</v>
      </c>
      <c r="L57">
        <v>9.43</v>
      </c>
      <c r="M57">
        <v>20.5</v>
      </c>
      <c r="O57" s="101">
        <f t="shared" si="4"/>
        <v>-0.41547031037781512</v>
      </c>
      <c r="P57" s="101">
        <f t="shared" si="5"/>
        <v>-0.80203137754903286</v>
      </c>
      <c r="Q57" s="101">
        <f t="shared" si="6"/>
        <v>-0.99941210878972153</v>
      </c>
      <c r="R57" s="101">
        <f t="shared" si="7"/>
        <v>-0.2416711017064502</v>
      </c>
      <c r="S57" s="101">
        <f t="shared" si="8"/>
        <v>-0.19824667432984783</v>
      </c>
      <c r="T57" s="101">
        <f t="shared" si="9"/>
        <v>1.4354518958378744</v>
      </c>
      <c r="U57" s="101">
        <f t="shared" si="10"/>
        <v>-0.63796179884427828</v>
      </c>
      <c r="V57" s="101">
        <f t="shared" si="11"/>
        <v>-0.98139020207518746</v>
      </c>
      <c r="W57" s="101">
        <f t="shared" si="12"/>
        <v>-0.76545664092081123</v>
      </c>
      <c r="X57" s="101">
        <f t="shared" si="13"/>
        <v>0.40892636261829357</v>
      </c>
      <c r="Y57" s="101">
        <f t="shared" si="14"/>
        <v>-0.45178896855706452</v>
      </c>
      <c r="Z57" s="101">
        <f t="shared" si="15"/>
        <v>-0.22124551260010017</v>
      </c>
      <c r="AQ57" s="101">
        <v>-2.0165723990044593</v>
      </c>
      <c r="AR57" s="101">
        <v>-1.0029093401275331</v>
      </c>
      <c r="AS57" s="101">
        <v>-0.16527311494647848</v>
      </c>
      <c r="AT57" s="101">
        <v>-0.53604584108584918</v>
      </c>
      <c r="AU57" s="101">
        <v>-0.33215974286605221</v>
      </c>
      <c r="AV57" s="101">
        <v>2.2568493707343724E-2</v>
      </c>
      <c r="AW57" s="101">
        <v>-0.46369153430448784</v>
      </c>
      <c r="AX57" s="101">
        <v>3.5680864048395253E-2</v>
      </c>
      <c r="AY57" s="101">
        <v>-0.21380966239707128</v>
      </c>
      <c r="AZ57" s="101">
        <v>0.67240851187209472</v>
      </c>
      <c r="BA57" s="101">
        <v>-0.13605083020633588</v>
      </c>
      <c r="BB57" s="101">
        <v>-0.34455917321634311</v>
      </c>
    </row>
    <row r="58" spans="2:54">
      <c r="B58">
        <v>5.3600000000000002E-2</v>
      </c>
      <c r="C58">
        <v>5.64</v>
      </c>
      <c r="D58">
        <v>0.439</v>
      </c>
      <c r="E58">
        <v>6.5110000000000001</v>
      </c>
      <c r="F58">
        <v>21.1</v>
      </c>
      <c r="G58">
        <v>6.8147000000000002</v>
      </c>
      <c r="H58">
        <v>4</v>
      </c>
      <c r="I58">
        <v>243</v>
      </c>
      <c r="J58">
        <v>16.8</v>
      </c>
      <c r="K58">
        <v>396.9</v>
      </c>
      <c r="L58">
        <v>5.28</v>
      </c>
      <c r="M58">
        <v>25</v>
      </c>
      <c r="O58" s="101">
        <f t="shared" si="4"/>
        <v>-0.4142798122082168</v>
      </c>
      <c r="P58" s="101">
        <f t="shared" si="5"/>
        <v>-0.80203137754903286</v>
      </c>
      <c r="Q58" s="101">
        <f t="shared" si="6"/>
        <v>-0.99941210878972153</v>
      </c>
      <c r="R58" s="101">
        <f t="shared" si="7"/>
        <v>0.32249373403106268</v>
      </c>
      <c r="S58" s="101">
        <f t="shared" si="8"/>
        <v>-1.6882346360217939</v>
      </c>
      <c r="T58" s="101">
        <f t="shared" si="9"/>
        <v>1.4354518958378744</v>
      </c>
      <c r="U58" s="101">
        <f t="shared" si="10"/>
        <v>-0.63796179884427828</v>
      </c>
      <c r="V58" s="101">
        <f t="shared" si="11"/>
        <v>-0.98139020207518746</v>
      </c>
      <c r="W58" s="101">
        <f t="shared" si="12"/>
        <v>-0.76545664092081123</v>
      </c>
      <c r="X58" s="101">
        <f t="shared" si="13"/>
        <v>0.44105193260702835</v>
      </c>
      <c r="Y58" s="101">
        <f t="shared" si="14"/>
        <v>-1.0335101695559046</v>
      </c>
      <c r="Z58" s="101">
        <f t="shared" si="15"/>
        <v>0.26852313623367541</v>
      </c>
      <c r="AQ58" s="101">
        <v>-2.9094190900157821</v>
      </c>
      <c r="AR58" s="101">
        <v>-0.63770306149218492</v>
      </c>
      <c r="AS58" s="101">
        <v>0.63888634678743594</v>
      </c>
      <c r="AT58" s="101">
        <v>-0.35843460806097932</v>
      </c>
      <c r="AU58" s="101">
        <v>-0.30467188418359931</v>
      </c>
      <c r="AV58" s="101">
        <v>-0.54326830527054937</v>
      </c>
      <c r="AW58" s="101">
        <v>0.16422537855529845</v>
      </c>
      <c r="AX58" s="101">
        <v>0.43241971236832827</v>
      </c>
      <c r="AY58" s="101">
        <v>-0.13043025496832866</v>
      </c>
      <c r="AZ58" s="101">
        <v>-9.9107405502018811E-2</v>
      </c>
      <c r="BA58" s="101">
        <v>3.8514920687564139E-2</v>
      </c>
      <c r="BB58" s="101">
        <v>-0.2844505509290382</v>
      </c>
    </row>
    <row r="59" spans="2:54">
      <c r="B59">
        <v>4.981E-2</v>
      </c>
      <c r="C59">
        <v>5.64</v>
      </c>
      <c r="D59">
        <v>0.439</v>
      </c>
      <c r="E59">
        <v>5.9980000000000002</v>
      </c>
      <c r="F59">
        <v>21.4</v>
      </c>
      <c r="G59">
        <v>6.8147000000000002</v>
      </c>
      <c r="H59">
        <v>4</v>
      </c>
      <c r="I59">
        <v>243</v>
      </c>
      <c r="J59">
        <v>16.8</v>
      </c>
      <c r="K59">
        <v>396.9</v>
      </c>
      <c r="L59">
        <v>8.43</v>
      </c>
      <c r="M59">
        <v>23.4</v>
      </c>
      <c r="O59" s="101">
        <f t="shared" si="4"/>
        <v>-0.41472086675980796</v>
      </c>
      <c r="P59" s="101">
        <f t="shared" si="5"/>
        <v>-0.80203137754903286</v>
      </c>
      <c r="Q59" s="101">
        <f t="shared" si="6"/>
        <v>-0.99941210878972153</v>
      </c>
      <c r="R59" s="101">
        <f t="shared" si="7"/>
        <v>-0.4083561668107154</v>
      </c>
      <c r="S59" s="101">
        <f t="shared" si="8"/>
        <v>-1.6775664644583672</v>
      </c>
      <c r="T59" s="101">
        <f t="shared" si="9"/>
        <v>1.4354518958378744</v>
      </c>
      <c r="U59" s="101">
        <f t="shared" si="10"/>
        <v>-0.63796179884427828</v>
      </c>
      <c r="V59" s="101">
        <f t="shared" si="11"/>
        <v>-0.98139020207518746</v>
      </c>
      <c r="W59" s="101">
        <f t="shared" si="12"/>
        <v>-0.76545664092081123</v>
      </c>
      <c r="X59" s="101">
        <f t="shared" si="13"/>
        <v>0.44105193260702835</v>
      </c>
      <c r="Y59" s="101">
        <f t="shared" si="14"/>
        <v>-0.59196275193027903</v>
      </c>
      <c r="Z59" s="101">
        <f t="shared" si="15"/>
        <v>9.4383172203888394E-2</v>
      </c>
      <c r="AQ59" s="101">
        <v>-2.5635904520086865</v>
      </c>
      <c r="AR59" s="101">
        <v>-1.2361753550161925</v>
      </c>
      <c r="AS59" s="101">
        <v>0.36111672062890049</v>
      </c>
      <c r="AT59" s="101">
        <v>-0.53659946012629589</v>
      </c>
      <c r="AU59" s="101">
        <v>-0.46596463973259733</v>
      </c>
      <c r="AV59" s="101">
        <v>-0.67870243608632252</v>
      </c>
      <c r="AW59" s="101">
        <v>0.24674648194785287</v>
      </c>
      <c r="AX59" s="101">
        <v>0.12005257421051416</v>
      </c>
      <c r="AY59" s="101">
        <v>6.1947057972151845E-3</v>
      </c>
      <c r="AZ59" s="101">
        <v>-8.2795317291213477E-2</v>
      </c>
      <c r="BA59" s="101">
        <v>0.10988252067534988</v>
      </c>
      <c r="BB59" s="101">
        <v>-0.27383444965137577</v>
      </c>
    </row>
    <row r="60" spans="2:54">
      <c r="B60">
        <v>1.3599999999999999E-2</v>
      </c>
      <c r="C60">
        <v>4</v>
      </c>
      <c r="D60">
        <v>0.41</v>
      </c>
      <c r="E60">
        <v>5.8879999999999999</v>
      </c>
      <c r="F60">
        <v>47.6</v>
      </c>
      <c r="G60">
        <v>7.3197000000000001</v>
      </c>
      <c r="H60">
        <v>3</v>
      </c>
      <c r="I60">
        <v>469</v>
      </c>
      <c r="J60">
        <v>21.1</v>
      </c>
      <c r="K60">
        <v>396.9</v>
      </c>
      <c r="L60">
        <v>14.8</v>
      </c>
      <c r="M60">
        <v>18.899999999999999</v>
      </c>
      <c r="O60" s="101">
        <f t="shared" si="4"/>
        <v>-0.41893474151260895</v>
      </c>
      <c r="P60" s="101">
        <f t="shared" si="5"/>
        <v>-1.041322704609182</v>
      </c>
      <c r="Q60" s="101">
        <f t="shared" si="6"/>
        <v>-1.2499236806159655</v>
      </c>
      <c r="R60" s="101">
        <f t="shared" si="7"/>
        <v>-0.56506862118224721</v>
      </c>
      <c r="S60" s="101">
        <f t="shared" si="8"/>
        <v>-0.74587948125242465</v>
      </c>
      <c r="T60" s="101">
        <f t="shared" si="9"/>
        <v>1.6755133109052933</v>
      </c>
      <c r="U60" s="101">
        <f t="shared" si="10"/>
        <v>-0.75292215148502073</v>
      </c>
      <c r="V60" s="101">
        <f t="shared" si="11"/>
        <v>0.3608877305705504</v>
      </c>
      <c r="W60" s="101">
        <f t="shared" si="12"/>
        <v>1.2227020785676452</v>
      </c>
      <c r="X60" s="101">
        <f t="shared" si="13"/>
        <v>0.44105193260702835</v>
      </c>
      <c r="Y60" s="101">
        <f t="shared" si="14"/>
        <v>0.30094424815709747</v>
      </c>
      <c r="Z60" s="101">
        <f t="shared" si="15"/>
        <v>-0.39538547662988721</v>
      </c>
      <c r="AQ60" s="101">
        <v>-1.2257133779155771</v>
      </c>
      <c r="AR60" s="101">
        <v>-2.2688891638552273</v>
      </c>
      <c r="AS60" s="101">
        <v>0.83280441190586785</v>
      </c>
      <c r="AT60" s="101">
        <v>0.59858796747066778</v>
      </c>
      <c r="AU60" s="101">
        <v>0.25359889684278902</v>
      </c>
      <c r="AV60" s="101">
        <v>0.11401569581358012</v>
      </c>
      <c r="AW60" s="101">
        <v>-0.59904014498140745</v>
      </c>
      <c r="AX60" s="101">
        <v>-0.18222512043417349</v>
      </c>
      <c r="AY60" s="101">
        <v>0.24340522828290681</v>
      </c>
      <c r="AZ60" s="101">
        <v>0.26392672967569586</v>
      </c>
      <c r="BA60" s="101">
        <v>0.17792962034783402</v>
      </c>
      <c r="BB60" s="101">
        <v>0.89815177432695703</v>
      </c>
    </row>
    <row r="61" spans="2:54">
      <c r="B61">
        <v>1.311E-2</v>
      </c>
      <c r="C61">
        <v>1.22</v>
      </c>
      <c r="D61">
        <v>0.40300000000000002</v>
      </c>
      <c r="E61">
        <v>7.2489999999999997</v>
      </c>
      <c r="F61">
        <v>21.9</v>
      </c>
      <c r="G61">
        <v>8.6966000000000001</v>
      </c>
      <c r="H61">
        <v>5</v>
      </c>
      <c r="I61">
        <v>226</v>
      </c>
      <c r="J61">
        <v>17.899999999999999</v>
      </c>
      <c r="K61">
        <v>395.93</v>
      </c>
      <c r="L61">
        <v>4.8099999999999996</v>
      </c>
      <c r="M61">
        <v>35.4</v>
      </c>
      <c r="O61" s="101">
        <f t="shared" si="4"/>
        <v>-0.4189917643965877</v>
      </c>
      <c r="P61" s="101">
        <f t="shared" si="5"/>
        <v>-1.4469506858452881</v>
      </c>
      <c r="Q61" s="101">
        <f t="shared" si="6"/>
        <v>-1.3103919910567825</v>
      </c>
      <c r="R61" s="101">
        <f t="shared" si="7"/>
        <v>1.3738918369964273</v>
      </c>
      <c r="S61" s="101">
        <f t="shared" si="8"/>
        <v>-1.6597861785193224</v>
      </c>
      <c r="T61" s="101">
        <f t="shared" si="9"/>
        <v>2.3300490780465397</v>
      </c>
      <c r="U61" s="101">
        <f t="shared" si="10"/>
        <v>-0.52300144620353584</v>
      </c>
      <c r="V61" s="101">
        <f t="shared" si="11"/>
        <v>-1.0823580111680084</v>
      </c>
      <c r="W61" s="101">
        <f t="shared" si="12"/>
        <v>-0.25685789872609083</v>
      </c>
      <c r="X61" s="101">
        <f t="shared" si="13"/>
        <v>0.43041650499983641</v>
      </c>
      <c r="Y61" s="101">
        <f t="shared" si="14"/>
        <v>-1.0993918477413156</v>
      </c>
      <c r="Z61" s="101">
        <f t="shared" si="15"/>
        <v>1.4004329024272899</v>
      </c>
      <c r="AQ61" s="101">
        <v>-3.9314497027302693</v>
      </c>
      <c r="AR61" s="101">
        <v>-8.602242136058913E-2</v>
      </c>
      <c r="AS61" s="101">
        <v>1.5624085693306464</v>
      </c>
      <c r="AT61" s="101">
        <v>6.1144209792555193E-2</v>
      </c>
      <c r="AU61" s="101">
        <v>-5.134732676165589E-2</v>
      </c>
      <c r="AV61" s="101">
        <v>-1.2434234242452706E-2</v>
      </c>
      <c r="AW61" s="101">
        <v>-0.47093995101345465</v>
      </c>
      <c r="AX61" s="101">
        <v>0.18083716574055431</v>
      </c>
      <c r="AY61" s="101">
        <v>0.20725824615284411</v>
      </c>
      <c r="AZ61" s="101">
        <v>0.12028229180385705</v>
      </c>
      <c r="BA61" s="101">
        <v>0.82354813343850686</v>
      </c>
      <c r="BB61" s="101">
        <v>-0.15031595375262136</v>
      </c>
    </row>
    <row r="62" spans="2:54">
      <c r="B62">
        <v>2.0549999999999999E-2</v>
      </c>
      <c r="C62">
        <v>0.74</v>
      </c>
      <c r="D62">
        <v>0.41</v>
      </c>
      <c r="E62">
        <v>6.383</v>
      </c>
      <c r="F62">
        <v>35.700000000000003</v>
      </c>
      <c r="G62">
        <v>9.1875999999999998</v>
      </c>
      <c r="H62">
        <v>2</v>
      </c>
      <c r="I62">
        <v>313</v>
      </c>
      <c r="J62">
        <v>17.3</v>
      </c>
      <c r="K62">
        <v>396.9</v>
      </c>
      <c r="L62">
        <v>5.77</v>
      </c>
      <c r="M62">
        <v>24.7</v>
      </c>
      <c r="O62" s="101">
        <f t="shared" si="4"/>
        <v>-0.41812594754597082</v>
      </c>
      <c r="P62" s="101">
        <f t="shared" si="5"/>
        <v>-1.5169871718141124</v>
      </c>
      <c r="Q62" s="101">
        <f t="shared" si="6"/>
        <v>-1.2499236806159655</v>
      </c>
      <c r="R62" s="101">
        <f t="shared" si="7"/>
        <v>0.14013742348964417</v>
      </c>
      <c r="S62" s="101">
        <f t="shared" si="8"/>
        <v>-1.1690502866016885</v>
      </c>
      <c r="T62" s="101">
        <f t="shared" si="9"/>
        <v>2.5634553251714953</v>
      </c>
      <c r="U62" s="101">
        <f t="shared" si="10"/>
        <v>-0.86788250412576318</v>
      </c>
      <c r="V62" s="101">
        <f t="shared" si="11"/>
        <v>-0.56564039992827753</v>
      </c>
      <c r="W62" s="101">
        <f t="shared" si="12"/>
        <v>-0.53427539446866512</v>
      </c>
      <c r="X62" s="101">
        <f t="shared" si="13"/>
        <v>0.44105193260702835</v>
      </c>
      <c r="Y62" s="101">
        <f t="shared" si="14"/>
        <v>-0.96482501570302959</v>
      </c>
      <c r="Z62" s="101">
        <f t="shared" si="15"/>
        <v>0.2358718929780903</v>
      </c>
      <c r="AQ62" s="101">
        <v>-3.2294744104541948</v>
      </c>
      <c r="AR62" s="101">
        <v>-1.2432450411538791</v>
      </c>
      <c r="AS62" s="101">
        <v>1.0009528781333963</v>
      </c>
      <c r="AT62" s="101">
        <v>-0.38278042246484767</v>
      </c>
      <c r="AU62" s="101">
        <v>-0.34857868052907648</v>
      </c>
      <c r="AV62" s="101">
        <v>-0.33845682850857134</v>
      </c>
      <c r="AW62" s="101">
        <v>-0.64163498438325728</v>
      </c>
      <c r="AX62" s="101">
        <v>0.105371952995288</v>
      </c>
      <c r="AY62" s="101">
        <v>-0.37222056697800904</v>
      </c>
      <c r="AZ62" s="101">
        <v>0.66684973934436631</v>
      </c>
      <c r="BA62" s="101">
        <v>0.30335832634982446</v>
      </c>
      <c r="BB62" s="101">
        <v>0.27922266848952881</v>
      </c>
    </row>
    <row r="63" spans="2:54">
      <c r="B63">
        <v>1.4319999999999999E-2</v>
      </c>
      <c r="C63">
        <v>1.32</v>
      </c>
      <c r="D63">
        <v>0.41099999999999998</v>
      </c>
      <c r="E63">
        <v>6.8159999999999998</v>
      </c>
      <c r="F63">
        <v>40.5</v>
      </c>
      <c r="G63">
        <v>8.3247999999999998</v>
      </c>
      <c r="H63">
        <v>5</v>
      </c>
      <c r="I63">
        <v>256</v>
      </c>
      <c r="J63">
        <v>15.1</v>
      </c>
      <c r="K63">
        <v>392.9</v>
      </c>
      <c r="L63">
        <v>3.95</v>
      </c>
      <c r="M63">
        <v>31.6</v>
      </c>
      <c r="O63" s="101">
        <f t="shared" si="4"/>
        <v>-0.41885095278512985</v>
      </c>
      <c r="P63" s="101">
        <f t="shared" si="5"/>
        <v>-1.4323597512684498</v>
      </c>
      <c r="Q63" s="101">
        <f t="shared" si="6"/>
        <v>-1.2412853505529917</v>
      </c>
      <c r="R63" s="101">
        <f t="shared" si="7"/>
        <v>0.75701463024303572</v>
      </c>
      <c r="S63" s="101">
        <f t="shared" si="8"/>
        <v>-0.99835954158685947</v>
      </c>
      <c r="T63" s="101">
        <f t="shared" si="9"/>
        <v>2.1533068322602693</v>
      </c>
      <c r="U63" s="101">
        <f t="shared" si="10"/>
        <v>-0.52300144620353584</v>
      </c>
      <c r="V63" s="101">
        <f t="shared" si="11"/>
        <v>-0.90417952453361849</v>
      </c>
      <c r="W63" s="101">
        <f t="shared" si="12"/>
        <v>-1.5514728788581083</v>
      </c>
      <c r="X63" s="101">
        <f t="shared" si="13"/>
        <v>0.39719449917530775</v>
      </c>
      <c r="Y63" s="101">
        <f t="shared" si="14"/>
        <v>-1.2199413014422797</v>
      </c>
      <c r="Z63" s="101">
        <f t="shared" si="15"/>
        <v>0.98685048785654639</v>
      </c>
      <c r="AQ63" s="101">
        <v>-3.653883301698122</v>
      </c>
      <c r="AR63" s="101">
        <v>6.8643801268062576E-2</v>
      </c>
      <c r="AS63" s="101">
        <v>0.82625095503059609</v>
      </c>
      <c r="AT63" s="101">
        <v>-0.74022911505914712</v>
      </c>
      <c r="AU63" s="101">
        <v>-0.62925980138423243</v>
      </c>
      <c r="AV63" s="101">
        <v>-0.43291456002335016</v>
      </c>
      <c r="AW63" s="101">
        <v>-0.6294579581079226</v>
      </c>
      <c r="AX63" s="101">
        <v>-6.3639769023894066E-2</v>
      </c>
      <c r="AY63" s="101">
        <v>-0.14284097188170586</v>
      </c>
      <c r="AZ63" s="101">
        <v>0.66131031078403313</v>
      </c>
      <c r="BA63" s="101">
        <v>0.15286997666954294</v>
      </c>
      <c r="BB63" s="101">
        <v>-0.20365951671743876</v>
      </c>
    </row>
    <row r="64" spans="2:54">
      <c r="B64">
        <v>0.15445</v>
      </c>
      <c r="C64">
        <v>5.13</v>
      </c>
      <c r="D64">
        <v>0.45300000000000001</v>
      </c>
      <c r="E64">
        <v>6.1449999999999996</v>
      </c>
      <c r="F64">
        <v>29.2</v>
      </c>
      <c r="G64">
        <v>7.8148</v>
      </c>
      <c r="H64">
        <v>8</v>
      </c>
      <c r="I64">
        <v>284</v>
      </c>
      <c r="J64">
        <v>19.7</v>
      </c>
      <c r="K64">
        <v>390.68</v>
      </c>
      <c r="L64">
        <v>6.86</v>
      </c>
      <c r="M64">
        <v>23.3</v>
      </c>
      <c r="O64" s="101">
        <f t="shared" si="4"/>
        <v>-0.40254357169951815</v>
      </c>
      <c r="P64" s="101">
        <f t="shared" si="5"/>
        <v>-0.87644514389090844</v>
      </c>
      <c r="Q64" s="101">
        <f t="shared" si="6"/>
        <v>-0.87847548790808649</v>
      </c>
      <c r="R64" s="101">
        <f t="shared" si="7"/>
        <v>-0.19893134142330618</v>
      </c>
      <c r="S64" s="101">
        <f t="shared" si="8"/>
        <v>-1.4001940038092697</v>
      </c>
      <c r="T64" s="101">
        <f t="shared" si="9"/>
        <v>1.9108685714991136</v>
      </c>
      <c r="U64" s="101">
        <f t="shared" si="10"/>
        <v>-0.17812038828130847</v>
      </c>
      <c r="V64" s="101">
        <f t="shared" si="11"/>
        <v>-0.7378796036748545</v>
      </c>
      <c r="W64" s="101">
        <f t="shared" si="12"/>
        <v>0.57539458850163527</v>
      </c>
      <c r="X64" s="101">
        <f t="shared" si="13"/>
        <v>0.37285362362070312</v>
      </c>
      <c r="Y64" s="101">
        <f t="shared" si="14"/>
        <v>-0.81203559182622564</v>
      </c>
      <c r="Z64" s="101">
        <f t="shared" si="15"/>
        <v>8.3499424452026946E-2</v>
      </c>
      <c r="AQ64" s="101">
        <v>-2.1887378501229913</v>
      </c>
      <c r="AR64" s="101">
        <v>-1.4855842580033121</v>
      </c>
      <c r="AS64" s="101">
        <v>1.1227137134105534</v>
      </c>
      <c r="AT64" s="101">
        <v>0.34362766936860628</v>
      </c>
      <c r="AU64" s="101">
        <v>0.12636911712500476</v>
      </c>
      <c r="AV64" s="101">
        <v>-0.34294906555310561</v>
      </c>
      <c r="AW64" s="101">
        <v>-3.0194109899964579E-2</v>
      </c>
      <c r="AX64" s="101">
        <v>7.1738590214053127E-2</v>
      </c>
      <c r="AY64" s="101">
        <v>-0.3172849759198636</v>
      </c>
      <c r="AZ64" s="101">
        <v>0.1805766843356813</v>
      </c>
      <c r="BA64" s="101">
        <v>0.57267523093559758</v>
      </c>
      <c r="BB64" s="101">
        <v>-0.29856684136649253</v>
      </c>
    </row>
    <row r="65" spans="2:54">
      <c r="B65">
        <v>0.10328</v>
      </c>
      <c r="C65">
        <v>5.13</v>
      </c>
      <c r="D65">
        <v>0.45300000000000001</v>
      </c>
      <c r="E65">
        <v>5.9269999999999996</v>
      </c>
      <c r="F65">
        <v>47.2</v>
      </c>
      <c r="G65">
        <v>6.9320000000000004</v>
      </c>
      <c r="H65">
        <v>8</v>
      </c>
      <c r="I65">
        <v>284</v>
      </c>
      <c r="J65">
        <v>19.7</v>
      </c>
      <c r="K65">
        <v>396.9</v>
      </c>
      <c r="L65">
        <v>9.2200000000000006</v>
      </c>
      <c r="M65">
        <v>19.600000000000001</v>
      </c>
      <c r="O65" s="101">
        <f t="shared" si="4"/>
        <v>-0.40849839001216182</v>
      </c>
      <c r="P65" s="101">
        <f t="shared" si="5"/>
        <v>-0.87644514389090844</v>
      </c>
      <c r="Q65" s="101">
        <f t="shared" si="6"/>
        <v>-0.87847548790808649</v>
      </c>
      <c r="R65" s="101">
        <f t="shared" si="7"/>
        <v>-0.50950693281415926</v>
      </c>
      <c r="S65" s="101">
        <f t="shared" si="8"/>
        <v>-0.76010371000366039</v>
      </c>
      <c r="T65" s="101">
        <f t="shared" si="9"/>
        <v>1.4912126958129404</v>
      </c>
      <c r="U65" s="101">
        <f t="shared" si="10"/>
        <v>-0.17812038828130847</v>
      </c>
      <c r="V65" s="101">
        <f t="shared" si="11"/>
        <v>-0.7378796036748545</v>
      </c>
      <c r="W65" s="101">
        <f t="shared" si="12"/>
        <v>0.57539458850163527</v>
      </c>
      <c r="X65" s="101">
        <f t="shared" si="13"/>
        <v>0.44105193260702835</v>
      </c>
      <c r="Y65" s="101">
        <f t="shared" si="14"/>
        <v>-0.4812254630654394</v>
      </c>
      <c r="Z65" s="101">
        <f t="shared" si="15"/>
        <v>-0.3191992423668551</v>
      </c>
      <c r="AQ65" s="101">
        <v>-1.6057437222252748</v>
      </c>
      <c r="AR65" s="101">
        <v>-1.6603567368976448</v>
      </c>
      <c r="AS65" s="101">
        <v>0.57596748888570193</v>
      </c>
      <c r="AT65" s="101">
        <v>0.31643114176687925</v>
      </c>
      <c r="AU65" s="101">
        <v>7.9283392552853757E-2</v>
      </c>
      <c r="AV65" s="101">
        <v>-2.8494976030556673E-2</v>
      </c>
      <c r="AW65" s="101">
        <v>-0.19102704831186168</v>
      </c>
      <c r="AX65" s="101">
        <v>-0.13577264685392798</v>
      </c>
      <c r="AY65" s="101">
        <v>-0.36777009099224567</v>
      </c>
      <c r="AZ65" s="101">
        <v>0.25991879502732618</v>
      </c>
      <c r="BA65" s="101">
        <v>0.24356284027350689</v>
      </c>
      <c r="BB65" s="101">
        <v>-0.33445186242458946</v>
      </c>
    </row>
    <row r="66" spans="2:54">
      <c r="B66">
        <v>0.14932000000000001</v>
      </c>
      <c r="C66">
        <v>5.13</v>
      </c>
      <c r="D66">
        <v>0.45300000000000001</v>
      </c>
      <c r="E66">
        <v>5.7409999999999997</v>
      </c>
      <c r="F66">
        <v>66.2</v>
      </c>
      <c r="G66">
        <v>7.2253999999999996</v>
      </c>
      <c r="H66">
        <v>8</v>
      </c>
      <c r="I66">
        <v>284</v>
      </c>
      <c r="J66">
        <v>19.7</v>
      </c>
      <c r="K66">
        <v>395.11</v>
      </c>
      <c r="L66">
        <v>13.15</v>
      </c>
      <c r="M66">
        <v>18.7</v>
      </c>
      <c r="O66" s="101">
        <f t="shared" si="4"/>
        <v>-0.40314056638280649</v>
      </c>
      <c r="P66" s="101">
        <f t="shared" si="5"/>
        <v>-0.87644514389090844</v>
      </c>
      <c r="Q66" s="101">
        <f t="shared" si="6"/>
        <v>-0.87847548790808649</v>
      </c>
      <c r="R66" s="101">
        <f t="shared" si="7"/>
        <v>-0.77449344656965768</v>
      </c>
      <c r="S66" s="101">
        <f t="shared" si="8"/>
        <v>-8.4452844319961626E-2</v>
      </c>
      <c r="T66" s="101">
        <f t="shared" si="9"/>
        <v>1.6306860011214166</v>
      </c>
      <c r="U66" s="101">
        <f t="shared" si="10"/>
        <v>-0.17812038828130847</v>
      </c>
      <c r="V66" s="101">
        <f t="shared" si="11"/>
        <v>-0.7378796036748545</v>
      </c>
      <c r="W66" s="101">
        <f t="shared" si="12"/>
        <v>0.57539458850163527</v>
      </c>
      <c r="X66" s="101">
        <f t="shared" si="13"/>
        <v>0.4214257311463338</v>
      </c>
      <c r="Y66" s="101">
        <f t="shared" si="14"/>
        <v>6.9657505591293523E-2</v>
      </c>
      <c r="Z66" s="101">
        <f t="shared" si="15"/>
        <v>-0.41715297213361047</v>
      </c>
      <c r="AQ66" s="101">
        <v>-1.1794391504341488</v>
      </c>
      <c r="AR66" s="101">
        <v>-1.8875099551533898</v>
      </c>
      <c r="AS66" s="101">
        <v>0.2075475995051419</v>
      </c>
      <c r="AT66" s="101">
        <v>0.17689225859905766</v>
      </c>
      <c r="AU66" s="101">
        <v>2.1270445463344115E-2</v>
      </c>
      <c r="AV66" s="101">
        <v>0.23624638174511051</v>
      </c>
      <c r="AW66" s="101">
        <v>-0.61064885400420954</v>
      </c>
      <c r="AX66" s="101">
        <v>-0.36946386998393599</v>
      </c>
      <c r="AY66" s="101">
        <v>-0.18501580869780329</v>
      </c>
      <c r="AZ66" s="101">
        <v>0.60759921427682329</v>
      </c>
      <c r="BA66" s="101">
        <v>0.35607616716429413</v>
      </c>
      <c r="BB66" s="101">
        <v>-0.32901621421956523</v>
      </c>
    </row>
    <row r="67" spans="2:54">
      <c r="B67">
        <v>0.17171</v>
      </c>
      <c r="C67">
        <v>5.13</v>
      </c>
      <c r="D67">
        <v>0.45300000000000001</v>
      </c>
      <c r="E67">
        <v>5.9660000000000002</v>
      </c>
      <c r="F67">
        <v>93.4</v>
      </c>
      <c r="G67">
        <v>6.8185000000000002</v>
      </c>
      <c r="H67">
        <v>8</v>
      </c>
      <c r="I67">
        <v>284</v>
      </c>
      <c r="J67">
        <v>19.7</v>
      </c>
      <c r="K67">
        <v>378.08</v>
      </c>
      <c r="L67">
        <v>14.44</v>
      </c>
      <c r="M67">
        <v>16</v>
      </c>
      <c r="O67" s="101">
        <f t="shared" si="4"/>
        <v>-0.40053496970467295</v>
      </c>
      <c r="P67" s="101">
        <f t="shared" si="5"/>
        <v>-0.87644514389090844</v>
      </c>
      <c r="Q67" s="101">
        <f t="shared" si="6"/>
        <v>-0.87847548790808649</v>
      </c>
      <c r="R67" s="101">
        <f t="shared" si="7"/>
        <v>-0.45394524444607004</v>
      </c>
      <c r="S67" s="101">
        <f t="shared" si="8"/>
        <v>0.88279471076407035</v>
      </c>
      <c r="T67" s="101">
        <f t="shared" si="9"/>
        <v>1.4372582985651143</v>
      </c>
      <c r="U67" s="101">
        <f t="shared" si="10"/>
        <v>-0.17812038828130847</v>
      </c>
      <c r="V67" s="101">
        <f t="shared" si="11"/>
        <v>-0.7378796036748545</v>
      </c>
      <c r="W67" s="101">
        <f t="shared" si="12"/>
        <v>0.57539458850163527</v>
      </c>
      <c r="X67" s="101">
        <f t="shared" si="13"/>
        <v>0.23470270831078291</v>
      </c>
      <c r="Y67" s="101">
        <f t="shared" si="14"/>
        <v>0.25048168614274008</v>
      </c>
      <c r="Z67" s="101">
        <f t="shared" si="15"/>
        <v>-0.71101416143387575</v>
      </c>
      <c r="AQ67" s="101">
        <v>-0.72017134682306627</v>
      </c>
      <c r="AR67" s="101">
        <v>-1.6043201735041166</v>
      </c>
      <c r="AS67" s="101">
        <v>-0.10818111780580202</v>
      </c>
      <c r="AT67" s="101">
        <v>7.169514717668099E-2</v>
      </c>
      <c r="AU67" s="101">
        <v>0.23686337887239281</v>
      </c>
      <c r="AV67" s="101">
        <v>0.82154523704785709</v>
      </c>
      <c r="AW67" s="101">
        <v>-1.1137854595744416</v>
      </c>
      <c r="AX67" s="101">
        <v>-0.3517861655252279</v>
      </c>
      <c r="AY67" s="101">
        <v>-0.27907192993526786</v>
      </c>
      <c r="AZ67" s="101">
        <v>0.92375157519678741</v>
      </c>
      <c r="BA67" s="101">
        <v>8.3100908552131814E-2</v>
      </c>
      <c r="BB67" s="101">
        <v>-0.3732262343503967</v>
      </c>
    </row>
    <row r="68" spans="2:54">
      <c r="B68">
        <v>0.11027000000000001</v>
      </c>
      <c r="C68">
        <v>5.13</v>
      </c>
      <c r="D68">
        <v>0.45300000000000001</v>
      </c>
      <c r="E68">
        <v>6.4560000000000004</v>
      </c>
      <c r="F68">
        <v>67.8</v>
      </c>
      <c r="G68">
        <v>7.2255000000000003</v>
      </c>
      <c r="H68">
        <v>8</v>
      </c>
      <c r="I68">
        <v>284</v>
      </c>
      <c r="J68">
        <v>19.7</v>
      </c>
      <c r="K68">
        <v>396.9</v>
      </c>
      <c r="L68">
        <v>6.73</v>
      </c>
      <c r="M68">
        <v>22.2</v>
      </c>
      <c r="O68" s="101">
        <f t="shared" si="4"/>
        <v>-0.40768494111621928</v>
      </c>
      <c r="P68" s="101">
        <f t="shared" si="5"/>
        <v>-0.87644514389090844</v>
      </c>
      <c r="Q68" s="101">
        <f t="shared" si="6"/>
        <v>-0.87847548790808649</v>
      </c>
      <c r="R68" s="101">
        <f t="shared" si="7"/>
        <v>0.24413750684529739</v>
      </c>
      <c r="S68" s="101">
        <f t="shared" si="8"/>
        <v>-2.7555929315018785E-2</v>
      </c>
      <c r="T68" s="101">
        <f t="shared" si="9"/>
        <v>1.6307335380352916</v>
      </c>
      <c r="U68" s="101">
        <f t="shared" si="10"/>
        <v>-0.17812038828130847</v>
      </c>
      <c r="V68" s="101">
        <f t="shared" si="11"/>
        <v>-0.7378796036748545</v>
      </c>
      <c r="W68" s="101">
        <f t="shared" si="12"/>
        <v>0.57539458850163527</v>
      </c>
      <c r="X68" s="101">
        <f t="shared" si="13"/>
        <v>0.44105193260702835</v>
      </c>
      <c r="Y68" s="101">
        <f t="shared" si="14"/>
        <v>-0.83025818366474358</v>
      </c>
      <c r="Z68" s="101">
        <f t="shared" si="15"/>
        <v>-3.6221800818451687E-2</v>
      </c>
      <c r="AQ68" s="101">
        <v>-1.775365641146301</v>
      </c>
      <c r="AR68" s="101">
        <v>-0.90052294065521465</v>
      </c>
      <c r="AS68" s="101">
        <v>0.62175067938765727</v>
      </c>
      <c r="AT68" s="101">
        <v>0.51967481617437139</v>
      </c>
      <c r="AU68" s="101">
        <v>0.27271911478345079</v>
      </c>
      <c r="AV68" s="101">
        <v>0.40572599889869237</v>
      </c>
      <c r="AW68" s="101">
        <v>-0.60855680128117151</v>
      </c>
      <c r="AX68" s="101">
        <v>1.8073554569804934E-2</v>
      </c>
      <c r="AY68" s="101">
        <v>-0.5077076753752916</v>
      </c>
      <c r="AZ68" s="101">
        <v>0.74229648060795039</v>
      </c>
      <c r="BA68" s="101">
        <v>0.2417878480338137</v>
      </c>
      <c r="BB68" s="101">
        <v>-0.34897822887921398</v>
      </c>
    </row>
    <row r="69" spans="2:54">
      <c r="B69">
        <v>0.1265</v>
      </c>
      <c r="C69">
        <v>5.13</v>
      </c>
      <c r="D69">
        <v>0.45300000000000001</v>
      </c>
      <c r="E69">
        <v>6.7619999999999996</v>
      </c>
      <c r="F69">
        <v>43.4</v>
      </c>
      <c r="G69">
        <v>7.9809000000000001</v>
      </c>
      <c r="H69">
        <v>8</v>
      </c>
      <c r="I69">
        <v>284</v>
      </c>
      <c r="J69">
        <v>19.7</v>
      </c>
      <c r="K69">
        <v>395.58</v>
      </c>
      <c r="L69">
        <v>9.5</v>
      </c>
      <c r="M69">
        <v>25</v>
      </c>
      <c r="O69" s="101">
        <f t="shared" si="4"/>
        <v>-0.40579620355096213</v>
      </c>
      <c r="P69" s="101">
        <f t="shared" si="5"/>
        <v>-0.87644514389090844</v>
      </c>
      <c r="Q69" s="101">
        <f t="shared" si="6"/>
        <v>-0.87847548790808649</v>
      </c>
      <c r="R69" s="101">
        <f t="shared" si="7"/>
        <v>0.68008306173337441</v>
      </c>
      <c r="S69" s="101">
        <f t="shared" si="8"/>
        <v>-0.8952338831404002</v>
      </c>
      <c r="T69" s="101">
        <f t="shared" si="9"/>
        <v>1.9898273854450508</v>
      </c>
      <c r="U69" s="101">
        <f t="shared" si="10"/>
        <v>-0.17812038828130847</v>
      </c>
      <c r="V69" s="101">
        <f t="shared" si="11"/>
        <v>-0.7378796036748545</v>
      </c>
      <c r="W69" s="101">
        <f t="shared" si="12"/>
        <v>0.57539458850163527</v>
      </c>
      <c r="X69" s="101">
        <f t="shared" si="13"/>
        <v>0.42657897957456065</v>
      </c>
      <c r="Y69" s="101">
        <f t="shared" si="14"/>
        <v>-0.44197680372093945</v>
      </c>
      <c r="Z69" s="101">
        <f t="shared" si="15"/>
        <v>0.26852313623367541</v>
      </c>
      <c r="AQ69" s="101">
        <v>-2.1878108961157032</v>
      </c>
      <c r="AR69" s="101">
        <v>-0.91751976003996716</v>
      </c>
      <c r="AS69" s="101">
        <v>1.1005663033809951</v>
      </c>
      <c r="AT69" s="101">
        <v>0.43146742610234917</v>
      </c>
      <c r="AU69" s="101">
        <v>0.21990192711197334</v>
      </c>
      <c r="AV69" s="101">
        <v>0.14152306281669447</v>
      </c>
      <c r="AW69" s="101">
        <v>-0.71433175674657701</v>
      </c>
      <c r="AX69" s="101">
        <v>0.30035269191326625</v>
      </c>
      <c r="AY69" s="101">
        <v>-3.955428950314796E-3</v>
      </c>
      <c r="AZ69" s="101">
        <v>0.20849821292891868</v>
      </c>
      <c r="BA69" s="101">
        <v>0.68863073383274831</v>
      </c>
      <c r="BB69" s="101">
        <v>-0.26882971633517494</v>
      </c>
    </row>
    <row r="70" spans="2:54">
      <c r="B70">
        <v>1.951E-2</v>
      </c>
      <c r="C70">
        <v>1.38</v>
      </c>
      <c r="D70">
        <v>0.41610000000000003</v>
      </c>
      <c r="E70">
        <v>7.1040000000000001</v>
      </c>
      <c r="F70">
        <v>59.5</v>
      </c>
      <c r="G70">
        <v>9.2228999999999992</v>
      </c>
      <c r="H70">
        <v>3</v>
      </c>
      <c r="I70">
        <v>216</v>
      </c>
      <c r="J70">
        <v>18.600000000000001</v>
      </c>
      <c r="K70">
        <v>393.24</v>
      </c>
      <c r="L70">
        <v>8.0500000000000007</v>
      </c>
      <c r="M70">
        <v>33</v>
      </c>
      <c r="O70" s="101">
        <f t="shared" ref="O70:O133" si="42">(B70-B$1)/B$2</f>
        <v>-0.41824697570788499</v>
      </c>
      <c r="P70" s="101">
        <f t="shared" ref="P70:P133" si="43">(C70-C$1)/C$2</f>
        <v>-1.4236051905223468</v>
      </c>
      <c r="Q70" s="101">
        <f t="shared" ref="Q70:Q133" si="44">(D70-D$1)/D$2</f>
        <v>-1.1972298672318242</v>
      </c>
      <c r="R70" s="101">
        <f t="shared" ref="R70:R133" si="45">(E70-E$1)/E$2</f>
        <v>1.1673163289612274</v>
      </c>
      <c r="S70" s="101">
        <f t="shared" ref="S70:S133" si="46">(F70-F$1)/F$2</f>
        <v>-0.32270867590316077</v>
      </c>
      <c r="T70" s="101">
        <f t="shared" ref="T70:T133" si="47">(G70-G$1)/G$2</f>
        <v>2.5802358557692773</v>
      </c>
      <c r="U70" s="101">
        <f t="shared" ref="U70:U133" si="48">(H70-H$1)/H$2</f>
        <v>-0.75292215148502073</v>
      </c>
      <c r="V70" s="101">
        <f t="shared" ref="V70:V133" si="49">(I70-I$1)/I$2</f>
        <v>-1.1417508400461385</v>
      </c>
      <c r="W70" s="101">
        <f t="shared" ref="W70:W133" si="50">(J70-J$1)/J$2</f>
        <v>6.6795846306914944E-2</v>
      </c>
      <c r="X70" s="101">
        <f t="shared" ref="X70:X133" si="51">(K70-K$1)/K$2</f>
        <v>0.40092238101700434</v>
      </c>
      <c r="Y70" s="101">
        <f t="shared" ref="Y70:Y133" si="52">(L70-L$1)/L$2</f>
        <v>-0.6452287896121004</v>
      </c>
      <c r="Z70" s="101">
        <f t="shared" ref="Z70:Z133" si="53">(M70-M$1)/M$2</f>
        <v>1.1392229563826097</v>
      </c>
      <c r="AQ70" s="101">
        <v>-3.3173809967858872</v>
      </c>
      <c r="AR70" s="101">
        <v>-0.34131770177965282</v>
      </c>
      <c r="AS70" s="101">
        <v>0.95734098562319103</v>
      </c>
      <c r="AT70" s="101">
        <v>7.9461282484009105E-2</v>
      </c>
      <c r="AU70" s="101">
        <v>0.12925062786602523</v>
      </c>
      <c r="AV70" s="101">
        <v>0.68725136853970625</v>
      </c>
      <c r="AW70" s="101">
        <v>-1.0788273678483398</v>
      </c>
      <c r="AX70" s="101">
        <v>5.1540230065666881E-2</v>
      </c>
      <c r="AY70" s="101">
        <v>0.12108606434663338</v>
      </c>
      <c r="AZ70" s="101">
        <v>0.87778661599423768</v>
      </c>
      <c r="BA70" s="101">
        <v>1.0106188272416428</v>
      </c>
      <c r="BB70" s="101">
        <v>-5.2596262425755574E-2</v>
      </c>
    </row>
    <row r="71" spans="2:54">
      <c r="B71">
        <v>3.5839999999999997E-2</v>
      </c>
      <c r="C71">
        <v>3.37</v>
      </c>
      <c r="D71">
        <v>0.39800000000000002</v>
      </c>
      <c r="E71">
        <v>6.29</v>
      </c>
      <c r="F71">
        <v>17.8</v>
      </c>
      <c r="G71">
        <v>6.6115000000000004</v>
      </c>
      <c r="H71">
        <v>4</v>
      </c>
      <c r="I71">
        <v>337</v>
      </c>
      <c r="J71">
        <v>16.100000000000001</v>
      </c>
      <c r="K71">
        <v>396.9</v>
      </c>
      <c r="L71">
        <v>4.67</v>
      </c>
      <c r="M71">
        <v>23.5</v>
      </c>
      <c r="O71" s="101">
        <f t="shared" si="42"/>
        <v>-0.41634660081936692</v>
      </c>
      <c r="P71" s="101">
        <f t="shared" si="43"/>
        <v>-1.1332455924432634</v>
      </c>
      <c r="Q71" s="101">
        <f t="shared" si="44"/>
        <v>-1.3535836413716522</v>
      </c>
      <c r="R71" s="101">
        <f t="shared" si="45"/>
        <v>7.644166611894947E-3</v>
      </c>
      <c r="S71" s="101">
        <f t="shared" si="46"/>
        <v>-1.8055845232194891</v>
      </c>
      <c r="T71" s="101">
        <f t="shared" si="47"/>
        <v>1.33885688684441</v>
      </c>
      <c r="U71" s="101">
        <f t="shared" si="48"/>
        <v>-0.63796179884427828</v>
      </c>
      <c r="V71" s="101">
        <f t="shared" si="49"/>
        <v>-0.42309761062076556</v>
      </c>
      <c r="W71" s="101">
        <f t="shared" si="50"/>
        <v>-1.0891103859538154</v>
      </c>
      <c r="X71" s="101">
        <f t="shared" si="51"/>
        <v>0.44105193260702835</v>
      </c>
      <c r="Y71" s="101">
        <f t="shared" si="52"/>
        <v>-1.1190161774135654</v>
      </c>
      <c r="Z71" s="101">
        <f t="shared" si="53"/>
        <v>0.10526691995575023</v>
      </c>
      <c r="AQ71" s="101">
        <v>-2.9412240930833469</v>
      </c>
      <c r="AR71" s="101">
        <v>-0.82468815631298009</v>
      </c>
      <c r="AS71" s="101">
        <v>0.79977571345440324</v>
      </c>
      <c r="AT71" s="101">
        <v>-0.50632038393862022</v>
      </c>
      <c r="AU71" s="101">
        <v>-0.54609714812757204</v>
      </c>
      <c r="AV71" s="101">
        <v>-0.83413299181111833</v>
      </c>
      <c r="AW71" s="101">
        <v>0.13298267200371006</v>
      </c>
      <c r="AX71" s="101">
        <v>0.10460345193808313</v>
      </c>
      <c r="AY71" s="101">
        <v>-0.16926728642539207</v>
      </c>
      <c r="AZ71" s="101">
        <v>-6.6293653439997768E-2</v>
      </c>
      <c r="BA71" s="101">
        <v>-0.52898746007575492</v>
      </c>
      <c r="BB71" s="101">
        <v>0.10036117230311319</v>
      </c>
    </row>
    <row r="72" spans="2:54">
      <c r="B72">
        <v>4.3790000000000003E-2</v>
      </c>
      <c r="C72">
        <v>3.37</v>
      </c>
      <c r="D72">
        <v>0.39800000000000002</v>
      </c>
      <c r="E72">
        <v>5.7869999999999999</v>
      </c>
      <c r="F72">
        <v>31.1</v>
      </c>
      <c r="G72">
        <v>6.6115000000000004</v>
      </c>
      <c r="H72">
        <v>4</v>
      </c>
      <c r="I72">
        <v>337</v>
      </c>
      <c r="J72">
        <v>16.100000000000001</v>
      </c>
      <c r="K72">
        <v>396.9</v>
      </c>
      <c r="L72">
        <v>10.24</v>
      </c>
      <c r="M72">
        <v>19.399999999999999</v>
      </c>
      <c r="O72" s="101">
        <f t="shared" si="42"/>
        <v>-0.41542143362011896</v>
      </c>
      <c r="P72" s="101">
        <f t="shared" si="43"/>
        <v>-1.1332455924432634</v>
      </c>
      <c r="Q72" s="101">
        <f t="shared" si="44"/>
        <v>-1.3535836413716522</v>
      </c>
      <c r="R72" s="101">
        <f t="shared" si="45"/>
        <v>-0.70895914746883515</v>
      </c>
      <c r="S72" s="101">
        <f t="shared" si="46"/>
        <v>-1.3326289172408998</v>
      </c>
      <c r="T72" s="101">
        <f t="shared" si="47"/>
        <v>1.33885688684441</v>
      </c>
      <c r="U72" s="101">
        <f t="shared" si="48"/>
        <v>-0.63796179884427828</v>
      </c>
      <c r="V72" s="101">
        <f t="shared" si="49"/>
        <v>-0.42309761062076556</v>
      </c>
      <c r="W72" s="101">
        <f t="shared" si="50"/>
        <v>-1.0891103859538154</v>
      </c>
      <c r="X72" s="101">
        <f t="shared" si="51"/>
        <v>0.44105193260702835</v>
      </c>
      <c r="Y72" s="101">
        <f t="shared" si="52"/>
        <v>-0.33824820402476069</v>
      </c>
      <c r="Z72" s="101">
        <f t="shared" si="53"/>
        <v>-0.3409667378705788</v>
      </c>
      <c r="AQ72" s="101">
        <v>-2.2750243040149782</v>
      </c>
      <c r="AR72" s="101">
        <v>-1.5307790676667905</v>
      </c>
      <c r="AS72" s="101">
        <v>0.2798084887188384</v>
      </c>
      <c r="AT72" s="101">
        <v>-0.7646700561140547</v>
      </c>
      <c r="AU72" s="101">
        <v>-0.70852543847118687</v>
      </c>
      <c r="AV72" s="101">
        <v>-0.71263351555923171</v>
      </c>
      <c r="AW72" s="101">
        <v>-0.15129945994072377</v>
      </c>
      <c r="AX72" s="101">
        <v>-0.20119412150166152</v>
      </c>
      <c r="AY72" s="101">
        <v>1.0542307612177837E-2</v>
      </c>
      <c r="AZ72" s="101">
        <v>6.9315171885558163E-2</v>
      </c>
      <c r="BA72" s="101">
        <v>-0.53809239725712055</v>
      </c>
      <c r="BB72" s="101">
        <v>8.7848282851446496E-2</v>
      </c>
    </row>
    <row r="73" spans="2:54">
      <c r="B73">
        <v>5.7889999999999997E-2</v>
      </c>
      <c r="C73">
        <v>6.07</v>
      </c>
      <c r="D73">
        <v>0.40899999999999997</v>
      </c>
      <c r="E73">
        <v>5.8780000000000001</v>
      </c>
      <c r="F73">
        <v>21.4</v>
      </c>
      <c r="G73">
        <v>6.4980000000000002</v>
      </c>
      <c r="H73">
        <v>4</v>
      </c>
      <c r="I73">
        <v>345</v>
      </c>
      <c r="J73">
        <v>18.899999999999999</v>
      </c>
      <c r="K73">
        <v>396.21</v>
      </c>
      <c r="L73">
        <v>8.1</v>
      </c>
      <c r="M73">
        <v>22</v>
      </c>
      <c r="O73" s="101">
        <f t="shared" si="42"/>
        <v>-0.41378057104032073</v>
      </c>
      <c r="P73" s="101">
        <f t="shared" si="43"/>
        <v>-0.73929035886862782</v>
      </c>
      <c r="Q73" s="101">
        <f t="shared" si="44"/>
        <v>-1.2585620106789395</v>
      </c>
      <c r="R73" s="101">
        <f t="shared" si="45"/>
        <v>-0.57931520794329527</v>
      </c>
      <c r="S73" s="101">
        <f t="shared" si="46"/>
        <v>-1.6775664644583672</v>
      </c>
      <c r="T73" s="101">
        <f t="shared" si="47"/>
        <v>1.2849024895965839</v>
      </c>
      <c r="U73" s="101">
        <f t="shared" si="48"/>
        <v>-0.63796179884427828</v>
      </c>
      <c r="V73" s="101">
        <f t="shared" si="49"/>
        <v>-0.37558334751826156</v>
      </c>
      <c r="W73" s="101">
        <f t="shared" si="50"/>
        <v>0.20550459417820127</v>
      </c>
      <c r="X73" s="101">
        <f t="shared" si="51"/>
        <v>0.43348652534005661</v>
      </c>
      <c r="Y73" s="101">
        <f t="shared" si="52"/>
        <v>-0.6382201004434398</v>
      </c>
      <c r="Z73" s="101">
        <f t="shared" si="53"/>
        <v>-5.7989296322174963E-2</v>
      </c>
      <c r="AQ73" s="101">
        <v>-2.1081617913983326</v>
      </c>
      <c r="AR73" s="101">
        <v>-1.6525846069676067</v>
      </c>
      <c r="AS73" s="101">
        <v>0.76222419015559617</v>
      </c>
      <c r="AT73" s="101">
        <v>0.14757433923989841</v>
      </c>
      <c r="AU73" s="101">
        <v>-6.5661676867936891E-2</v>
      </c>
      <c r="AV73" s="101">
        <v>-0.54669988844341733</v>
      </c>
      <c r="AW73" s="101">
        <v>0.4116855039041743</v>
      </c>
      <c r="AX73" s="101">
        <v>3.194153674240649E-2</v>
      </c>
      <c r="AY73" s="101">
        <v>5.7831403461619524E-2</v>
      </c>
      <c r="AZ73" s="101">
        <v>-4.0499017530842708E-2</v>
      </c>
      <c r="BA73" s="101">
        <v>-7.8927173235113363E-2</v>
      </c>
      <c r="BB73" s="101">
        <v>0.16847449688062066</v>
      </c>
    </row>
    <row r="74" spans="2:54">
      <c r="B74">
        <v>0.13553999999999999</v>
      </c>
      <c r="C74">
        <v>6.07</v>
      </c>
      <c r="D74">
        <v>0.40899999999999997</v>
      </c>
      <c r="E74">
        <v>5.5940000000000003</v>
      </c>
      <c r="F74">
        <v>36.799999999999997</v>
      </c>
      <c r="G74">
        <v>6.4980000000000002</v>
      </c>
      <c r="H74">
        <v>4</v>
      </c>
      <c r="I74">
        <v>345</v>
      </c>
      <c r="J74">
        <v>18.899999999999999</v>
      </c>
      <c r="K74">
        <v>396.9</v>
      </c>
      <c r="L74">
        <v>13.09</v>
      </c>
      <c r="M74">
        <v>17.399999999999999</v>
      </c>
      <c r="O74" s="101">
        <f t="shared" si="42"/>
        <v>-0.40474418952816954</v>
      </c>
      <c r="P74" s="101">
        <f t="shared" si="43"/>
        <v>-0.73929035886862782</v>
      </c>
      <c r="Q74" s="101">
        <f t="shared" si="44"/>
        <v>-1.2585620106789395</v>
      </c>
      <c r="R74" s="101">
        <f t="shared" si="45"/>
        <v>-0.98391827195706694</v>
      </c>
      <c r="S74" s="101">
        <f t="shared" si="46"/>
        <v>-1.1299336575357903</v>
      </c>
      <c r="T74" s="101">
        <f t="shared" si="47"/>
        <v>1.2849024895965839</v>
      </c>
      <c r="U74" s="101">
        <f t="shared" si="48"/>
        <v>-0.63796179884427828</v>
      </c>
      <c r="V74" s="101">
        <f t="shared" si="49"/>
        <v>-0.37558334751826156</v>
      </c>
      <c r="W74" s="101">
        <f t="shared" si="50"/>
        <v>0.20550459417820127</v>
      </c>
      <c r="X74" s="101">
        <f t="shared" si="51"/>
        <v>0.44105193260702835</v>
      </c>
      <c r="Y74" s="101">
        <f t="shared" si="52"/>
        <v>6.1247078588900584E-2</v>
      </c>
      <c r="Z74" s="101">
        <f t="shared" si="53"/>
        <v>-0.5586416929078124</v>
      </c>
      <c r="AQ74" s="101">
        <v>-1.4952626473992432</v>
      </c>
      <c r="AR74" s="101">
        <v>-2.1758911255654549</v>
      </c>
      <c r="AS74" s="101">
        <v>0.30549184714010713</v>
      </c>
      <c r="AT74" s="101">
        <v>-6.6034848926393913E-2</v>
      </c>
      <c r="AU74" s="101">
        <v>-0.17299224394336016</v>
      </c>
      <c r="AV74" s="101">
        <v>-0.31071846756940269</v>
      </c>
      <c r="AW74" s="101">
        <v>-7.9745331808572795E-3</v>
      </c>
      <c r="AX74" s="101">
        <v>-0.10693281401711444</v>
      </c>
      <c r="AY74" s="101">
        <v>0.18446943757974646</v>
      </c>
      <c r="AZ74" s="101">
        <v>7.9678418438664189E-2</v>
      </c>
      <c r="BA74" s="101">
        <v>-0.15687669945211591</v>
      </c>
      <c r="BB74" s="101">
        <v>0.14091842100281649</v>
      </c>
    </row>
    <row r="75" spans="2:54">
      <c r="B75">
        <v>0.12816</v>
      </c>
      <c r="C75">
        <v>6.07</v>
      </c>
      <c r="D75">
        <v>0.40899999999999997</v>
      </c>
      <c r="E75">
        <v>5.8849999999999998</v>
      </c>
      <c r="F75">
        <v>33</v>
      </c>
      <c r="G75">
        <v>6.4980000000000002</v>
      </c>
      <c r="H75">
        <v>4</v>
      </c>
      <c r="I75">
        <v>345</v>
      </c>
      <c r="J75">
        <v>18.899999999999999</v>
      </c>
      <c r="K75">
        <v>396.9</v>
      </c>
      <c r="L75">
        <v>8.7899999999999991</v>
      </c>
      <c r="M75">
        <v>20.9</v>
      </c>
      <c r="O75" s="101">
        <f t="shared" si="42"/>
        <v>-0.40560302398482989</v>
      </c>
      <c r="P75" s="101">
        <f t="shared" si="43"/>
        <v>-0.73929035886862782</v>
      </c>
      <c r="Q75" s="101">
        <f t="shared" si="44"/>
        <v>-1.2585620106789395</v>
      </c>
      <c r="R75" s="101">
        <f t="shared" si="45"/>
        <v>-0.56934259721056191</v>
      </c>
      <c r="S75" s="101">
        <f t="shared" si="46"/>
        <v>-1.2650638306725299</v>
      </c>
      <c r="T75" s="101">
        <f t="shared" si="47"/>
        <v>1.2849024895965839</v>
      </c>
      <c r="U75" s="101">
        <f t="shared" si="48"/>
        <v>-0.63796179884427828</v>
      </c>
      <c r="V75" s="101">
        <f t="shared" si="49"/>
        <v>-0.37558334751826156</v>
      </c>
      <c r="W75" s="101">
        <f t="shared" si="50"/>
        <v>0.20550459417820127</v>
      </c>
      <c r="X75" s="101">
        <f t="shared" si="51"/>
        <v>0.44105193260702835</v>
      </c>
      <c r="Y75" s="101">
        <f t="shared" si="52"/>
        <v>-0.54150018991592186</v>
      </c>
      <c r="Z75" s="101">
        <f t="shared" si="53"/>
        <v>-0.1777105215926536</v>
      </c>
      <c r="AQ75" s="101">
        <v>-1.9219575833002063</v>
      </c>
      <c r="AR75" s="101">
        <v>-1.6386613615699845</v>
      </c>
      <c r="AS75" s="101">
        <v>0.59145061334875482</v>
      </c>
      <c r="AT75" s="101">
        <v>0.13848439330476331</v>
      </c>
      <c r="AU75" s="101">
        <v>-5.480810447225852E-2</v>
      </c>
      <c r="AV75" s="101">
        <v>-0.34964933918649505</v>
      </c>
      <c r="AW75" s="101">
        <v>0.19823064167649668</v>
      </c>
      <c r="AX75" s="101">
        <v>2.9847714091356392E-3</v>
      </c>
      <c r="AY75" s="101">
        <v>1.6118968923490268E-2</v>
      </c>
      <c r="AZ75" s="101">
        <v>0.15471364433303761</v>
      </c>
      <c r="BA75" s="101">
        <v>-0.14514944728612972</v>
      </c>
      <c r="BB75" s="101">
        <v>0.14907606237102075</v>
      </c>
    </row>
    <row r="76" spans="2:54">
      <c r="B76">
        <v>8.8260000000000005E-2</v>
      </c>
      <c r="C76">
        <v>10.81</v>
      </c>
      <c r="D76">
        <v>0.41299999999999998</v>
      </c>
      <c r="E76">
        <v>6.4169999999999998</v>
      </c>
      <c r="F76">
        <v>6.6</v>
      </c>
      <c r="G76">
        <v>5.2873000000000001</v>
      </c>
      <c r="H76">
        <v>4</v>
      </c>
      <c r="I76">
        <v>305</v>
      </c>
      <c r="J76">
        <v>19.2</v>
      </c>
      <c r="K76">
        <v>383.73</v>
      </c>
      <c r="L76">
        <v>6.72</v>
      </c>
      <c r="M76">
        <v>24.2</v>
      </c>
      <c r="O76" s="101">
        <f t="shared" si="42"/>
        <v>-0.41024631596596106</v>
      </c>
      <c r="P76" s="101">
        <f t="shared" si="43"/>
        <v>-4.7680059926489694E-2</v>
      </c>
      <c r="Q76" s="101">
        <f t="shared" si="44"/>
        <v>-1.2240086904270437</v>
      </c>
      <c r="R76" s="101">
        <f t="shared" si="45"/>
        <v>0.18857581847720814</v>
      </c>
      <c r="S76" s="101">
        <f t="shared" si="46"/>
        <v>-2.2038629282540905</v>
      </c>
      <c r="T76" s="101">
        <f t="shared" si="47"/>
        <v>0.70937307331514954</v>
      </c>
      <c r="U76" s="101">
        <f t="shared" si="48"/>
        <v>-0.63796179884427828</v>
      </c>
      <c r="V76" s="101">
        <f t="shared" si="49"/>
        <v>-0.61315466303078148</v>
      </c>
      <c r="W76" s="101">
        <f t="shared" si="50"/>
        <v>0.34421334204948922</v>
      </c>
      <c r="X76" s="101">
        <f t="shared" si="51"/>
        <v>0.29665133303308866</v>
      </c>
      <c r="Y76" s="101">
        <f t="shared" si="52"/>
        <v>-0.83165992149847578</v>
      </c>
      <c r="Z76" s="101">
        <f t="shared" si="53"/>
        <v>0.18145315421878191</v>
      </c>
      <c r="AQ76" s="101">
        <v>-2.1595658691255881</v>
      </c>
      <c r="AR76" s="101">
        <v>-0.9584075572530526</v>
      </c>
      <c r="AS76" s="101">
        <v>0.90822139409197866</v>
      </c>
      <c r="AT76" s="101">
        <v>0.35073069753651809</v>
      </c>
      <c r="AU76" s="101">
        <v>0.30590070334329583</v>
      </c>
      <c r="AV76" s="101">
        <v>-0.53276722946692612</v>
      </c>
      <c r="AW76" s="101">
        <v>0.94121616604751146</v>
      </c>
      <c r="AX76" s="101">
        <v>0.68345430489446912</v>
      </c>
      <c r="AY76" s="101">
        <v>0.44044352838600742</v>
      </c>
      <c r="AZ76" s="101">
        <v>-0.54532705046707119</v>
      </c>
      <c r="BA76" s="101">
        <v>-0.12816339019426018</v>
      </c>
      <c r="BB76" s="101">
        <v>-0.10108429103960004</v>
      </c>
    </row>
    <row r="77" spans="2:54">
      <c r="B77">
        <v>0.15876000000000001</v>
      </c>
      <c r="C77">
        <v>10.81</v>
      </c>
      <c r="D77">
        <v>0.41299999999999998</v>
      </c>
      <c r="E77">
        <v>5.9610000000000003</v>
      </c>
      <c r="F77">
        <v>17.5</v>
      </c>
      <c r="G77">
        <v>5.2873000000000001</v>
      </c>
      <c r="H77">
        <v>4</v>
      </c>
      <c r="I77">
        <v>305</v>
      </c>
      <c r="J77">
        <v>19.2</v>
      </c>
      <c r="K77">
        <v>376.94</v>
      </c>
      <c r="L77">
        <v>9.8800000000000008</v>
      </c>
      <c r="M77">
        <v>21.7</v>
      </c>
      <c r="O77" s="101">
        <f t="shared" si="42"/>
        <v>-0.40204200306696991</v>
      </c>
      <c r="P77" s="101">
        <f t="shared" si="43"/>
        <v>-4.7680059926489694E-2</v>
      </c>
      <c r="Q77" s="101">
        <f t="shared" si="44"/>
        <v>-1.2240086904270437</v>
      </c>
      <c r="R77" s="101">
        <f t="shared" si="45"/>
        <v>-0.46106853782659402</v>
      </c>
      <c r="S77" s="101">
        <f t="shared" si="46"/>
        <v>-1.8162526947829158</v>
      </c>
      <c r="T77" s="101">
        <f t="shared" si="47"/>
        <v>0.70937307331514954</v>
      </c>
      <c r="U77" s="101">
        <f t="shared" si="48"/>
        <v>-0.63796179884427828</v>
      </c>
      <c r="V77" s="101">
        <f t="shared" si="49"/>
        <v>-0.61315466303078148</v>
      </c>
      <c r="W77" s="101">
        <f t="shared" si="50"/>
        <v>0.34421334204948922</v>
      </c>
      <c r="X77" s="101">
        <f t="shared" si="51"/>
        <v>0.22220333978274268</v>
      </c>
      <c r="Y77" s="101">
        <f t="shared" si="52"/>
        <v>-0.38871076603911781</v>
      </c>
      <c r="Z77" s="101">
        <f t="shared" si="53"/>
        <v>-9.0640539577760082E-2</v>
      </c>
      <c r="AQ77" s="101">
        <v>-1.672561951185912</v>
      </c>
      <c r="AR77" s="101">
        <v>-1.4704184665021123</v>
      </c>
      <c r="AS77" s="101">
        <v>0.53744810402412413</v>
      </c>
      <c r="AT77" s="101">
        <v>0.13402051776024168</v>
      </c>
      <c r="AU77" s="101">
        <v>0.22104223822069241</v>
      </c>
      <c r="AV77" s="101">
        <v>-0.4736284187660782</v>
      </c>
      <c r="AW77" s="101">
        <v>0.84867101999300032</v>
      </c>
      <c r="AX77" s="101">
        <v>0.37321609331273303</v>
      </c>
      <c r="AY77" s="101">
        <v>0.4965818752740066</v>
      </c>
      <c r="AZ77" s="101">
        <v>-0.33194372990480625</v>
      </c>
      <c r="BA77" s="101">
        <v>-0.13575539540282483</v>
      </c>
      <c r="BB77" s="101">
        <v>-0.11165802135200177</v>
      </c>
    </row>
    <row r="78" spans="2:54">
      <c r="B78">
        <v>9.1639999999999999E-2</v>
      </c>
      <c r="C78">
        <v>10.81</v>
      </c>
      <c r="D78">
        <v>0.41299999999999998</v>
      </c>
      <c r="E78">
        <v>6.0650000000000004</v>
      </c>
      <c r="F78">
        <v>7.8</v>
      </c>
      <c r="G78">
        <v>5.2873000000000001</v>
      </c>
      <c r="H78">
        <v>4</v>
      </c>
      <c r="I78">
        <v>305</v>
      </c>
      <c r="J78">
        <v>19.2</v>
      </c>
      <c r="K78">
        <v>390.91</v>
      </c>
      <c r="L78">
        <v>5.52</v>
      </c>
      <c r="M78">
        <v>22.8</v>
      </c>
      <c r="O78" s="101">
        <f t="shared" si="42"/>
        <v>-0.40985297443973989</v>
      </c>
      <c r="P78" s="101">
        <f t="shared" si="43"/>
        <v>-4.7680059926489694E-2</v>
      </c>
      <c r="Q78" s="101">
        <f t="shared" si="44"/>
        <v>-1.2240086904270437</v>
      </c>
      <c r="R78" s="101">
        <f t="shared" si="45"/>
        <v>-0.31290403551169149</v>
      </c>
      <c r="S78" s="101">
        <f t="shared" si="46"/>
        <v>-2.1611902420003832</v>
      </c>
      <c r="T78" s="101">
        <f t="shared" si="47"/>
        <v>0.70937307331514954</v>
      </c>
      <c r="U78" s="101">
        <f t="shared" si="48"/>
        <v>-0.63796179884427828</v>
      </c>
      <c r="V78" s="101">
        <f t="shared" si="49"/>
        <v>-0.61315466303078148</v>
      </c>
      <c r="W78" s="101">
        <f t="shared" si="50"/>
        <v>0.34421334204948922</v>
      </c>
      <c r="X78" s="101">
        <f t="shared" si="51"/>
        <v>0.37537542604302726</v>
      </c>
      <c r="Y78" s="101">
        <f t="shared" si="52"/>
        <v>-0.99986846154633324</v>
      </c>
      <c r="Z78" s="101">
        <f t="shared" si="53"/>
        <v>2.9080685692718548E-2</v>
      </c>
      <c r="AQ78" s="101">
        <v>-2.0708483412515375</v>
      </c>
      <c r="AR78" s="101">
        <v>-1.2666908000236223</v>
      </c>
      <c r="AS78" s="101">
        <v>0.7668351820660696</v>
      </c>
      <c r="AT78" s="101">
        <v>0.37376242612077631</v>
      </c>
      <c r="AU78" s="101">
        <v>0.20686657949068654</v>
      </c>
      <c r="AV78" s="101">
        <v>-0.68010841043920955</v>
      </c>
      <c r="AW78" s="101">
        <v>1.1526926312669681</v>
      </c>
      <c r="AX78" s="101">
        <v>0.52666612454839645</v>
      </c>
      <c r="AY78" s="101">
        <v>0.22296044495289546</v>
      </c>
      <c r="AZ78" s="101">
        <v>-0.37015250934728711</v>
      </c>
      <c r="BA78" s="101">
        <v>-0.21624825754975877</v>
      </c>
      <c r="BB78" s="101">
        <v>-0.13296339595026199</v>
      </c>
    </row>
    <row r="79" spans="2:54">
      <c r="B79">
        <v>0.19539000000000001</v>
      </c>
      <c r="C79">
        <v>10.81</v>
      </c>
      <c r="D79">
        <v>0.41299999999999998</v>
      </c>
      <c r="E79">
        <v>6.2450000000000001</v>
      </c>
      <c r="F79">
        <v>6.2</v>
      </c>
      <c r="G79">
        <v>5.2873000000000001</v>
      </c>
      <c r="H79">
        <v>4</v>
      </c>
      <c r="I79">
        <v>305</v>
      </c>
      <c r="J79">
        <v>19.2</v>
      </c>
      <c r="K79">
        <v>377.17</v>
      </c>
      <c r="L79">
        <v>7.54</v>
      </c>
      <c r="M79">
        <v>23.4</v>
      </c>
      <c r="O79" s="101">
        <f t="shared" si="42"/>
        <v>-0.39777925155647281</v>
      </c>
      <c r="P79" s="101">
        <f t="shared" si="43"/>
        <v>-4.7680059926489694E-2</v>
      </c>
      <c r="Q79" s="101">
        <f t="shared" si="44"/>
        <v>-1.2240086904270437</v>
      </c>
      <c r="R79" s="101">
        <f t="shared" si="45"/>
        <v>-5.6465473812822339E-2</v>
      </c>
      <c r="S79" s="101">
        <f t="shared" si="46"/>
        <v>-2.2180871570053262</v>
      </c>
      <c r="T79" s="101">
        <f t="shared" si="47"/>
        <v>0.70937307331514954</v>
      </c>
      <c r="U79" s="101">
        <f t="shared" si="48"/>
        <v>-0.63796179884427828</v>
      </c>
      <c r="V79" s="101">
        <f t="shared" si="49"/>
        <v>-0.61315466303078148</v>
      </c>
      <c r="W79" s="101">
        <f t="shared" si="50"/>
        <v>0.34421334204948922</v>
      </c>
      <c r="X79" s="101">
        <f t="shared" si="51"/>
        <v>0.22472514220506681</v>
      </c>
      <c r="Y79" s="101">
        <f t="shared" si="52"/>
        <v>-0.7167174191324398</v>
      </c>
      <c r="Z79" s="101">
        <f t="shared" si="53"/>
        <v>9.4383172203888394E-2</v>
      </c>
      <c r="AQ79" s="101">
        <v>-2.0334609870710172</v>
      </c>
      <c r="AR79" s="101">
        <v>-1.1626625275134306</v>
      </c>
      <c r="AS79" s="101">
        <v>0.85568823824593054</v>
      </c>
      <c r="AT79" s="101">
        <v>0.24161287746385629</v>
      </c>
      <c r="AU79" s="101">
        <v>0.2877424669335813</v>
      </c>
      <c r="AV79" s="101">
        <v>-0.57801724290395962</v>
      </c>
      <c r="AW79" s="101">
        <v>0.9959351731566195</v>
      </c>
      <c r="AX79" s="101">
        <v>0.59219391419219347</v>
      </c>
      <c r="AY79" s="101">
        <v>0.45691101097952685</v>
      </c>
      <c r="AZ79" s="101">
        <v>-0.53766576826650836</v>
      </c>
      <c r="BA79" s="101">
        <v>-0.12105177677412839</v>
      </c>
      <c r="BB79" s="101">
        <v>-0.10112153767209699</v>
      </c>
    </row>
    <row r="80" spans="2:54">
      <c r="B80">
        <v>7.8960000000000002E-2</v>
      </c>
      <c r="C80">
        <v>12.83</v>
      </c>
      <c r="D80">
        <v>0.437</v>
      </c>
      <c r="E80">
        <v>6.2729999999999997</v>
      </c>
      <c r="F80">
        <v>6</v>
      </c>
      <c r="G80">
        <v>4.2515000000000001</v>
      </c>
      <c r="H80">
        <v>5</v>
      </c>
      <c r="I80">
        <v>398</v>
      </c>
      <c r="J80">
        <v>18.7</v>
      </c>
      <c r="K80">
        <v>394.92</v>
      </c>
      <c r="L80">
        <v>6.78</v>
      </c>
      <c r="M80">
        <v>24.1</v>
      </c>
      <c r="O80" s="101">
        <f t="shared" si="42"/>
        <v>-0.4113285870292322</v>
      </c>
      <c r="P80" s="101">
        <f t="shared" si="43"/>
        <v>0.24705681852564507</v>
      </c>
      <c r="Q80" s="101">
        <f t="shared" si="44"/>
        <v>-1.0166887689156694</v>
      </c>
      <c r="R80" s="101">
        <f t="shared" si="45"/>
        <v>-1.6575030881887675E-2</v>
      </c>
      <c r="S80" s="101">
        <f t="shared" si="46"/>
        <v>-2.2251992713809439</v>
      </c>
      <c r="T80" s="101">
        <f t="shared" si="47"/>
        <v>0.21698571940062933</v>
      </c>
      <c r="U80" s="101">
        <f t="shared" si="48"/>
        <v>-0.52300144620353584</v>
      </c>
      <c r="V80" s="101">
        <f t="shared" si="49"/>
        <v>-6.0801354464172584E-2</v>
      </c>
      <c r="W80" s="101">
        <f t="shared" si="50"/>
        <v>0.11303209559734317</v>
      </c>
      <c r="X80" s="101">
        <f t="shared" si="51"/>
        <v>0.4193425030583271</v>
      </c>
      <c r="Y80" s="101">
        <f t="shared" si="52"/>
        <v>-0.82324949449608287</v>
      </c>
      <c r="Z80" s="101">
        <f t="shared" si="53"/>
        <v>0.17056940646692045</v>
      </c>
      <c r="AQ80" s="101">
        <v>-1.6515432186161849</v>
      </c>
      <c r="AR80" s="101">
        <v>-0.68999556226424597</v>
      </c>
      <c r="AS80" s="101">
        <v>0.72591919558007756</v>
      </c>
      <c r="AT80" s="101">
        <v>0.45770112099521781</v>
      </c>
      <c r="AU80" s="101">
        <v>0.11923278002493118</v>
      </c>
      <c r="AV80" s="101">
        <v>-0.97442533430615097</v>
      </c>
      <c r="AW80" s="101">
        <v>1.1308797182758135</v>
      </c>
      <c r="AX80" s="101">
        <v>0.62973024408762146</v>
      </c>
      <c r="AY80" s="101">
        <v>0.48506536965059593</v>
      </c>
      <c r="AZ80" s="101">
        <v>-0.65201352529953627</v>
      </c>
      <c r="BA80" s="101">
        <v>-0.41755174212605162</v>
      </c>
      <c r="BB80" s="101">
        <v>0.14618938222760705</v>
      </c>
    </row>
    <row r="81" spans="2:54">
      <c r="B81">
        <v>9.5119999999999996E-2</v>
      </c>
      <c r="C81">
        <v>12.83</v>
      </c>
      <c r="D81">
        <v>0.437</v>
      </c>
      <c r="E81">
        <v>6.2859999999999996</v>
      </c>
      <c r="F81">
        <v>45</v>
      </c>
      <c r="G81">
        <v>4.5026000000000002</v>
      </c>
      <c r="H81">
        <v>5</v>
      </c>
      <c r="I81">
        <v>398</v>
      </c>
      <c r="J81">
        <v>18.7</v>
      </c>
      <c r="K81">
        <v>383.23</v>
      </c>
      <c r="L81">
        <v>8.94</v>
      </c>
      <c r="M81">
        <v>21.4</v>
      </c>
      <c r="O81" s="101">
        <f t="shared" si="42"/>
        <v>-0.4094479955902578</v>
      </c>
      <c r="P81" s="101">
        <f t="shared" si="43"/>
        <v>0.24705681852564507</v>
      </c>
      <c r="Q81" s="101">
        <f t="shared" si="44"/>
        <v>-1.0166887689156694</v>
      </c>
      <c r="R81" s="101">
        <f t="shared" si="45"/>
        <v>1.9455319074749855E-3</v>
      </c>
      <c r="S81" s="101">
        <f t="shared" si="46"/>
        <v>-0.83833696813545711</v>
      </c>
      <c r="T81" s="101">
        <f t="shared" si="47"/>
        <v>0.33635091014009261</v>
      </c>
      <c r="U81" s="101">
        <f t="shared" si="48"/>
        <v>-0.52300144620353584</v>
      </c>
      <c r="V81" s="101">
        <f t="shared" si="49"/>
        <v>-6.0801354464172584E-2</v>
      </c>
      <c r="W81" s="101">
        <f t="shared" si="50"/>
        <v>0.11303209559734317</v>
      </c>
      <c r="X81" s="101">
        <f t="shared" si="51"/>
        <v>0.29116915385412356</v>
      </c>
      <c r="Y81" s="101">
        <f t="shared" si="52"/>
        <v>-0.52047412240993962</v>
      </c>
      <c r="Z81" s="101">
        <f t="shared" si="53"/>
        <v>-0.1232917828333452</v>
      </c>
      <c r="AQ81" s="101">
        <v>-1.0696169398926538</v>
      </c>
      <c r="AR81" s="101">
        <v>-0.62160112682259283</v>
      </c>
      <c r="AS81" s="101">
        <v>0.23674379941225107</v>
      </c>
      <c r="AT81" s="101">
        <v>0.33254632159900621</v>
      </c>
      <c r="AU81" s="101">
        <v>0.25053432281540577</v>
      </c>
      <c r="AV81" s="101">
        <v>-0.34695097588555435</v>
      </c>
      <c r="AW81" s="101">
        <v>0.42092454218149628</v>
      </c>
      <c r="AX81" s="101">
        <v>0.48464620905144906</v>
      </c>
      <c r="AY81" s="101">
        <v>0.36898955433791497</v>
      </c>
      <c r="AZ81" s="101">
        <v>0.10064984592680065</v>
      </c>
      <c r="BA81" s="101">
        <v>-0.54057734713020167</v>
      </c>
      <c r="BB81" s="101">
        <v>9.1379233625787148E-2</v>
      </c>
    </row>
    <row r="82" spans="2:54">
      <c r="B82">
        <v>0.10153</v>
      </c>
      <c r="C82">
        <v>12.83</v>
      </c>
      <c r="D82">
        <v>0.437</v>
      </c>
      <c r="E82">
        <v>6.2789999999999999</v>
      </c>
      <c r="F82">
        <v>74.5</v>
      </c>
      <c r="G82">
        <v>4.0522</v>
      </c>
      <c r="H82">
        <v>5</v>
      </c>
      <c r="I82">
        <v>398</v>
      </c>
      <c r="J82">
        <v>18.7</v>
      </c>
      <c r="K82">
        <v>373.66</v>
      </c>
      <c r="L82">
        <v>11.97</v>
      </c>
      <c r="M82">
        <v>20</v>
      </c>
      <c r="O82" s="101">
        <f t="shared" si="42"/>
        <v>-0.40870204316922898</v>
      </c>
      <c r="P82" s="101">
        <f t="shared" si="43"/>
        <v>0.24705681852564507</v>
      </c>
      <c r="Q82" s="101">
        <f t="shared" si="44"/>
        <v>-1.0166887689156694</v>
      </c>
      <c r="R82" s="101">
        <f t="shared" si="45"/>
        <v>-8.0270788252583651E-3</v>
      </c>
      <c r="S82" s="101">
        <f t="shared" si="46"/>
        <v>0.21069990226818033</v>
      </c>
      <c r="T82" s="101">
        <f t="shared" si="47"/>
        <v>0.12224465004827956</v>
      </c>
      <c r="U82" s="101">
        <f t="shared" si="48"/>
        <v>-0.52300144620353584</v>
      </c>
      <c r="V82" s="101">
        <f t="shared" si="49"/>
        <v>-6.0801354464172584E-2</v>
      </c>
      <c r="W82" s="101">
        <f t="shared" si="50"/>
        <v>0.11303209559734317</v>
      </c>
      <c r="X82" s="101">
        <f t="shared" si="51"/>
        <v>0.18624024436873207</v>
      </c>
      <c r="Y82" s="101">
        <f t="shared" si="52"/>
        <v>-9.5747558789099546E-2</v>
      </c>
      <c r="Z82" s="101">
        <f t="shared" si="53"/>
        <v>-0.27566425135940853</v>
      </c>
      <c r="AQ82" s="101">
        <v>-0.48883277120406321</v>
      </c>
      <c r="AR82" s="101">
        <v>-0.49401361035452451</v>
      </c>
      <c r="AS82" s="101">
        <v>-0.26406849839198621</v>
      </c>
      <c r="AT82" s="101">
        <v>0.23128859086175516</v>
      </c>
      <c r="AU82" s="101">
        <v>0.34467817452242122</v>
      </c>
      <c r="AV82" s="101">
        <v>0.20275270981910665</v>
      </c>
      <c r="AW82" s="101">
        <v>-3.9697776092241663E-2</v>
      </c>
      <c r="AX82" s="101">
        <v>0.250130050935638</v>
      </c>
      <c r="AY82" s="101">
        <v>0.44074161211040896</v>
      </c>
      <c r="AZ82" s="101">
        <v>0.4764067395690304</v>
      </c>
      <c r="BA82" s="101">
        <v>-0.68786621779149404</v>
      </c>
      <c r="BB82" s="101">
        <v>7.948485752751315E-2</v>
      </c>
    </row>
    <row r="83" spans="2:54">
      <c r="B83">
        <v>8.7069999999999995E-2</v>
      </c>
      <c r="C83">
        <v>12.83</v>
      </c>
      <c r="D83">
        <v>0.437</v>
      </c>
      <c r="E83">
        <v>6.14</v>
      </c>
      <c r="F83">
        <v>45.8</v>
      </c>
      <c r="G83">
        <v>4.0904999999999996</v>
      </c>
      <c r="H83">
        <v>5</v>
      </c>
      <c r="I83">
        <v>398</v>
      </c>
      <c r="J83">
        <v>18.7</v>
      </c>
      <c r="K83">
        <v>386.96</v>
      </c>
      <c r="L83">
        <v>10.27</v>
      </c>
      <c r="M83">
        <v>20.8</v>
      </c>
      <c r="O83" s="101">
        <f t="shared" si="42"/>
        <v>-0.41038480011276668</v>
      </c>
      <c r="P83" s="101">
        <f t="shared" si="43"/>
        <v>0.24705681852564507</v>
      </c>
      <c r="Q83" s="101">
        <f t="shared" si="44"/>
        <v>-1.0166887689156694</v>
      </c>
      <c r="R83" s="101">
        <f t="shared" si="45"/>
        <v>-0.20605463480383018</v>
      </c>
      <c r="S83" s="101">
        <f t="shared" si="46"/>
        <v>-0.80988851063298573</v>
      </c>
      <c r="T83" s="101">
        <f t="shared" si="47"/>
        <v>0.14045128806230342</v>
      </c>
      <c r="U83" s="101">
        <f t="shared" si="48"/>
        <v>-0.52300144620353584</v>
      </c>
      <c r="V83" s="101">
        <f t="shared" si="49"/>
        <v>-6.0801354464172584E-2</v>
      </c>
      <c r="W83" s="101">
        <f t="shared" si="50"/>
        <v>0.11303209559734317</v>
      </c>
      <c r="X83" s="101">
        <f t="shared" si="51"/>
        <v>0.33206621052920265</v>
      </c>
      <c r="Y83" s="101">
        <f t="shared" si="52"/>
        <v>-0.33404299052356434</v>
      </c>
      <c r="Z83" s="101">
        <f t="shared" si="53"/>
        <v>-0.18859426934451504</v>
      </c>
      <c r="AQ83" s="101">
        <v>-0.89025159517482511</v>
      </c>
      <c r="AR83" s="101">
        <v>-0.74632770498114609</v>
      </c>
      <c r="AS83" s="101">
        <v>6.1666247630905321E-2</v>
      </c>
      <c r="AT83" s="101">
        <v>0.31636268652659721</v>
      </c>
      <c r="AU83" s="101">
        <v>0.18818618628493011</v>
      </c>
      <c r="AV83" s="101">
        <v>-0.33200698002144474</v>
      </c>
      <c r="AW83" s="101">
        <v>0.48227751746237763</v>
      </c>
      <c r="AX83" s="101">
        <v>0.35490593889598959</v>
      </c>
      <c r="AY83" s="101">
        <v>0.4438919418126861</v>
      </c>
      <c r="AZ83" s="101">
        <v>-2.2445832679557354E-4</v>
      </c>
      <c r="BA83" s="101">
        <v>-0.60332668695298364</v>
      </c>
      <c r="BB83" s="101">
        <v>9.9802902939193153E-2</v>
      </c>
    </row>
    <row r="84" spans="2:54">
      <c r="B84">
        <v>5.6460000000000003E-2</v>
      </c>
      <c r="C84">
        <v>12.83</v>
      </c>
      <c r="D84">
        <v>0.437</v>
      </c>
      <c r="E84">
        <v>6.2320000000000002</v>
      </c>
      <c r="F84">
        <v>53.7</v>
      </c>
      <c r="G84">
        <v>5.0141</v>
      </c>
      <c r="H84">
        <v>5</v>
      </c>
      <c r="I84">
        <v>398</v>
      </c>
      <c r="J84">
        <v>18.7</v>
      </c>
      <c r="K84">
        <v>386.4</v>
      </c>
      <c r="L84">
        <v>12.34</v>
      </c>
      <c r="M84">
        <v>21.2</v>
      </c>
      <c r="O84" s="101">
        <f t="shared" si="42"/>
        <v>-0.41394698476295277</v>
      </c>
      <c r="P84" s="101">
        <f t="shared" si="43"/>
        <v>0.24705681852564507</v>
      </c>
      <c r="Q84" s="101">
        <f t="shared" si="44"/>
        <v>-1.0166887689156694</v>
      </c>
      <c r="R84" s="101">
        <f t="shared" si="45"/>
        <v>-7.4986036602185002E-2</v>
      </c>
      <c r="S84" s="101">
        <f t="shared" si="46"/>
        <v>-0.52895999279607919</v>
      </c>
      <c r="T84" s="101">
        <f t="shared" si="47"/>
        <v>0.57950222460936951</v>
      </c>
      <c r="U84" s="101">
        <f t="shared" si="48"/>
        <v>-0.52300144620353584</v>
      </c>
      <c r="V84" s="101">
        <f t="shared" si="49"/>
        <v>-6.0801354464172584E-2</v>
      </c>
      <c r="W84" s="101">
        <f t="shared" si="50"/>
        <v>0.11303209559734317</v>
      </c>
      <c r="X84" s="101">
        <f t="shared" si="51"/>
        <v>0.32592616984876172</v>
      </c>
      <c r="Y84" s="101">
        <f t="shared" si="52"/>
        <v>-4.3883258941010292E-2</v>
      </c>
      <c r="Z84" s="101">
        <f t="shared" si="53"/>
        <v>-0.14505927833706847</v>
      </c>
      <c r="AQ84" s="101">
        <v>-0.88175240749685446</v>
      </c>
      <c r="AR84" s="101">
        <v>-0.80954585499480403</v>
      </c>
      <c r="AS84" s="101">
        <v>7.4835834625716316E-2</v>
      </c>
      <c r="AT84" s="101">
        <v>0.24409487788791512</v>
      </c>
      <c r="AU84" s="101">
        <v>0.17430265985613752</v>
      </c>
      <c r="AV84" s="101">
        <v>-0.22331977571184405</v>
      </c>
      <c r="AW84" s="101">
        <v>4.4036496493403271E-2</v>
      </c>
      <c r="AX84" s="101">
        <v>0.41032229375519391</v>
      </c>
      <c r="AY84" s="101">
        <v>0.59791055174691132</v>
      </c>
      <c r="AZ84" s="101">
        <v>0.26208823273171666</v>
      </c>
      <c r="BA84" s="101">
        <v>-0.34676358709862998</v>
      </c>
      <c r="BB84" s="101">
        <v>0.10707712312575593</v>
      </c>
    </row>
    <row r="85" spans="2:54">
      <c r="B85">
        <v>8.387E-2</v>
      </c>
      <c r="C85">
        <v>12.83</v>
      </c>
      <c r="D85">
        <v>0.437</v>
      </c>
      <c r="E85">
        <v>5.8739999999999997</v>
      </c>
      <c r="F85">
        <v>36.6</v>
      </c>
      <c r="G85">
        <v>4.5026000000000002</v>
      </c>
      <c r="H85">
        <v>5</v>
      </c>
      <c r="I85">
        <v>398</v>
      </c>
      <c r="J85">
        <v>18.7</v>
      </c>
      <c r="K85">
        <v>396.06</v>
      </c>
      <c r="L85">
        <v>9.1</v>
      </c>
      <c r="M85">
        <v>20.3</v>
      </c>
      <c r="O85" s="101">
        <f t="shared" si="42"/>
        <v>-0.41075719445711806</v>
      </c>
      <c r="P85" s="101">
        <f t="shared" si="43"/>
        <v>0.24705681852564507</v>
      </c>
      <c r="Q85" s="101">
        <f t="shared" si="44"/>
        <v>-1.0166887689156694</v>
      </c>
      <c r="R85" s="101">
        <f t="shared" si="45"/>
        <v>-0.58501384264771517</v>
      </c>
      <c r="S85" s="101">
        <f t="shared" si="46"/>
        <v>-1.1370457719114082</v>
      </c>
      <c r="T85" s="101">
        <f t="shared" si="47"/>
        <v>0.33635091014009261</v>
      </c>
      <c r="U85" s="101">
        <f t="shared" si="48"/>
        <v>-0.52300144620353584</v>
      </c>
      <c r="V85" s="101">
        <f t="shared" si="49"/>
        <v>-6.0801354464172584E-2</v>
      </c>
      <c r="W85" s="101">
        <f t="shared" si="50"/>
        <v>0.11303209559734317</v>
      </c>
      <c r="X85" s="101">
        <f t="shared" si="51"/>
        <v>0.43184187158636733</v>
      </c>
      <c r="Y85" s="101">
        <f t="shared" si="52"/>
        <v>-0.49804631707022529</v>
      </c>
      <c r="Z85" s="101">
        <f t="shared" si="53"/>
        <v>-0.24301300810382345</v>
      </c>
      <c r="AQ85" s="101">
        <v>-1.0261517112278788</v>
      </c>
      <c r="AR85" s="101">
        <v>-1.0893571516985379</v>
      </c>
      <c r="AS85" s="101">
        <v>0.1412633356588314</v>
      </c>
      <c r="AT85" s="101">
        <v>0.33845231887061766</v>
      </c>
      <c r="AU85" s="101">
        <v>5.8797502932636365E-2</v>
      </c>
      <c r="AV85" s="101">
        <v>-0.64172663934141672</v>
      </c>
      <c r="AW85" s="101">
        <v>0.70882792566120789</v>
      </c>
      <c r="AX85" s="101">
        <v>0.32823852768526535</v>
      </c>
      <c r="AY85" s="101">
        <v>0.32047058307236026</v>
      </c>
      <c r="AZ85" s="101">
        <v>2.9275959676079849E-2</v>
      </c>
      <c r="BA85" s="101">
        <v>-0.53361733283983359</v>
      </c>
      <c r="BB85" s="101">
        <v>8.5509563886552994E-2</v>
      </c>
    </row>
    <row r="86" spans="2:54">
      <c r="B86">
        <v>4.113E-2</v>
      </c>
      <c r="C86">
        <v>4.8600000000000003</v>
      </c>
      <c r="D86">
        <v>0.42599999999999999</v>
      </c>
      <c r="E86">
        <v>6.7270000000000003</v>
      </c>
      <c r="F86">
        <v>33.5</v>
      </c>
      <c r="G86">
        <v>5.4006999999999996</v>
      </c>
      <c r="H86">
        <v>4</v>
      </c>
      <c r="I86">
        <v>281</v>
      </c>
      <c r="J86">
        <v>19</v>
      </c>
      <c r="K86">
        <v>396.9</v>
      </c>
      <c r="L86">
        <v>5.29</v>
      </c>
      <c r="M86">
        <v>28</v>
      </c>
      <c r="O86" s="101">
        <f t="shared" si="42"/>
        <v>-0.41573098641886108</v>
      </c>
      <c r="P86" s="101">
        <f t="shared" si="43"/>
        <v>-0.91584066724837199</v>
      </c>
      <c r="Q86" s="101">
        <f t="shared" si="44"/>
        <v>-1.1117103996083826</v>
      </c>
      <c r="R86" s="101">
        <f t="shared" si="45"/>
        <v>0.63022000806970646</v>
      </c>
      <c r="S86" s="101">
        <f t="shared" si="46"/>
        <v>-1.2472835447334853</v>
      </c>
      <c r="T86" s="101">
        <f t="shared" si="47"/>
        <v>0.76327993364910052</v>
      </c>
      <c r="U86" s="101">
        <f t="shared" si="48"/>
        <v>-0.63796179884427828</v>
      </c>
      <c r="V86" s="101">
        <f t="shared" si="49"/>
        <v>-0.75569745233829355</v>
      </c>
      <c r="W86" s="101">
        <f t="shared" si="50"/>
        <v>0.25174084346863113</v>
      </c>
      <c r="X86" s="101">
        <f t="shared" si="51"/>
        <v>0.44105193260702835</v>
      </c>
      <c r="Y86" s="101">
        <f t="shared" si="52"/>
        <v>-1.0321084317221725</v>
      </c>
      <c r="Z86" s="101">
        <f t="shared" si="53"/>
        <v>0.59503556878952579</v>
      </c>
      <c r="AQ86" s="101">
        <v>-2.5171565533857918</v>
      </c>
      <c r="AR86" s="101">
        <v>-0.33036641290012525</v>
      </c>
      <c r="AS86" s="101">
        <v>0.74293567112830661</v>
      </c>
      <c r="AT86" s="101">
        <v>0.44070882849659726</v>
      </c>
      <c r="AU86" s="101">
        <v>0.22697575131091813</v>
      </c>
      <c r="AV86" s="101">
        <v>0.17938011859791536</v>
      </c>
      <c r="AW86" s="101">
        <v>0.30821592369659523</v>
      </c>
      <c r="AX86" s="101">
        <v>0.10166682850861769</v>
      </c>
      <c r="AY86" s="101">
        <v>-1.9199069390027523E-2</v>
      </c>
      <c r="AZ86" s="101">
        <v>-0.23784519969599768</v>
      </c>
      <c r="BA86" s="101">
        <v>-2.5635565526240134E-2</v>
      </c>
      <c r="BB86" s="101">
        <v>1.5941803128043303E-2</v>
      </c>
    </row>
    <row r="87" spans="2:54">
      <c r="B87">
        <v>4.462E-2</v>
      </c>
      <c r="C87">
        <v>4.8600000000000003</v>
      </c>
      <c r="D87">
        <v>0.42599999999999999</v>
      </c>
      <c r="E87">
        <v>6.6189999999999998</v>
      </c>
      <c r="F87">
        <v>70.400000000000006</v>
      </c>
      <c r="G87">
        <v>5.4006999999999996</v>
      </c>
      <c r="H87">
        <v>4</v>
      </c>
      <c r="I87">
        <v>281</v>
      </c>
      <c r="J87">
        <v>19</v>
      </c>
      <c r="K87">
        <v>395.63</v>
      </c>
      <c r="L87">
        <v>7.22</v>
      </c>
      <c r="M87">
        <v>23.9</v>
      </c>
      <c r="O87" s="101">
        <f t="shared" si="42"/>
        <v>-0.41532484383705282</v>
      </c>
      <c r="P87" s="101">
        <f t="shared" si="43"/>
        <v>-0.91584066724837199</v>
      </c>
      <c r="Q87" s="101">
        <f t="shared" si="44"/>
        <v>-1.1117103996083826</v>
      </c>
      <c r="R87" s="101">
        <f t="shared" si="45"/>
        <v>0.47635687105038393</v>
      </c>
      <c r="S87" s="101">
        <f t="shared" si="46"/>
        <v>6.4901557568013982E-2</v>
      </c>
      <c r="T87" s="101">
        <f t="shared" si="47"/>
        <v>0.76327993364910052</v>
      </c>
      <c r="U87" s="101">
        <f t="shared" si="48"/>
        <v>-0.63796179884427828</v>
      </c>
      <c r="V87" s="101">
        <f t="shared" si="49"/>
        <v>-0.75569745233829355</v>
      </c>
      <c r="W87" s="101">
        <f t="shared" si="50"/>
        <v>0.25174084346863113</v>
      </c>
      <c r="X87" s="101">
        <f t="shared" si="51"/>
        <v>0.42712719749245726</v>
      </c>
      <c r="Y87" s="101">
        <f t="shared" si="52"/>
        <v>-0.76157302981186858</v>
      </c>
      <c r="Z87" s="101">
        <f t="shared" si="53"/>
        <v>0.14880191096319678</v>
      </c>
      <c r="AQ87" s="101">
        <v>-1.8787755673673967</v>
      </c>
      <c r="AR87" s="101">
        <v>-0.41015175079018751</v>
      </c>
      <c r="AS87" s="101">
        <v>0.16044555390346921</v>
      </c>
      <c r="AT87" s="101">
        <v>0.37111095313886405</v>
      </c>
      <c r="AU87" s="101">
        <v>0.27570889023443634</v>
      </c>
      <c r="AV87" s="101">
        <v>0.74237397079280654</v>
      </c>
      <c r="AW87" s="101">
        <v>-0.29691470607068982</v>
      </c>
      <c r="AX87" s="101">
        <v>-5.5166497335036389E-2</v>
      </c>
      <c r="AY87" s="101">
        <v>-0.21699637891683429</v>
      </c>
      <c r="AZ87" s="101">
        <v>0.43116754260828688</v>
      </c>
      <c r="BA87" s="101">
        <v>-0.2662066446867335</v>
      </c>
      <c r="BB87" s="101">
        <v>-5.6748848002620388E-2</v>
      </c>
    </row>
    <row r="88" spans="2:54">
      <c r="B88">
        <v>3.6589999999999998E-2</v>
      </c>
      <c r="C88">
        <v>4.8600000000000003</v>
      </c>
      <c r="D88">
        <v>0.42599999999999999</v>
      </c>
      <c r="E88">
        <v>6.3019999999999996</v>
      </c>
      <c r="F88">
        <v>32.200000000000003</v>
      </c>
      <c r="G88">
        <v>5.4006999999999996</v>
      </c>
      <c r="H88">
        <v>4</v>
      </c>
      <c r="I88">
        <v>281</v>
      </c>
      <c r="J88">
        <v>19</v>
      </c>
      <c r="K88">
        <v>396.9</v>
      </c>
      <c r="L88">
        <v>6.72</v>
      </c>
      <c r="M88">
        <v>24.8</v>
      </c>
      <c r="O88" s="101">
        <f t="shared" si="42"/>
        <v>-0.41625932089490958</v>
      </c>
      <c r="P88" s="101">
        <f t="shared" si="43"/>
        <v>-0.91584066724837199</v>
      </c>
      <c r="Q88" s="101">
        <f t="shared" si="44"/>
        <v>-1.1117103996083826</v>
      </c>
      <c r="R88" s="101">
        <f t="shared" si="45"/>
        <v>2.4740070725152299E-2</v>
      </c>
      <c r="S88" s="101">
        <f t="shared" si="46"/>
        <v>-1.2935122881750014</v>
      </c>
      <c r="T88" s="101">
        <f t="shared" si="47"/>
        <v>0.76327993364910052</v>
      </c>
      <c r="U88" s="101">
        <f t="shared" si="48"/>
        <v>-0.63796179884427828</v>
      </c>
      <c r="V88" s="101">
        <f t="shared" si="49"/>
        <v>-0.75569745233829355</v>
      </c>
      <c r="W88" s="101">
        <f t="shared" si="50"/>
        <v>0.25174084346863113</v>
      </c>
      <c r="X88" s="101">
        <f t="shared" si="51"/>
        <v>0.44105193260702835</v>
      </c>
      <c r="Y88" s="101">
        <f t="shared" si="52"/>
        <v>-0.83165992149847578</v>
      </c>
      <c r="Z88" s="101">
        <f t="shared" si="53"/>
        <v>0.24675564072995212</v>
      </c>
      <c r="AQ88" s="101">
        <v>-2.2441638191469542</v>
      </c>
      <c r="AR88" s="101">
        <v>-0.89790764411426116</v>
      </c>
      <c r="AS88" s="101">
        <v>0.55358746469457032</v>
      </c>
      <c r="AT88" s="101">
        <v>0.29452078661365966</v>
      </c>
      <c r="AU88" s="101">
        <v>0.1127269112307384</v>
      </c>
      <c r="AV88" s="101">
        <v>3.0303927442972625E-2</v>
      </c>
      <c r="AW88" s="101">
        <v>0.41140300055960993</v>
      </c>
      <c r="AX88" s="101">
        <v>-4.2899463286804843E-2</v>
      </c>
      <c r="AY88" s="101">
        <v>-8.1570885438684793E-2</v>
      </c>
      <c r="AZ88" s="101">
        <v>-0.2375567523073312</v>
      </c>
      <c r="BA88" s="101">
        <v>-9.595564461397868E-2</v>
      </c>
      <c r="BB88" s="101">
        <v>-1.0729174242479454E-2</v>
      </c>
    </row>
    <row r="89" spans="2:54">
      <c r="B89">
        <v>3.551E-2</v>
      </c>
      <c r="C89">
        <v>4.8600000000000003</v>
      </c>
      <c r="D89">
        <v>0.42599999999999999</v>
      </c>
      <c r="E89">
        <v>6.1669999999999998</v>
      </c>
      <c r="F89">
        <v>46.7</v>
      </c>
      <c r="G89">
        <v>5.4006999999999996</v>
      </c>
      <c r="H89">
        <v>4</v>
      </c>
      <c r="I89">
        <v>281</v>
      </c>
      <c r="J89">
        <v>19</v>
      </c>
      <c r="K89">
        <v>390.64</v>
      </c>
      <c r="L89">
        <v>7.51</v>
      </c>
      <c r="M89">
        <v>22.9</v>
      </c>
      <c r="O89" s="101">
        <f t="shared" si="42"/>
        <v>-0.41638500398612815</v>
      </c>
      <c r="P89" s="101">
        <f t="shared" si="43"/>
        <v>-0.91584066724837199</v>
      </c>
      <c r="Q89" s="101">
        <f t="shared" si="44"/>
        <v>-1.1117103996083826</v>
      </c>
      <c r="R89" s="101">
        <f t="shared" si="45"/>
        <v>-0.16758885054899955</v>
      </c>
      <c r="S89" s="101">
        <f t="shared" si="46"/>
        <v>-0.77788399594270508</v>
      </c>
      <c r="T89" s="101">
        <f t="shared" si="47"/>
        <v>0.76327993364910052</v>
      </c>
      <c r="U89" s="101">
        <f t="shared" si="48"/>
        <v>-0.63796179884427828</v>
      </c>
      <c r="V89" s="101">
        <f t="shared" si="49"/>
        <v>-0.75569745233829355</v>
      </c>
      <c r="W89" s="101">
        <f t="shared" si="50"/>
        <v>0.25174084346863113</v>
      </c>
      <c r="X89" s="101">
        <f t="shared" si="51"/>
        <v>0.37241504928638569</v>
      </c>
      <c r="Y89" s="101">
        <f t="shared" si="52"/>
        <v>-0.72092263263363632</v>
      </c>
      <c r="Z89" s="101">
        <f t="shared" si="53"/>
        <v>3.9964433444579998E-2</v>
      </c>
      <c r="AQ89" s="101">
        <v>-1.9426434443317371</v>
      </c>
      <c r="AR89" s="101">
        <v>-1.013996054845318</v>
      </c>
      <c r="AS89" s="101">
        <v>0.3109939107097266</v>
      </c>
      <c r="AT89" s="101">
        <v>0.20685348629321773</v>
      </c>
      <c r="AU89" s="101">
        <v>0.14722372723128221</v>
      </c>
      <c r="AV89" s="101">
        <v>0.22041865097400345</v>
      </c>
      <c r="AW89" s="101">
        <v>0.22850974423176562</v>
      </c>
      <c r="AX89" s="101">
        <v>-0.16053353630029679</v>
      </c>
      <c r="AY89" s="101">
        <v>-0.18076179029026576</v>
      </c>
      <c r="AZ89" s="101">
        <v>5.6588315189104003E-2</v>
      </c>
      <c r="BA89" s="101">
        <v>-0.19463712429815627</v>
      </c>
      <c r="BB89" s="101">
        <v>-4.1576325905133812E-2</v>
      </c>
    </row>
    <row r="90" spans="2:54">
      <c r="B90">
        <v>5.0590000000000003E-2</v>
      </c>
      <c r="C90">
        <v>4.49</v>
      </c>
      <c r="D90">
        <v>0.44900000000000001</v>
      </c>
      <c r="E90">
        <v>6.3890000000000002</v>
      </c>
      <c r="F90">
        <v>48</v>
      </c>
      <c r="G90">
        <v>4.7793999999999999</v>
      </c>
      <c r="H90">
        <v>3</v>
      </c>
      <c r="I90">
        <v>247</v>
      </c>
      <c r="J90">
        <v>18.5</v>
      </c>
      <c r="K90">
        <v>396.9</v>
      </c>
      <c r="L90">
        <v>9.6199999999999992</v>
      </c>
      <c r="M90">
        <v>23.9</v>
      </c>
      <c r="O90" s="101">
        <f t="shared" si="42"/>
        <v>-0.41463009563837233</v>
      </c>
      <c r="P90" s="101">
        <f t="shared" si="43"/>
        <v>-0.96982712518267389</v>
      </c>
      <c r="Q90" s="101">
        <f t="shared" si="44"/>
        <v>-0.91302880815998222</v>
      </c>
      <c r="R90" s="101">
        <f t="shared" si="45"/>
        <v>0.14868537554627348</v>
      </c>
      <c r="S90" s="101">
        <f t="shared" si="46"/>
        <v>-0.7316552525011889</v>
      </c>
      <c r="T90" s="101">
        <f t="shared" si="47"/>
        <v>0.46793308774536302</v>
      </c>
      <c r="U90" s="101">
        <f t="shared" si="48"/>
        <v>-0.75292215148502073</v>
      </c>
      <c r="V90" s="101">
        <f t="shared" si="49"/>
        <v>-0.95763307052393554</v>
      </c>
      <c r="W90" s="101">
        <f t="shared" si="50"/>
        <v>2.0559597016485073E-2</v>
      </c>
      <c r="X90" s="101">
        <f t="shared" si="51"/>
        <v>0.44105193260702835</v>
      </c>
      <c r="Y90" s="101">
        <f t="shared" si="52"/>
        <v>-0.42515594971615384</v>
      </c>
      <c r="Z90" s="101">
        <f t="shared" si="53"/>
        <v>0.14880191096319678</v>
      </c>
      <c r="AQ90" s="101">
        <v>-1.9620300309772194</v>
      </c>
      <c r="AR90" s="101">
        <v>-0.67270449595032544</v>
      </c>
      <c r="AS90" s="101">
        <v>2.2787961416745424E-3</v>
      </c>
      <c r="AT90" s="101">
        <v>5.9138640214180402E-2</v>
      </c>
      <c r="AU90" s="101">
        <v>5.0869180831478532E-2</v>
      </c>
      <c r="AV90" s="101">
        <v>0.41755734227054575</v>
      </c>
      <c r="AW90" s="101">
        <v>0.11179243615245446</v>
      </c>
      <c r="AX90" s="101">
        <v>-0.1007832694454014</v>
      </c>
      <c r="AY90" s="101">
        <v>-4.0180052580325275E-2</v>
      </c>
      <c r="AZ90" s="101">
        <v>-0.28578886133541415</v>
      </c>
      <c r="BA90" s="101">
        <v>-0.11252261186837634</v>
      </c>
      <c r="BB90" s="101">
        <v>-5.6134046075091627E-2</v>
      </c>
    </row>
    <row r="91" spans="2:54">
      <c r="B91">
        <v>5.7349999999999998E-2</v>
      </c>
      <c r="C91">
        <v>4.49</v>
      </c>
      <c r="D91">
        <v>0.44900000000000001</v>
      </c>
      <c r="E91">
        <v>6.63</v>
      </c>
      <c r="F91">
        <v>56.1</v>
      </c>
      <c r="G91">
        <v>4.4377000000000004</v>
      </c>
      <c r="H91">
        <v>3</v>
      </c>
      <c r="I91">
        <v>247</v>
      </c>
      <c r="J91">
        <v>18.5</v>
      </c>
      <c r="K91">
        <v>392.3</v>
      </c>
      <c r="L91">
        <v>6.53</v>
      </c>
      <c r="M91">
        <v>26.6</v>
      </c>
      <c r="O91" s="101">
        <f t="shared" si="42"/>
        <v>-0.41384341258593005</v>
      </c>
      <c r="P91" s="101">
        <f t="shared" si="43"/>
        <v>-0.96982712518267389</v>
      </c>
      <c r="Q91" s="101">
        <f t="shared" si="44"/>
        <v>-0.91302880815998222</v>
      </c>
      <c r="R91" s="101">
        <f t="shared" si="45"/>
        <v>0.49202811648753725</v>
      </c>
      <c r="S91" s="101">
        <f t="shared" si="46"/>
        <v>-0.44361462028866466</v>
      </c>
      <c r="T91" s="101">
        <f t="shared" si="47"/>
        <v>0.30549945303538878</v>
      </c>
      <c r="U91" s="101">
        <f t="shared" si="48"/>
        <v>-0.75292215148502073</v>
      </c>
      <c r="V91" s="101">
        <f t="shared" si="49"/>
        <v>-0.95763307052393554</v>
      </c>
      <c r="W91" s="101">
        <f t="shared" si="50"/>
        <v>2.0559597016485073E-2</v>
      </c>
      <c r="X91" s="101">
        <f t="shared" si="51"/>
        <v>0.39061588416055004</v>
      </c>
      <c r="Y91" s="101">
        <f t="shared" si="52"/>
        <v>-0.85829294033938641</v>
      </c>
      <c r="Z91" s="101">
        <f t="shared" si="53"/>
        <v>0.44266310026346245</v>
      </c>
      <c r="AQ91" s="101">
        <v>-2.1093272948556838</v>
      </c>
      <c r="AR91" s="101">
        <v>-0.1071190493263674</v>
      </c>
      <c r="AS91" s="101">
        <v>4.8532803883295561E-2</v>
      </c>
      <c r="AT91" s="101">
        <v>0.21531071838643537</v>
      </c>
      <c r="AU91" s="101">
        <v>0.20521168626912678</v>
      </c>
      <c r="AV91" s="101">
        <v>0.59770169601988765</v>
      </c>
      <c r="AW91" s="101">
        <v>0.18768906089822535</v>
      </c>
      <c r="AX91" s="101">
        <v>-0.12284714131637217</v>
      </c>
      <c r="AY91" s="101">
        <v>-0.1938280807161806</v>
      </c>
      <c r="AZ91" s="101">
        <v>-8.217804488247181E-2</v>
      </c>
      <c r="BA91" s="101">
        <v>-0.20218722055498692</v>
      </c>
      <c r="BB91" s="101">
        <v>-5.3959357085090087E-2</v>
      </c>
    </row>
    <row r="92" spans="2:54">
      <c r="B92">
        <v>5.1880000000000003E-2</v>
      </c>
      <c r="C92">
        <v>4.49</v>
      </c>
      <c r="D92">
        <v>0.44900000000000001</v>
      </c>
      <c r="E92">
        <v>6.0149999999999997</v>
      </c>
      <c r="F92">
        <v>45.1</v>
      </c>
      <c r="G92">
        <v>4.4272</v>
      </c>
      <c r="H92">
        <v>3</v>
      </c>
      <c r="I92">
        <v>247</v>
      </c>
      <c r="J92">
        <v>18.5</v>
      </c>
      <c r="K92">
        <v>395.99</v>
      </c>
      <c r="L92">
        <v>12.86</v>
      </c>
      <c r="M92">
        <v>22.5</v>
      </c>
      <c r="O92" s="101">
        <f t="shared" si="42"/>
        <v>-0.41447997416830568</v>
      </c>
      <c r="P92" s="101">
        <f t="shared" si="43"/>
        <v>-0.96982712518267389</v>
      </c>
      <c r="Q92" s="101">
        <f t="shared" si="44"/>
        <v>-0.91302880815998222</v>
      </c>
      <c r="R92" s="101">
        <f t="shared" si="45"/>
        <v>-0.38413696931693403</v>
      </c>
      <c r="S92" s="101">
        <f t="shared" si="46"/>
        <v>-0.83478091094764817</v>
      </c>
      <c r="T92" s="101">
        <f t="shared" si="47"/>
        <v>0.30050807707854127</v>
      </c>
      <c r="U92" s="101">
        <f t="shared" si="48"/>
        <v>-0.75292215148502073</v>
      </c>
      <c r="V92" s="101">
        <f t="shared" si="49"/>
        <v>-0.95763307052393554</v>
      </c>
      <c r="W92" s="101">
        <f t="shared" si="50"/>
        <v>2.0559597016485073E-2</v>
      </c>
      <c r="X92" s="101">
        <f t="shared" si="51"/>
        <v>0.43107436650131226</v>
      </c>
      <c r="Y92" s="101">
        <f t="shared" si="52"/>
        <v>2.900710841306119E-2</v>
      </c>
      <c r="Z92" s="101">
        <f t="shared" si="53"/>
        <v>-3.5705575628665683E-3</v>
      </c>
      <c r="AQ92" s="101">
        <v>-1.6415433284465366</v>
      </c>
      <c r="AR92" s="101">
        <v>-1.1217132466392079</v>
      </c>
      <c r="AS92" s="101">
        <v>-0.23465934680681558</v>
      </c>
      <c r="AT92" s="101">
        <v>-9.7042479607646559E-2</v>
      </c>
      <c r="AU92" s="101">
        <v>-7.3768615784789174E-2</v>
      </c>
      <c r="AV92" s="101">
        <v>0.32456719579316101</v>
      </c>
      <c r="AW92" s="101">
        <v>0.22270661818822846</v>
      </c>
      <c r="AX92" s="101">
        <v>-0.34423097302143013</v>
      </c>
      <c r="AY92" s="101">
        <v>0.15356088637324919</v>
      </c>
      <c r="AZ92" s="101">
        <v>-0.46882451841733735</v>
      </c>
      <c r="BA92" s="101">
        <v>-0.10429463393020286</v>
      </c>
      <c r="BB92" s="101">
        <v>-3.5202906832355753E-2</v>
      </c>
    </row>
    <row r="93" spans="2:54">
      <c r="B93">
        <v>7.1510000000000004E-2</v>
      </c>
      <c r="C93">
        <v>4.49</v>
      </c>
      <c r="D93">
        <v>0.44900000000000001</v>
      </c>
      <c r="E93">
        <v>6.1210000000000004</v>
      </c>
      <c r="F93">
        <v>56.8</v>
      </c>
      <c r="G93">
        <v>3.7475999999999998</v>
      </c>
      <c r="H93">
        <v>3</v>
      </c>
      <c r="I93">
        <v>247</v>
      </c>
      <c r="J93">
        <v>18.5</v>
      </c>
      <c r="K93">
        <v>395.15</v>
      </c>
      <c r="L93">
        <v>8.44</v>
      </c>
      <c r="M93">
        <v>22.2</v>
      </c>
      <c r="O93" s="101">
        <f t="shared" si="42"/>
        <v>-0.41219556761217524</v>
      </c>
      <c r="P93" s="101">
        <f t="shared" si="43"/>
        <v>-0.96982712518267389</v>
      </c>
      <c r="Q93" s="101">
        <f t="shared" si="44"/>
        <v>-0.91302880815998222</v>
      </c>
      <c r="R93" s="101">
        <f t="shared" si="45"/>
        <v>-0.23312314964982089</v>
      </c>
      <c r="S93" s="101">
        <f t="shared" si="46"/>
        <v>-0.41872221997400227</v>
      </c>
      <c r="T93" s="101">
        <f t="shared" si="47"/>
        <v>-2.2552789614167793E-2</v>
      </c>
      <c r="U93" s="101">
        <f t="shared" si="48"/>
        <v>-0.75292215148502073</v>
      </c>
      <c r="V93" s="101">
        <f t="shared" si="49"/>
        <v>-0.95763307052393554</v>
      </c>
      <c r="W93" s="101">
        <f t="shared" si="50"/>
        <v>2.0559597016485073E-2</v>
      </c>
      <c r="X93" s="101">
        <f t="shared" si="51"/>
        <v>0.42186430548065057</v>
      </c>
      <c r="Y93" s="101">
        <f t="shared" si="52"/>
        <v>-0.59056101409654693</v>
      </c>
      <c r="Z93" s="101">
        <f t="shared" si="53"/>
        <v>-3.6221800818451687E-2</v>
      </c>
      <c r="AQ93" s="101">
        <v>-1.640972382740826</v>
      </c>
      <c r="AR93" s="101">
        <v>-0.69803574324361428</v>
      </c>
      <c r="AS93" s="101">
        <v>-0.3263012485296079</v>
      </c>
      <c r="AT93" s="101">
        <v>8.3940424782697795E-2</v>
      </c>
      <c r="AU93" s="101">
        <v>7.1325524100912654E-2</v>
      </c>
      <c r="AV93" s="101">
        <v>0.52016693291267913</v>
      </c>
      <c r="AW93" s="101">
        <v>0.38909938733399529</v>
      </c>
      <c r="AX93" s="101">
        <v>-0.35294821061702025</v>
      </c>
      <c r="AY93" s="101">
        <v>-0.27312474721241081</v>
      </c>
      <c r="AZ93" s="101">
        <v>-0.21417209355540417</v>
      </c>
      <c r="BA93" s="101">
        <v>-0.46207634619229909</v>
      </c>
      <c r="BB93" s="101">
        <v>-8.6708084631588161E-2</v>
      </c>
    </row>
    <row r="94" spans="2:54">
      <c r="B94">
        <v>5.6599999999999998E-2</v>
      </c>
      <c r="C94">
        <v>3.41</v>
      </c>
      <c r="D94">
        <v>0.48899999999999999</v>
      </c>
      <c r="E94">
        <v>7.0069999999999997</v>
      </c>
      <c r="F94">
        <v>86.3</v>
      </c>
      <c r="G94">
        <v>3.4217</v>
      </c>
      <c r="H94">
        <v>2</v>
      </c>
      <c r="I94">
        <v>270</v>
      </c>
      <c r="J94">
        <v>17.8</v>
      </c>
      <c r="K94">
        <v>396.9</v>
      </c>
      <c r="L94">
        <v>5.5</v>
      </c>
      <c r="M94">
        <v>23.6</v>
      </c>
      <c r="O94" s="101">
        <f t="shared" si="42"/>
        <v>-0.41393069251038739</v>
      </c>
      <c r="P94" s="101">
        <f t="shared" si="43"/>
        <v>-1.1274092186125282</v>
      </c>
      <c r="Q94" s="101">
        <f t="shared" si="44"/>
        <v>-0.56749560564102552</v>
      </c>
      <c r="R94" s="101">
        <f t="shared" si="45"/>
        <v>1.0291244373790582</v>
      </c>
      <c r="S94" s="101">
        <f t="shared" si="46"/>
        <v>0.63031465042963519</v>
      </c>
      <c r="T94" s="101">
        <f t="shared" si="47"/>
        <v>-0.17747559193193385</v>
      </c>
      <c r="U94" s="101">
        <f t="shared" si="48"/>
        <v>-0.86788250412576318</v>
      </c>
      <c r="V94" s="101">
        <f t="shared" si="49"/>
        <v>-0.82102956410423655</v>
      </c>
      <c r="W94" s="101">
        <f t="shared" si="50"/>
        <v>-0.30309414801651907</v>
      </c>
      <c r="X94" s="101">
        <f t="shared" si="51"/>
        <v>0.44105193260702835</v>
      </c>
      <c r="Y94" s="101">
        <f t="shared" si="52"/>
        <v>-1.0026719372137973</v>
      </c>
      <c r="Z94" s="101">
        <f t="shared" si="53"/>
        <v>0.11615066770761207</v>
      </c>
      <c r="AQ94" s="101">
        <v>-1.7199847521190545</v>
      </c>
      <c r="AR94" s="101">
        <v>0.63751865168860944</v>
      </c>
      <c r="AS94" s="101">
        <v>-0.50867604196941063</v>
      </c>
      <c r="AT94" s="101">
        <v>0.15464771962671015</v>
      </c>
      <c r="AU94" s="101">
        <v>0.21758969633645184</v>
      </c>
      <c r="AV94" s="101">
        <v>1.1163474235884125</v>
      </c>
      <c r="AW94" s="101">
        <v>-0.34257283377371001</v>
      </c>
      <c r="AX94" s="101">
        <v>-2.7788277492827973E-2</v>
      </c>
      <c r="AY94" s="101">
        <v>-0.70610638226527789</v>
      </c>
      <c r="AZ94" s="101">
        <v>9.6380367937370551E-2</v>
      </c>
      <c r="BA94" s="101">
        <v>-0.64054117596565685</v>
      </c>
      <c r="BB94" s="101">
        <v>8.694099654260902E-2</v>
      </c>
    </row>
    <row r="95" spans="2:54">
      <c r="B95">
        <v>5.3019999999999998E-2</v>
      </c>
      <c r="C95">
        <v>3.41</v>
      </c>
      <c r="D95">
        <v>0.48899999999999999</v>
      </c>
      <c r="E95">
        <v>7.0789999999999997</v>
      </c>
      <c r="F95">
        <v>63.1</v>
      </c>
      <c r="G95">
        <v>3.4144999999999999</v>
      </c>
      <c r="H95">
        <v>2</v>
      </c>
      <c r="I95">
        <v>270</v>
      </c>
      <c r="J95">
        <v>17.8</v>
      </c>
      <c r="K95">
        <v>396.06</v>
      </c>
      <c r="L95">
        <v>5.7</v>
      </c>
      <c r="M95">
        <v>28.7</v>
      </c>
      <c r="O95" s="101">
        <f t="shared" si="42"/>
        <v>-0.41434730868313047</v>
      </c>
      <c r="P95" s="101">
        <f t="shared" si="43"/>
        <v>-1.1274092186125282</v>
      </c>
      <c r="Q95" s="101">
        <f t="shared" si="44"/>
        <v>-0.56749560564102552</v>
      </c>
      <c r="R95" s="101">
        <f t="shared" si="45"/>
        <v>1.1316998620586061</v>
      </c>
      <c r="S95" s="101">
        <f t="shared" si="46"/>
        <v>-0.19469061714203884</v>
      </c>
      <c r="T95" s="101">
        <f t="shared" si="47"/>
        <v>-0.18089824973091492</v>
      </c>
      <c r="U95" s="101">
        <f t="shared" si="48"/>
        <v>-0.86788250412576318</v>
      </c>
      <c r="V95" s="101">
        <f t="shared" si="49"/>
        <v>-0.82102956410423655</v>
      </c>
      <c r="W95" s="101">
        <f t="shared" si="50"/>
        <v>-0.30309414801651907</v>
      </c>
      <c r="X95" s="101">
        <f t="shared" si="51"/>
        <v>0.43184187158636733</v>
      </c>
      <c r="Y95" s="101">
        <f t="shared" si="52"/>
        <v>-0.97463718053915449</v>
      </c>
      <c r="Z95" s="101">
        <f t="shared" si="53"/>
        <v>0.67122180305255752</v>
      </c>
      <c r="AQ95" s="101">
        <v>-2.1297653178438587</v>
      </c>
      <c r="AR95" s="101">
        <v>0.77959375202505599</v>
      </c>
      <c r="AS95" s="101">
        <v>-0.15954036944026953</v>
      </c>
      <c r="AT95" s="101">
        <v>0.1860281140537583</v>
      </c>
      <c r="AU95" s="101">
        <v>0.17028629711357832</v>
      </c>
      <c r="AV95" s="101">
        <v>0.7811178347463793</v>
      </c>
      <c r="AW95" s="101">
        <v>2.7992417504225986E-2</v>
      </c>
      <c r="AX95" s="101">
        <v>-6.6329497792909725E-2</v>
      </c>
      <c r="AY95" s="101">
        <v>-0.34989265120517438</v>
      </c>
      <c r="AZ95" s="101">
        <v>-0.34499260212637417</v>
      </c>
      <c r="BA95" s="101">
        <v>-0.31622783815640482</v>
      </c>
      <c r="BB95" s="101">
        <v>0.18105879743962808</v>
      </c>
    </row>
    <row r="96" spans="2:54">
      <c r="B96">
        <v>4.684E-2</v>
      </c>
      <c r="C96">
        <v>3.41</v>
      </c>
      <c r="D96">
        <v>0.48899999999999999</v>
      </c>
      <c r="E96">
        <v>6.4169999999999998</v>
      </c>
      <c r="F96">
        <v>66.099999999999994</v>
      </c>
      <c r="G96">
        <v>3.0922999999999998</v>
      </c>
      <c r="H96">
        <v>2</v>
      </c>
      <c r="I96">
        <v>270</v>
      </c>
      <c r="J96">
        <v>17.8</v>
      </c>
      <c r="K96">
        <v>392.18</v>
      </c>
      <c r="L96">
        <v>8.81</v>
      </c>
      <c r="M96">
        <v>22.6</v>
      </c>
      <c r="O96" s="101">
        <f t="shared" si="42"/>
        <v>-0.41506649526065909</v>
      </c>
      <c r="P96" s="101">
        <f t="shared" si="43"/>
        <v>-1.1274092186125282</v>
      </c>
      <c r="Q96" s="101">
        <f t="shared" si="44"/>
        <v>-0.56749560564102552</v>
      </c>
      <c r="R96" s="101">
        <f t="shared" si="45"/>
        <v>0.18857581847720814</v>
      </c>
      <c r="S96" s="101">
        <f t="shared" si="46"/>
        <v>-8.8008901507770881E-2</v>
      </c>
      <c r="T96" s="101">
        <f t="shared" si="47"/>
        <v>-0.33406218623531581</v>
      </c>
      <c r="U96" s="101">
        <f t="shared" si="48"/>
        <v>-0.86788250412576318</v>
      </c>
      <c r="V96" s="101">
        <f t="shared" si="49"/>
        <v>-0.82102956410423655</v>
      </c>
      <c r="W96" s="101">
        <f t="shared" si="50"/>
        <v>-0.30309414801651907</v>
      </c>
      <c r="X96" s="101">
        <f t="shared" si="51"/>
        <v>0.38930016115759836</v>
      </c>
      <c r="Y96" s="101">
        <f t="shared" si="52"/>
        <v>-0.53869671424845733</v>
      </c>
      <c r="Z96" s="101">
        <f t="shared" si="53"/>
        <v>7.3131901889952663E-3</v>
      </c>
      <c r="AQ96" s="101">
        <v>-1.523267595608647</v>
      </c>
      <c r="AR96" s="101">
        <v>-0.10022499905680926</v>
      </c>
      <c r="AS96" s="101">
        <v>-0.58170759591488341</v>
      </c>
      <c r="AT96" s="101">
        <v>-8.775770372445775E-2</v>
      </c>
      <c r="AU96" s="101">
        <v>2.5353960537712782E-2</v>
      </c>
      <c r="AV96" s="101">
        <v>0.67829657772504048</v>
      </c>
      <c r="AW96" s="101">
        <v>0.11790005921462114</v>
      </c>
      <c r="AX96" s="101">
        <v>-0.32091605063197043</v>
      </c>
      <c r="AY96" s="101">
        <v>-0.43524399125943292</v>
      </c>
      <c r="AZ96" s="101">
        <v>-0.36844863159416658</v>
      </c>
      <c r="BA96" s="101">
        <v>-0.53337922373621827</v>
      </c>
      <c r="BB96" s="101">
        <v>0.13224508596580903</v>
      </c>
    </row>
    <row r="97" spans="2:54">
      <c r="B97">
        <v>3.9320000000000001E-2</v>
      </c>
      <c r="C97">
        <v>3.41</v>
      </c>
      <c r="D97">
        <v>0.48899999999999999</v>
      </c>
      <c r="E97">
        <v>6.4050000000000002</v>
      </c>
      <c r="F97">
        <v>73.900000000000006</v>
      </c>
      <c r="G97">
        <v>3.0920999999999998</v>
      </c>
      <c r="H97">
        <v>2</v>
      </c>
      <c r="I97">
        <v>270</v>
      </c>
      <c r="J97">
        <v>17.8</v>
      </c>
      <c r="K97">
        <v>393.55</v>
      </c>
      <c r="L97">
        <v>8.1999999999999993</v>
      </c>
      <c r="M97">
        <v>22</v>
      </c>
      <c r="O97" s="101">
        <f t="shared" si="42"/>
        <v>-0.41594162196988482</v>
      </c>
      <c r="P97" s="101">
        <f t="shared" si="43"/>
        <v>-1.1274092186125282</v>
      </c>
      <c r="Q97" s="101">
        <f t="shared" si="44"/>
        <v>-0.56749560564102552</v>
      </c>
      <c r="R97" s="101">
        <f t="shared" si="45"/>
        <v>0.1714799143639508</v>
      </c>
      <c r="S97" s="101">
        <f t="shared" si="46"/>
        <v>0.18936355914132691</v>
      </c>
      <c r="T97" s="101">
        <f t="shared" si="47"/>
        <v>-0.33415726006306529</v>
      </c>
      <c r="U97" s="101">
        <f t="shared" si="48"/>
        <v>-0.86788250412576318</v>
      </c>
      <c r="V97" s="101">
        <f t="shared" si="49"/>
        <v>-0.82102956410423655</v>
      </c>
      <c r="W97" s="101">
        <f t="shared" si="50"/>
        <v>-0.30309414801651907</v>
      </c>
      <c r="X97" s="101">
        <f t="shared" si="51"/>
        <v>0.40432133210796273</v>
      </c>
      <c r="Y97" s="101">
        <f t="shared" si="52"/>
        <v>-0.62420272210611838</v>
      </c>
      <c r="Z97" s="101">
        <f t="shared" si="53"/>
        <v>-5.7989296322174963E-2</v>
      </c>
      <c r="AQ97" s="101">
        <v>-1.4495552464662977</v>
      </c>
      <c r="AR97" s="101">
        <v>-6.0253592454022967E-2</v>
      </c>
      <c r="AS97" s="101">
        <v>-0.6787144286258936</v>
      </c>
      <c r="AT97" s="101">
        <v>-5.6001020715566688E-2</v>
      </c>
      <c r="AU97" s="101">
        <v>4.4216949241696543E-2</v>
      </c>
      <c r="AV97" s="101">
        <v>0.77894172876840062</v>
      </c>
      <c r="AW97" s="101">
        <v>4.4266625391306755E-2</v>
      </c>
      <c r="AX97" s="101">
        <v>-0.3450923516971362</v>
      </c>
      <c r="AY97" s="101">
        <v>-0.55304057932718409</v>
      </c>
      <c r="AZ97" s="101">
        <v>-0.18091630932443092</v>
      </c>
      <c r="BA97" s="101">
        <v>-0.60792328748280433</v>
      </c>
      <c r="BB97" s="101">
        <v>0.11017796555509088</v>
      </c>
    </row>
    <row r="98" spans="2:54">
      <c r="B98">
        <v>4.2029999999999998E-2</v>
      </c>
      <c r="C98">
        <v>15.04</v>
      </c>
      <c r="D98">
        <v>0.46400000000000002</v>
      </c>
      <c r="E98">
        <v>6.4420000000000002</v>
      </c>
      <c r="F98">
        <v>53.6</v>
      </c>
      <c r="G98">
        <v>3.6659000000000002</v>
      </c>
      <c r="H98">
        <v>4</v>
      </c>
      <c r="I98">
        <v>270</v>
      </c>
      <c r="J98">
        <v>18.2</v>
      </c>
      <c r="K98">
        <v>395.01</v>
      </c>
      <c r="L98">
        <v>8.16</v>
      </c>
      <c r="M98">
        <v>22.9</v>
      </c>
      <c r="O98" s="101">
        <f t="shared" si="42"/>
        <v>-0.41562625050951224</v>
      </c>
      <c r="P98" s="101">
        <f t="shared" si="43"/>
        <v>0.56951647267377259</v>
      </c>
      <c r="Q98" s="101">
        <f t="shared" si="44"/>
        <v>-0.78345385721537331</v>
      </c>
      <c r="R98" s="101">
        <f t="shared" si="45"/>
        <v>0.22419228537982944</v>
      </c>
      <c r="S98" s="101">
        <f t="shared" si="46"/>
        <v>-0.53251604998388824</v>
      </c>
      <c r="T98" s="101">
        <f t="shared" si="47"/>
        <v>-6.1390448249827319E-2</v>
      </c>
      <c r="U98" s="101">
        <f t="shared" si="48"/>
        <v>-0.63796179884427828</v>
      </c>
      <c r="V98" s="101">
        <f t="shared" si="49"/>
        <v>-0.82102956410423655</v>
      </c>
      <c r="W98" s="101">
        <f t="shared" si="50"/>
        <v>-0.11814915085480289</v>
      </c>
      <c r="X98" s="101">
        <f t="shared" si="51"/>
        <v>0.42032929531054053</v>
      </c>
      <c r="Y98" s="101">
        <f t="shared" si="52"/>
        <v>-0.62980967344104688</v>
      </c>
      <c r="Z98" s="101">
        <f t="shared" si="53"/>
        <v>3.9964433444579998E-2</v>
      </c>
      <c r="AQ98" s="101">
        <v>-1.1730114987014923</v>
      </c>
      <c r="AR98" s="101">
        <v>-0.12895514866988611</v>
      </c>
      <c r="AS98" s="101">
        <v>-0.39941047866012092</v>
      </c>
      <c r="AT98" s="101">
        <v>0.28389336514528363</v>
      </c>
      <c r="AU98" s="101">
        <v>0.25496092460228709</v>
      </c>
      <c r="AV98" s="101">
        <v>-1.5480210587535809E-2</v>
      </c>
      <c r="AW98" s="101">
        <v>0.67533843010025663</v>
      </c>
      <c r="AX98" s="101">
        <v>0.69437469271824848</v>
      </c>
      <c r="AY98" s="101">
        <v>0.34643452895144844</v>
      </c>
      <c r="AZ98" s="101">
        <v>7.2208756858939266E-2</v>
      </c>
      <c r="BA98" s="101">
        <v>-0.42171171955362563</v>
      </c>
      <c r="BB98" s="101">
        <v>-0.423334750509471</v>
      </c>
    </row>
    <row r="99" spans="2:54">
      <c r="B99">
        <v>2.8750000000000001E-2</v>
      </c>
      <c r="C99">
        <v>15.04</v>
      </c>
      <c r="D99">
        <v>0.46400000000000002</v>
      </c>
      <c r="E99">
        <v>6.2110000000000003</v>
      </c>
      <c r="F99">
        <v>28.9</v>
      </c>
      <c r="G99">
        <v>3.6659000000000002</v>
      </c>
      <c r="H99">
        <v>4</v>
      </c>
      <c r="I99">
        <v>270</v>
      </c>
      <c r="J99">
        <v>18.2</v>
      </c>
      <c r="K99">
        <v>396.33</v>
      </c>
      <c r="L99">
        <v>6.21</v>
      </c>
      <c r="M99">
        <v>25</v>
      </c>
      <c r="O99" s="101">
        <f t="shared" si="42"/>
        <v>-0.41717168703857044</v>
      </c>
      <c r="P99" s="101">
        <f t="shared" si="43"/>
        <v>0.56951647267377259</v>
      </c>
      <c r="Q99" s="101">
        <f t="shared" si="44"/>
        <v>-0.78345385721537331</v>
      </c>
      <c r="R99" s="101">
        <f t="shared" si="45"/>
        <v>-0.10490386880038632</v>
      </c>
      <c r="S99" s="101">
        <f t="shared" si="46"/>
        <v>-1.4108621753726966</v>
      </c>
      <c r="T99" s="101">
        <f t="shared" si="47"/>
        <v>-6.1390448249827319E-2</v>
      </c>
      <c r="U99" s="101">
        <f t="shared" si="48"/>
        <v>-0.63796179884427828</v>
      </c>
      <c r="V99" s="101">
        <f t="shared" si="49"/>
        <v>-0.82102956410423655</v>
      </c>
      <c r="W99" s="101">
        <f t="shared" si="50"/>
        <v>-0.11814915085480289</v>
      </c>
      <c r="X99" s="101">
        <f t="shared" si="51"/>
        <v>0.43480224834300824</v>
      </c>
      <c r="Y99" s="101">
        <f t="shared" si="52"/>
        <v>-0.90314855101881519</v>
      </c>
      <c r="Z99" s="101">
        <f t="shared" si="53"/>
        <v>0.26852313623367541</v>
      </c>
      <c r="AQ99" s="101">
        <v>-1.5221402161032576</v>
      </c>
      <c r="AR99" s="101">
        <v>-0.32737462347729934</v>
      </c>
      <c r="AS99" s="101">
        <v>-0.10429513708214798</v>
      </c>
      <c r="AT99" s="101">
        <v>0.3038206664154805</v>
      </c>
      <c r="AU99" s="101">
        <v>0.16394651673449789</v>
      </c>
      <c r="AV99" s="101">
        <v>-0.52621823694677172</v>
      </c>
      <c r="AW99" s="101">
        <v>1.2784023902428934</v>
      </c>
      <c r="AX99" s="101">
        <v>0.63315885959833373</v>
      </c>
      <c r="AY99" s="101">
        <v>0.3536340014369409</v>
      </c>
      <c r="AZ99" s="101">
        <v>-0.24922886283656703</v>
      </c>
      <c r="BA99" s="101">
        <v>-0.29102201040309755</v>
      </c>
      <c r="BB99" s="101">
        <v>-0.38890057446911802</v>
      </c>
    </row>
    <row r="100" spans="2:54">
      <c r="B100">
        <v>4.2939999999999999E-2</v>
      </c>
      <c r="C100">
        <v>15.04</v>
      </c>
      <c r="D100">
        <v>0.46400000000000002</v>
      </c>
      <c r="E100">
        <v>6.2489999999999997</v>
      </c>
      <c r="F100">
        <v>77.3</v>
      </c>
      <c r="G100">
        <v>3.6150000000000002</v>
      </c>
      <c r="H100">
        <v>4</v>
      </c>
      <c r="I100">
        <v>270</v>
      </c>
      <c r="J100">
        <v>18.2</v>
      </c>
      <c r="K100">
        <v>396.9</v>
      </c>
      <c r="L100">
        <v>10.59</v>
      </c>
      <c r="M100">
        <v>20.6</v>
      </c>
      <c r="O100" s="101">
        <f t="shared" si="42"/>
        <v>-0.41552035086783728</v>
      </c>
      <c r="P100" s="101">
        <f t="shared" si="43"/>
        <v>0.56951647267377259</v>
      </c>
      <c r="Q100" s="101">
        <f t="shared" si="44"/>
        <v>-0.78345385721537331</v>
      </c>
      <c r="R100" s="101">
        <f t="shared" si="45"/>
        <v>-5.0766839108403648E-2</v>
      </c>
      <c r="S100" s="101">
        <f t="shared" si="46"/>
        <v>0.31026950352683058</v>
      </c>
      <c r="T100" s="101">
        <f t="shared" si="47"/>
        <v>-8.5586737412068153E-2</v>
      </c>
      <c r="U100" s="101">
        <f t="shared" si="48"/>
        <v>-0.63796179884427828</v>
      </c>
      <c r="V100" s="101">
        <f t="shared" si="49"/>
        <v>-0.82102956410423655</v>
      </c>
      <c r="W100" s="101">
        <f t="shared" si="50"/>
        <v>-0.11814915085480289</v>
      </c>
      <c r="X100" s="101">
        <f t="shared" si="51"/>
        <v>0.44105193260702835</v>
      </c>
      <c r="Y100" s="101">
        <f t="shared" si="52"/>
        <v>-0.28918737984413567</v>
      </c>
      <c r="Z100" s="101">
        <f t="shared" si="53"/>
        <v>-0.21036176484823832</v>
      </c>
      <c r="AQ100" s="101">
        <v>-0.68155029775459097</v>
      </c>
      <c r="AR100" s="101">
        <v>-0.29564693769086586</v>
      </c>
      <c r="AS100" s="101">
        <v>-0.86451591641297543</v>
      </c>
      <c r="AT100" s="101">
        <v>0.21771725675739803</v>
      </c>
      <c r="AU100" s="101">
        <v>0.22333029474589394</v>
      </c>
      <c r="AV100" s="101">
        <v>0.31967020718915662</v>
      </c>
      <c r="AW100" s="101">
        <v>0.30809008457759735</v>
      </c>
      <c r="AX100" s="101">
        <v>0.47734956814433294</v>
      </c>
      <c r="AY100" s="101">
        <v>0.32179959764230437</v>
      </c>
      <c r="AZ100" s="101">
        <v>0.48351857039930402</v>
      </c>
      <c r="BA100" s="101">
        <v>-0.5196363566284572</v>
      </c>
      <c r="BB100" s="101">
        <v>-0.45332846040676256</v>
      </c>
    </row>
    <row r="101" spans="2:54">
      <c r="B101">
        <v>0.12204</v>
      </c>
      <c r="C101">
        <v>2.89</v>
      </c>
      <c r="D101">
        <v>0.44500000000000001</v>
      </c>
      <c r="E101">
        <v>6.625</v>
      </c>
      <c r="F101">
        <v>57.8</v>
      </c>
      <c r="G101">
        <v>3.4952000000000001</v>
      </c>
      <c r="H101">
        <v>2</v>
      </c>
      <c r="I101">
        <v>276</v>
      </c>
      <c r="J101">
        <v>18</v>
      </c>
      <c r="K101">
        <v>357.98</v>
      </c>
      <c r="L101">
        <v>6.65</v>
      </c>
      <c r="M101">
        <v>28.4</v>
      </c>
      <c r="O101" s="101">
        <f t="shared" si="42"/>
        <v>-0.40631522816840188</v>
      </c>
      <c r="P101" s="101">
        <f t="shared" si="43"/>
        <v>-1.2032820784120875</v>
      </c>
      <c r="Q101" s="101">
        <f t="shared" si="44"/>
        <v>-0.94758212841187794</v>
      </c>
      <c r="R101" s="101">
        <f t="shared" si="45"/>
        <v>0.48490482310701322</v>
      </c>
      <c r="S101" s="101">
        <f t="shared" si="46"/>
        <v>-0.38316164809591285</v>
      </c>
      <c r="T101" s="101">
        <f t="shared" si="47"/>
        <v>-0.14253596023400247</v>
      </c>
      <c r="U101" s="101">
        <f t="shared" si="48"/>
        <v>-0.86788250412576318</v>
      </c>
      <c r="V101" s="101">
        <f t="shared" si="49"/>
        <v>-0.78539386677735856</v>
      </c>
      <c r="W101" s="101">
        <f t="shared" si="50"/>
        <v>-0.21062164943566097</v>
      </c>
      <c r="X101" s="101">
        <f t="shared" si="51"/>
        <v>1.4319105316387144E-2</v>
      </c>
      <c r="Y101" s="101">
        <f t="shared" si="52"/>
        <v>-0.84147208633460069</v>
      </c>
      <c r="Z101" s="101">
        <f t="shared" si="53"/>
        <v>0.63857055979697241</v>
      </c>
      <c r="AQ101" s="101">
        <v>-2.0424890076661568</v>
      </c>
      <c r="AR101" s="101">
        <v>0.21922935712285385</v>
      </c>
      <c r="AS101" s="101">
        <v>1.454756200703447E-2</v>
      </c>
      <c r="AT101" s="101">
        <v>-0.12707066835973929</v>
      </c>
      <c r="AU101" s="101">
        <v>0.30995840229409666</v>
      </c>
      <c r="AV101" s="101">
        <v>0.68505622743907313</v>
      </c>
      <c r="AW101" s="101">
        <v>0.34906070577647275</v>
      </c>
      <c r="AX101" s="101">
        <v>-0.46299634328465639</v>
      </c>
      <c r="AY101" s="101">
        <v>-0.14978877460241619</v>
      </c>
      <c r="AZ101" s="101">
        <v>-0.22387690753360556</v>
      </c>
      <c r="BA101" s="101">
        <v>-0.43305855660039694</v>
      </c>
      <c r="BB101" s="101">
        <v>0.21393346101026861</v>
      </c>
    </row>
    <row r="102" spans="2:54">
      <c r="B102">
        <v>0.11504</v>
      </c>
      <c r="C102">
        <v>2.89</v>
      </c>
      <c r="D102">
        <v>0.44500000000000001</v>
      </c>
      <c r="E102">
        <v>6.1630000000000003</v>
      </c>
      <c r="F102">
        <v>69.599999999999994</v>
      </c>
      <c r="G102">
        <v>3.4952000000000001</v>
      </c>
      <c r="H102">
        <v>2</v>
      </c>
      <c r="I102">
        <v>276</v>
      </c>
      <c r="J102">
        <v>18</v>
      </c>
      <c r="K102">
        <v>391.83</v>
      </c>
      <c r="L102">
        <v>11.34</v>
      </c>
      <c r="M102">
        <v>21.4</v>
      </c>
      <c r="O102" s="101">
        <f t="shared" si="42"/>
        <v>-0.40712984079667053</v>
      </c>
      <c r="P102" s="101">
        <f t="shared" si="43"/>
        <v>-1.2032820784120875</v>
      </c>
      <c r="Q102" s="101">
        <f t="shared" si="44"/>
        <v>-0.94758212841187794</v>
      </c>
      <c r="R102" s="101">
        <f t="shared" si="45"/>
        <v>-0.17328748525341825</v>
      </c>
      <c r="S102" s="101">
        <f t="shared" si="46"/>
        <v>3.6453100065542046E-2</v>
      </c>
      <c r="T102" s="101">
        <f t="shared" si="47"/>
        <v>-0.14253596023400247</v>
      </c>
      <c r="U102" s="101">
        <f t="shared" si="48"/>
        <v>-0.86788250412576318</v>
      </c>
      <c r="V102" s="101">
        <f t="shared" si="49"/>
        <v>-0.78539386677735856</v>
      </c>
      <c r="W102" s="101">
        <f t="shared" si="50"/>
        <v>-0.21062164943566097</v>
      </c>
      <c r="X102" s="101">
        <f t="shared" si="51"/>
        <v>0.38546263573232253</v>
      </c>
      <c r="Y102" s="101">
        <f t="shared" si="52"/>
        <v>-0.18405704231422479</v>
      </c>
      <c r="Z102" s="101">
        <f t="shared" si="53"/>
        <v>-0.1232917828333452</v>
      </c>
      <c r="AQ102" s="101">
        <v>-1.4348224720740115</v>
      </c>
      <c r="AR102" s="101">
        <v>-0.62080004403529632</v>
      </c>
      <c r="AS102" s="101">
        <v>-0.59118617976915022</v>
      </c>
      <c r="AT102" s="101">
        <v>-0.14896466695256061</v>
      </c>
      <c r="AU102" s="101">
        <v>-3.6017743377034818E-2</v>
      </c>
      <c r="AV102" s="101">
        <v>0.769967953418771</v>
      </c>
      <c r="AW102" s="101">
        <v>-2.5903089030584327E-2</v>
      </c>
      <c r="AX102" s="101">
        <v>-0.54343805263310785</v>
      </c>
      <c r="AY102" s="101">
        <v>-0.16045396202994752</v>
      </c>
      <c r="AZ102" s="101">
        <v>-0.17635254852699409</v>
      </c>
      <c r="BA102" s="101">
        <v>-0.62481631795364445</v>
      </c>
      <c r="BB102" s="101">
        <v>0.14875434093622827</v>
      </c>
    </row>
    <row r="103" spans="2:54">
      <c r="B103">
        <v>0.12083000000000001</v>
      </c>
      <c r="C103">
        <v>2.89</v>
      </c>
      <c r="D103">
        <v>0.44500000000000001</v>
      </c>
      <c r="E103">
        <v>8.0690000000000008</v>
      </c>
      <c r="F103">
        <v>76</v>
      </c>
      <c r="G103">
        <v>3.4952000000000001</v>
      </c>
      <c r="H103">
        <v>2</v>
      </c>
      <c r="I103">
        <v>276</v>
      </c>
      <c r="J103">
        <v>18</v>
      </c>
      <c r="K103">
        <v>396.9</v>
      </c>
      <c r="L103">
        <v>4.21</v>
      </c>
      <c r="M103">
        <v>38.700000000000003</v>
      </c>
      <c r="O103" s="101">
        <f t="shared" si="42"/>
        <v>-0.40645603977985972</v>
      </c>
      <c r="P103" s="101">
        <f t="shared" si="43"/>
        <v>-1.2032820784120875</v>
      </c>
      <c r="Q103" s="101">
        <f t="shared" si="44"/>
        <v>-0.94758212841187794</v>
      </c>
      <c r="R103" s="101">
        <f t="shared" si="45"/>
        <v>2.54211195140239</v>
      </c>
      <c r="S103" s="101">
        <f t="shared" si="46"/>
        <v>0.26404076008531446</v>
      </c>
      <c r="T103" s="101">
        <f t="shared" si="47"/>
        <v>-0.14253596023400247</v>
      </c>
      <c r="U103" s="101">
        <f t="shared" si="48"/>
        <v>-0.86788250412576318</v>
      </c>
      <c r="V103" s="101">
        <f t="shared" si="49"/>
        <v>-0.78539386677735856</v>
      </c>
      <c r="W103" s="101">
        <f t="shared" si="50"/>
        <v>-0.21062164943566097</v>
      </c>
      <c r="X103" s="101">
        <f t="shared" si="51"/>
        <v>0.44105193260702835</v>
      </c>
      <c r="Y103" s="101">
        <f t="shared" si="52"/>
        <v>-1.1834961177652443</v>
      </c>
      <c r="Z103" s="101">
        <f t="shared" si="53"/>
        <v>1.7595965782387257</v>
      </c>
      <c r="AQ103" s="101">
        <v>-2.7861577082894118</v>
      </c>
      <c r="AR103" s="101">
        <v>2.1075607796031854</v>
      </c>
      <c r="AS103" s="101">
        <v>0.26719646892915661</v>
      </c>
      <c r="AT103" s="101">
        <v>0.61129539749025863</v>
      </c>
      <c r="AU103" s="101">
        <v>0.45229759588493634</v>
      </c>
      <c r="AV103" s="101">
        <v>1.4139646380634714</v>
      </c>
      <c r="AW103" s="101">
        <v>-0.3864325235993899</v>
      </c>
      <c r="AX103" s="101">
        <v>-2.4619099271001255E-2</v>
      </c>
      <c r="AY103" s="101">
        <v>0.17980723254977915</v>
      </c>
      <c r="AZ103" s="101">
        <v>-8.3441812612865318E-2</v>
      </c>
      <c r="BA103" s="101">
        <v>-0.19126506573997248</v>
      </c>
      <c r="BB103" s="101">
        <v>0.29987388934483211</v>
      </c>
    </row>
    <row r="104" spans="2:54">
      <c r="B104">
        <v>8.1869999999999998E-2</v>
      </c>
      <c r="C104">
        <v>2.89</v>
      </c>
      <c r="D104">
        <v>0.44500000000000001</v>
      </c>
      <c r="E104">
        <v>7.82</v>
      </c>
      <c r="F104">
        <v>36.9</v>
      </c>
      <c r="G104">
        <v>3.4952000000000001</v>
      </c>
      <c r="H104">
        <v>2</v>
      </c>
      <c r="I104">
        <v>276</v>
      </c>
      <c r="J104">
        <v>18</v>
      </c>
      <c r="K104">
        <v>393.53</v>
      </c>
      <c r="L104">
        <v>3.57</v>
      </c>
      <c r="M104">
        <v>43.8</v>
      </c>
      <c r="O104" s="101">
        <f t="shared" si="42"/>
        <v>-0.4109899409223377</v>
      </c>
      <c r="P104" s="101">
        <f t="shared" si="43"/>
        <v>-1.2032820784120875</v>
      </c>
      <c r="Q104" s="101">
        <f t="shared" si="44"/>
        <v>-0.94758212841187794</v>
      </c>
      <c r="R104" s="101">
        <f t="shared" si="45"/>
        <v>2.1873719410522865</v>
      </c>
      <c r="S104" s="101">
        <f t="shared" si="46"/>
        <v>-1.1263776003479813</v>
      </c>
      <c r="T104" s="101">
        <f t="shared" si="47"/>
        <v>-0.14253596023400247</v>
      </c>
      <c r="U104" s="101">
        <f t="shared" si="48"/>
        <v>-0.86788250412576318</v>
      </c>
      <c r="V104" s="101">
        <f t="shared" si="49"/>
        <v>-0.78539386677735856</v>
      </c>
      <c r="W104" s="101">
        <f t="shared" si="50"/>
        <v>-0.21062164943566097</v>
      </c>
      <c r="X104" s="101">
        <f t="shared" si="51"/>
        <v>0.40410204494080371</v>
      </c>
      <c r="Y104" s="101">
        <f t="shared" si="52"/>
        <v>-1.2732073391241014</v>
      </c>
      <c r="Z104" s="101">
        <f t="shared" si="53"/>
        <v>2.3146677135836708</v>
      </c>
      <c r="AQ104" s="101">
        <v>-3.3042365245595589</v>
      </c>
      <c r="AR104" s="101">
        <v>1.9004444261696127</v>
      </c>
      <c r="AS104" s="101">
        <v>0.73933659862450829</v>
      </c>
      <c r="AT104" s="101">
        <v>0.57580002351149262</v>
      </c>
      <c r="AU104" s="101">
        <v>0.3267889386202345</v>
      </c>
      <c r="AV104" s="101">
        <v>0.69519735498501933</v>
      </c>
      <c r="AW104" s="101">
        <v>0.41867522791094114</v>
      </c>
      <c r="AX104" s="101">
        <v>-0.16382991628669785</v>
      </c>
      <c r="AY104" s="101">
        <v>0.49636637218792101</v>
      </c>
      <c r="AZ104" s="101">
        <v>-0.70952855560259454</v>
      </c>
      <c r="BA104" s="101">
        <v>0.18076934700151459</v>
      </c>
      <c r="BB104" s="101">
        <v>0.40283828757847029</v>
      </c>
    </row>
    <row r="105" spans="2:54">
      <c r="B105">
        <v>6.8599999999999994E-2</v>
      </c>
      <c r="C105">
        <v>2.89</v>
      </c>
      <c r="D105">
        <v>0.44500000000000001</v>
      </c>
      <c r="E105">
        <v>7.4160000000000004</v>
      </c>
      <c r="F105">
        <v>62.5</v>
      </c>
      <c r="G105">
        <v>3.4952000000000001</v>
      </c>
      <c r="H105">
        <v>2</v>
      </c>
      <c r="I105">
        <v>276</v>
      </c>
      <c r="J105">
        <v>18</v>
      </c>
      <c r="K105">
        <v>396.9</v>
      </c>
      <c r="L105">
        <v>6.19</v>
      </c>
      <c r="M105">
        <v>33.200000000000003</v>
      </c>
      <c r="O105" s="101">
        <f t="shared" si="42"/>
        <v>-0.41253421371906979</v>
      </c>
      <c r="P105" s="101">
        <f t="shared" si="43"/>
        <v>-1.2032820784120875</v>
      </c>
      <c r="Q105" s="101">
        <f t="shared" si="44"/>
        <v>-0.94758212841187794</v>
      </c>
      <c r="R105" s="101">
        <f t="shared" si="45"/>
        <v>1.611809835905935</v>
      </c>
      <c r="S105" s="101">
        <f t="shared" si="46"/>
        <v>-0.21602696026889254</v>
      </c>
      <c r="T105" s="101">
        <f t="shared" si="47"/>
        <v>-0.14253596023400247</v>
      </c>
      <c r="U105" s="101">
        <f t="shared" si="48"/>
        <v>-0.86788250412576318</v>
      </c>
      <c r="V105" s="101">
        <f t="shared" si="49"/>
        <v>-0.78539386677735856</v>
      </c>
      <c r="W105" s="101">
        <f t="shared" si="50"/>
        <v>-0.21062164943566097</v>
      </c>
      <c r="X105" s="101">
        <f t="shared" si="51"/>
        <v>0.44105193260702835</v>
      </c>
      <c r="Y105" s="101">
        <f t="shared" si="52"/>
        <v>-0.90595202668627939</v>
      </c>
      <c r="Z105" s="101">
        <f t="shared" si="53"/>
        <v>1.1609904518863334</v>
      </c>
      <c r="AQ105" s="101">
        <v>-2.4827877038891701</v>
      </c>
      <c r="AR105" s="101">
        <v>1.1207280696439035</v>
      </c>
      <c r="AS105" s="101">
        <v>0.12454508786793271</v>
      </c>
      <c r="AT105" s="101">
        <v>0.36252285879121515</v>
      </c>
      <c r="AU105" s="101">
        <v>0.25763981088933474</v>
      </c>
      <c r="AV105" s="101">
        <v>1.0102370291668044</v>
      </c>
      <c r="AW105" s="101">
        <v>-9.1048892877435839E-2</v>
      </c>
      <c r="AX105" s="101">
        <v>-0.13834219473292764</v>
      </c>
      <c r="AY105" s="101">
        <v>9.5271124082983216E-2</v>
      </c>
      <c r="AZ105" s="101">
        <v>-0.33116311178789076</v>
      </c>
      <c r="BA105" s="101">
        <v>-0.3009792751863295</v>
      </c>
      <c r="BB105" s="101">
        <v>0.25995918982837607</v>
      </c>
    </row>
    <row r="106" spans="2:54">
      <c r="B106">
        <v>0.14865999999999999</v>
      </c>
      <c r="C106">
        <v>8.56</v>
      </c>
      <c r="D106">
        <v>0.52</v>
      </c>
      <c r="E106">
        <v>6.7270000000000003</v>
      </c>
      <c r="F106">
        <v>79.900000000000006</v>
      </c>
      <c r="G106">
        <v>2.7778</v>
      </c>
      <c r="H106">
        <v>5</v>
      </c>
      <c r="I106">
        <v>384</v>
      </c>
      <c r="J106">
        <v>20.9</v>
      </c>
      <c r="K106">
        <v>394.76</v>
      </c>
      <c r="L106">
        <v>9.42</v>
      </c>
      <c r="M106">
        <v>27.5</v>
      </c>
      <c r="O106" s="101">
        <f t="shared" si="42"/>
        <v>-0.4032173727163289</v>
      </c>
      <c r="P106" s="101">
        <f t="shared" si="43"/>
        <v>-0.3759760879053527</v>
      </c>
      <c r="Q106" s="101">
        <f t="shared" si="44"/>
        <v>-0.29970737368883371</v>
      </c>
      <c r="R106" s="101">
        <f t="shared" si="45"/>
        <v>0.63022000806970646</v>
      </c>
      <c r="S106" s="101">
        <f t="shared" si="46"/>
        <v>0.40272699040986332</v>
      </c>
      <c r="T106" s="101">
        <f t="shared" si="47"/>
        <v>-0.48356578037136183</v>
      </c>
      <c r="U106" s="101">
        <f t="shared" si="48"/>
        <v>-0.52300144620353584</v>
      </c>
      <c r="V106" s="101">
        <f t="shared" si="49"/>
        <v>-0.14395131489355459</v>
      </c>
      <c r="W106" s="101">
        <f t="shared" si="50"/>
        <v>1.1302295799867854</v>
      </c>
      <c r="X106" s="101">
        <f t="shared" si="51"/>
        <v>0.41758820572105798</v>
      </c>
      <c r="Y106" s="101">
        <f t="shared" si="52"/>
        <v>-0.45319070639079662</v>
      </c>
      <c r="Z106" s="101">
        <f t="shared" si="53"/>
        <v>0.54061683003021743</v>
      </c>
      <c r="AQ106" s="101">
        <v>-0.55936131555883439</v>
      </c>
      <c r="AR106" s="101">
        <v>0.35149237111894038</v>
      </c>
      <c r="AS106" s="101">
        <v>-0.15474245078731669</v>
      </c>
      <c r="AT106" s="101">
        <v>1.167926699351862</v>
      </c>
      <c r="AU106" s="101">
        <v>0.73349494334903209</v>
      </c>
      <c r="AV106" s="101">
        <v>0.91812841307763104</v>
      </c>
      <c r="AW106" s="101">
        <v>0.12764401232135034</v>
      </c>
      <c r="AX106" s="101">
        <v>-0.18666809242247312</v>
      </c>
      <c r="AY106" s="101">
        <v>-6.3880267794199364E-2</v>
      </c>
      <c r="AZ106" s="101">
        <v>-8.4114450393042647E-2</v>
      </c>
      <c r="BA106" s="101">
        <v>-2.5699132572057276E-2</v>
      </c>
      <c r="BB106" s="101">
        <v>0.40287675527726108</v>
      </c>
    </row>
    <row r="107" spans="2:54">
      <c r="B107">
        <v>0.11432</v>
      </c>
      <c r="C107">
        <v>8.56</v>
      </c>
      <c r="D107">
        <v>0.52</v>
      </c>
      <c r="E107">
        <v>6.7809999999999997</v>
      </c>
      <c r="F107">
        <v>71.3</v>
      </c>
      <c r="G107">
        <v>2.8561000000000001</v>
      </c>
      <c r="H107">
        <v>5</v>
      </c>
      <c r="I107">
        <v>384</v>
      </c>
      <c r="J107">
        <v>20.9</v>
      </c>
      <c r="K107">
        <v>395.58</v>
      </c>
      <c r="L107">
        <v>7.67</v>
      </c>
      <c r="M107">
        <v>26.5</v>
      </c>
      <c r="O107" s="101">
        <f t="shared" si="42"/>
        <v>-0.40721362952414952</v>
      </c>
      <c r="P107" s="101">
        <f t="shared" si="43"/>
        <v>-0.3759760879053527</v>
      </c>
      <c r="Q107" s="101">
        <f t="shared" si="44"/>
        <v>-0.29970737368883371</v>
      </c>
      <c r="R107" s="101">
        <f t="shared" si="45"/>
        <v>0.70715157657936645</v>
      </c>
      <c r="S107" s="101">
        <f t="shared" si="46"/>
        <v>9.6906072258294132E-2</v>
      </c>
      <c r="T107" s="101">
        <f t="shared" si="47"/>
        <v>-0.44634437680744321</v>
      </c>
      <c r="U107" s="101">
        <f t="shared" si="48"/>
        <v>-0.52300144620353584</v>
      </c>
      <c r="V107" s="101">
        <f t="shared" si="49"/>
        <v>-0.14395131489355459</v>
      </c>
      <c r="W107" s="101">
        <f t="shared" si="50"/>
        <v>1.1302295799867854</v>
      </c>
      <c r="X107" s="101">
        <f t="shared" si="51"/>
        <v>0.42657897957456065</v>
      </c>
      <c r="Y107" s="101">
        <f t="shared" si="52"/>
        <v>-0.69849482729392198</v>
      </c>
      <c r="Z107" s="101">
        <f t="shared" si="53"/>
        <v>0.4317793525116006</v>
      </c>
      <c r="AQ107" s="101">
        <v>-0.72994034374320438</v>
      </c>
      <c r="AR107" s="101">
        <v>0.32003914328635596</v>
      </c>
      <c r="AS107" s="101">
        <v>2.2799519681774922E-2</v>
      </c>
      <c r="AT107" s="101">
        <v>1.195156069549322</v>
      </c>
      <c r="AU107" s="101">
        <v>0.75077351138887372</v>
      </c>
      <c r="AV107" s="101">
        <v>0.77368785052008127</v>
      </c>
      <c r="AW107" s="101">
        <v>0.25444617815475035</v>
      </c>
      <c r="AX107" s="101">
        <v>-1.3797982516114526E-2</v>
      </c>
      <c r="AY107" s="101">
        <v>-0.21236004513110646</v>
      </c>
      <c r="AZ107" s="101">
        <v>-0.20903820678258145</v>
      </c>
      <c r="BA107" s="101">
        <v>-9.8257738329440097E-2</v>
      </c>
      <c r="BB107" s="101">
        <v>0.3792904138051284</v>
      </c>
    </row>
    <row r="108" spans="2:54">
      <c r="B108">
        <v>0.22875999999999999</v>
      </c>
      <c r="C108">
        <v>8.56</v>
      </c>
      <c r="D108">
        <v>0.52</v>
      </c>
      <c r="E108">
        <v>6.4050000000000002</v>
      </c>
      <c r="F108">
        <v>85.4</v>
      </c>
      <c r="G108">
        <v>2.7147000000000001</v>
      </c>
      <c r="H108">
        <v>5</v>
      </c>
      <c r="I108">
        <v>384</v>
      </c>
      <c r="J108">
        <v>20.9</v>
      </c>
      <c r="K108">
        <v>70.8</v>
      </c>
      <c r="L108">
        <v>10.63</v>
      </c>
      <c r="M108">
        <v>18.600000000000001</v>
      </c>
      <c r="O108" s="101">
        <f t="shared" si="42"/>
        <v>-0.39389587678428373</v>
      </c>
      <c r="P108" s="101">
        <f t="shared" si="43"/>
        <v>-0.3759760879053527</v>
      </c>
      <c r="Q108" s="101">
        <f t="shared" si="44"/>
        <v>-0.29970737368883371</v>
      </c>
      <c r="R108" s="101">
        <f t="shared" si="45"/>
        <v>0.1714799143639508</v>
      </c>
      <c r="S108" s="101">
        <f t="shared" si="46"/>
        <v>0.5983101357393551</v>
      </c>
      <c r="T108" s="101">
        <f t="shared" si="47"/>
        <v>-0.51356157302632055</v>
      </c>
      <c r="U108" s="101">
        <f t="shared" si="48"/>
        <v>-0.52300144620353584</v>
      </c>
      <c r="V108" s="101">
        <f t="shared" si="49"/>
        <v>-0.14395131489355459</v>
      </c>
      <c r="W108" s="101">
        <f t="shared" si="50"/>
        <v>1.1302295799867854</v>
      </c>
      <c r="X108" s="101">
        <f t="shared" si="51"/>
        <v>-3.1344253279139953</v>
      </c>
      <c r="Y108" s="101">
        <f t="shared" si="52"/>
        <v>-0.28358042850920695</v>
      </c>
      <c r="Z108" s="101">
        <f t="shared" si="53"/>
        <v>-0.42803671988547193</v>
      </c>
      <c r="AQ108" s="101">
        <v>0.66864861390126451</v>
      </c>
      <c r="AR108" s="101">
        <v>-8.6124841078305633E-2</v>
      </c>
      <c r="AS108" s="101">
        <v>0.77675083286267643</v>
      </c>
      <c r="AT108" s="101">
        <v>-1.4585285821108407</v>
      </c>
      <c r="AU108" s="101">
        <v>2.6863125248267865</v>
      </c>
      <c r="AV108" s="101">
        <v>1.2056075720075945</v>
      </c>
      <c r="AW108" s="101">
        <v>0.50021201758736189</v>
      </c>
      <c r="AX108" s="101">
        <v>-0.4127214454578611</v>
      </c>
      <c r="AY108" s="101">
        <v>-0.38357386887082523</v>
      </c>
      <c r="AZ108" s="101">
        <v>0.19304973678528889</v>
      </c>
      <c r="BA108" s="101">
        <v>-0.34180928511940861</v>
      </c>
      <c r="BB108" s="101">
        <v>0.34740019199154848</v>
      </c>
    </row>
    <row r="109" spans="2:54">
      <c r="B109">
        <v>0.21160999999999999</v>
      </c>
      <c r="C109">
        <v>8.56</v>
      </c>
      <c r="D109">
        <v>0.52</v>
      </c>
      <c r="E109">
        <v>6.1369999999999996</v>
      </c>
      <c r="F109">
        <v>87.4</v>
      </c>
      <c r="G109">
        <v>2.7147000000000001</v>
      </c>
      <c r="H109">
        <v>5</v>
      </c>
      <c r="I109">
        <v>384</v>
      </c>
      <c r="J109">
        <v>20.9</v>
      </c>
      <c r="K109">
        <v>394.47</v>
      </c>
      <c r="L109">
        <v>13.44</v>
      </c>
      <c r="M109">
        <v>19.3</v>
      </c>
      <c r="O109" s="101">
        <f t="shared" si="42"/>
        <v>-0.39589167772354183</v>
      </c>
      <c r="P109" s="101">
        <f t="shared" si="43"/>
        <v>-0.3759760879053527</v>
      </c>
      <c r="Q109" s="101">
        <f t="shared" si="44"/>
        <v>-0.29970737368883371</v>
      </c>
      <c r="R109" s="101">
        <f t="shared" si="45"/>
        <v>-0.21032861083214485</v>
      </c>
      <c r="S109" s="101">
        <f t="shared" si="46"/>
        <v>0.66943127949553383</v>
      </c>
      <c r="T109" s="101">
        <f t="shared" si="47"/>
        <v>-0.51356157302632055</v>
      </c>
      <c r="U109" s="101">
        <f t="shared" si="48"/>
        <v>-0.52300144620353584</v>
      </c>
      <c r="V109" s="101">
        <f t="shared" si="49"/>
        <v>-0.14395131489355459</v>
      </c>
      <c r="W109" s="101">
        <f t="shared" si="50"/>
        <v>1.1302295799867854</v>
      </c>
      <c r="X109" s="101">
        <f t="shared" si="51"/>
        <v>0.41440854179725861</v>
      </c>
      <c r="Y109" s="101">
        <f t="shared" si="52"/>
        <v>0.11030790276952561</v>
      </c>
      <c r="Z109" s="101">
        <f t="shared" si="53"/>
        <v>-0.35185048562244026</v>
      </c>
      <c r="AQ109" s="101">
        <v>0.13529954277244594</v>
      </c>
      <c r="AR109" s="101">
        <v>-0.62448197157980567</v>
      </c>
      <c r="AS109" s="101">
        <v>-0.61817458106541545</v>
      </c>
      <c r="AT109" s="101">
        <v>0.8677652572700193</v>
      </c>
      <c r="AU109" s="101">
        <v>0.57088130419292082</v>
      </c>
      <c r="AV109" s="101">
        <v>0.9166602605604196</v>
      </c>
      <c r="AW109" s="101">
        <v>-4.1470317165128272E-2</v>
      </c>
      <c r="AX109" s="101">
        <v>-0.30327541533759494</v>
      </c>
      <c r="AY109" s="101">
        <v>-0.17721321453031616</v>
      </c>
      <c r="AZ109" s="101">
        <v>-5.8974094293166419E-2</v>
      </c>
      <c r="BA109" s="101">
        <v>-0.28020109881934518</v>
      </c>
      <c r="BB109" s="101">
        <v>0.32665669627917948</v>
      </c>
    </row>
    <row r="110" spans="2:54">
      <c r="B110">
        <v>0.1396</v>
      </c>
      <c r="C110">
        <v>8.56</v>
      </c>
      <c r="D110">
        <v>0.52</v>
      </c>
      <c r="E110">
        <v>6.1669999999999998</v>
      </c>
      <c r="F110">
        <v>90</v>
      </c>
      <c r="G110">
        <v>2.4209999999999998</v>
      </c>
      <c r="H110">
        <v>5</v>
      </c>
      <c r="I110">
        <v>384</v>
      </c>
      <c r="J110">
        <v>20.9</v>
      </c>
      <c r="K110">
        <v>392.69</v>
      </c>
      <c r="L110">
        <v>12.33</v>
      </c>
      <c r="M110">
        <v>20.100000000000001</v>
      </c>
      <c r="O110" s="101">
        <f t="shared" si="42"/>
        <v>-0.40427171420377372</v>
      </c>
      <c r="P110" s="101">
        <f t="shared" si="43"/>
        <v>-0.3759760879053527</v>
      </c>
      <c r="Q110" s="101">
        <f t="shared" si="44"/>
        <v>-0.29970737368883371</v>
      </c>
      <c r="R110" s="101">
        <f t="shared" si="45"/>
        <v>-0.16758885054899955</v>
      </c>
      <c r="S110" s="101">
        <f t="shared" si="46"/>
        <v>0.76188876637856617</v>
      </c>
      <c r="T110" s="101">
        <f t="shared" si="47"/>
        <v>-0.6531774890764217</v>
      </c>
      <c r="U110" s="101">
        <f t="shared" si="48"/>
        <v>-0.52300144620353584</v>
      </c>
      <c r="V110" s="101">
        <f t="shared" si="49"/>
        <v>-0.14395131489355459</v>
      </c>
      <c r="W110" s="101">
        <f t="shared" si="50"/>
        <v>1.1302295799867854</v>
      </c>
      <c r="X110" s="101">
        <f t="shared" si="51"/>
        <v>0.39489198392014263</v>
      </c>
      <c r="Y110" s="101">
        <f t="shared" si="52"/>
        <v>-4.5284996774742403E-2</v>
      </c>
      <c r="Z110" s="101">
        <f t="shared" si="53"/>
        <v>-0.26478050360754674</v>
      </c>
      <c r="AQ110" s="101">
        <v>0.12315181421179269</v>
      </c>
      <c r="AR110" s="101">
        <v>-0.45043970601802946</v>
      </c>
      <c r="AS110" s="101">
        <v>-0.64632003343508515</v>
      </c>
      <c r="AT110" s="101">
        <v>0.92180110164128914</v>
      </c>
      <c r="AU110" s="101">
        <v>0.62421669688428694</v>
      </c>
      <c r="AV110" s="101">
        <v>0.96622745222619255</v>
      </c>
      <c r="AW110" s="101">
        <v>4.9813694247489507E-2</v>
      </c>
      <c r="AX110" s="101">
        <v>-0.35818094204077444</v>
      </c>
      <c r="AY110" s="101">
        <v>-0.24209849154974761</v>
      </c>
      <c r="AZ110" s="101">
        <v>-1.5602915216319277E-2</v>
      </c>
      <c r="BA110" s="101">
        <v>-0.35244029448361108</v>
      </c>
      <c r="BB110" s="101">
        <v>0.32710029828995085</v>
      </c>
    </row>
    <row r="111" spans="2:54">
      <c r="B111">
        <v>0.13261999999999999</v>
      </c>
      <c r="C111">
        <v>8.56</v>
      </c>
      <c r="D111">
        <v>0.52</v>
      </c>
      <c r="E111">
        <v>5.851</v>
      </c>
      <c r="F111">
        <v>96.7</v>
      </c>
      <c r="G111">
        <v>2.1069</v>
      </c>
      <c r="H111">
        <v>5</v>
      </c>
      <c r="I111">
        <v>384</v>
      </c>
      <c r="J111">
        <v>20.9</v>
      </c>
      <c r="K111">
        <v>394.05</v>
      </c>
      <c r="L111">
        <v>16.47</v>
      </c>
      <c r="M111">
        <v>19.5</v>
      </c>
      <c r="O111" s="101">
        <f t="shared" si="42"/>
        <v>-0.40508399936739015</v>
      </c>
      <c r="P111" s="101">
        <f t="shared" si="43"/>
        <v>-0.3759760879053527</v>
      </c>
      <c r="Q111" s="101">
        <f t="shared" si="44"/>
        <v>-0.29970737368883371</v>
      </c>
      <c r="R111" s="101">
        <f t="shared" si="45"/>
        <v>-0.61778099219812588</v>
      </c>
      <c r="S111" s="101">
        <f t="shared" si="46"/>
        <v>1.0001445979617654</v>
      </c>
      <c r="T111" s="101">
        <f t="shared" si="47"/>
        <v>-0.80249093555696882</v>
      </c>
      <c r="U111" s="101">
        <f t="shared" si="48"/>
        <v>-0.52300144620353584</v>
      </c>
      <c r="V111" s="101">
        <f t="shared" si="49"/>
        <v>-0.14395131489355459</v>
      </c>
      <c r="W111" s="101">
        <f t="shared" si="50"/>
        <v>1.1302295799867854</v>
      </c>
      <c r="X111" s="101">
        <f t="shared" si="51"/>
        <v>0.40980351128692782</v>
      </c>
      <c r="Y111" s="101">
        <f t="shared" si="52"/>
        <v>0.53503446639036545</v>
      </c>
      <c r="Z111" s="101">
        <f t="shared" si="53"/>
        <v>-0.33008299011871695</v>
      </c>
      <c r="AQ111" s="101">
        <v>0.53445707145944665</v>
      </c>
      <c r="AR111" s="101">
        <v>-0.77431471474026781</v>
      </c>
      <c r="AS111" s="101">
        <v>-1.0090992376215555</v>
      </c>
      <c r="AT111" s="101">
        <v>0.79386218021594068</v>
      </c>
      <c r="AU111" s="101">
        <v>0.5046685107717912</v>
      </c>
      <c r="AV111" s="101">
        <v>1.0473757238247885</v>
      </c>
      <c r="AW111" s="101">
        <v>-3.2382370943778216E-2</v>
      </c>
      <c r="AX111" s="101">
        <v>-0.67106995022748028</v>
      </c>
      <c r="AY111" s="101">
        <v>2.520425176011723E-2</v>
      </c>
      <c r="AZ111" s="101">
        <v>-3.3230463388983639E-2</v>
      </c>
      <c r="BA111" s="101">
        <v>-0.29997951798322287</v>
      </c>
      <c r="BB111" s="101">
        <v>0.35711876801225279</v>
      </c>
    </row>
    <row r="112" spans="2:54">
      <c r="B112">
        <v>0.17119999999999999</v>
      </c>
      <c r="C112">
        <v>8.56</v>
      </c>
      <c r="D112">
        <v>0.52</v>
      </c>
      <c r="E112">
        <v>5.8360000000000003</v>
      </c>
      <c r="F112">
        <v>91.9</v>
      </c>
      <c r="G112">
        <v>2.2109999999999999</v>
      </c>
      <c r="H112">
        <v>5</v>
      </c>
      <c r="I112">
        <v>384</v>
      </c>
      <c r="J112">
        <v>20.9</v>
      </c>
      <c r="K112">
        <v>395.67</v>
      </c>
      <c r="L112">
        <v>18.66</v>
      </c>
      <c r="M112">
        <v>19.5</v>
      </c>
      <c r="O112" s="101">
        <f t="shared" si="42"/>
        <v>-0.40059432005330398</v>
      </c>
      <c r="P112" s="101">
        <f t="shared" si="43"/>
        <v>-0.3759760879053527</v>
      </c>
      <c r="Q112" s="101">
        <f t="shared" si="44"/>
        <v>-0.29970737368883371</v>
      </c>
      <c r="R112" s="101">
        <f t="shared" si="45"/>
        <v>-0.63915087233969792</v>
      </c>
      <c r="S112" s="101">
        <f t="shared" si="46"/>
        <v>0.82945385294693619</v>
      </c>
      <c r="T112" s="101">
        <f t="shared" si="47"/>
        <v>-0.75300500821336824</v>
      </c>
      <c r="U112" s="101">
        <f t="shared" si="48"/>
        <v>-0.52300144620353584</v>
      </c>
      <c r="V112" s="101">
        <f t="shared" si="49"/>
        <v>-0.14395131489355459</v>
      </c>
      <c r="W112" s="101">
        <f t="shared" si="50"/>
        <v>1.1302295799867854</v>
      </c>
      <c r="X112" s="101">
        <f t="shared" si="51"/>
        <v>0.42756577182677469</v>
      </c>
      <c r="Y112" s="101">
        <f t="shared" si="52"/>
        <v>0.84201505197770532</v>
      </c>
      <c r="Z112" s="101">
        <f t="shared" si="53"/>
        <v>-0.33008299011871695</v>
      </c>
      <c r="AQ112" s="101">
        <v>0.56962654431876192</v>
      </c>
      <c r="AR112" s="101">
        <v>-0.91817897667956183</v>
      </c>
      <c r="AS112" s="101">
        <v>-1.0004335982516719</v>
      </c>
      <c r="AT112" s="101">
        <v>0.72782198509476992</v>
      </c>
      <c r="AU112" s="101">
        <v>0.43911907559694163</v>
      </c>
      <c r="AV112" s="101">
        <v>1.003747258641098</v>
      </c>
      <c r="AW112" s="101">
        <v>-0.10782553304219858</v>
      </c>
      <c r="AX112" s="101">
        <v>-0.66227127932165053</v>
      </c>
      <c r="AY112" s="101">
        <v>0.23478984622459864</v>
      </c>
      <c r="AZ112" s="101">
        <v>-0.20822357425335603</v>
      </c>
      <c r="BA112" s="101">
        <v>-0.18552529240726456</v>
      </c>
      <c r="BB112" s="101">
        <v>0.38213150774994636</v>
      </c>
    </row>
    <row r="113" spans="2:54">
      <c r="B113">
        <v>0.13117000000000001</v>
      </c>
      <c r="C113">
        <v>8.56</v>
      </c>
      <c r="D113">
        <v>0.52</v>
      </c>
      <c r="E113">
        <v>6.1269999999999998</v>
      </c>
      <c r="F113">
        <v>85.2</v>
      </c>
      <c r="G113">
        <v>2.1223999999999998</v>
      </c>
      <c r="H113">
        <v>5</v>
      </c>
      <c r="I113">
        <v>384</v>
      </c>
      <c r="J113">
        <v>20.9</v>
      </c>
      <c r="K113">
        <v>387.69</v>
      </c>
      <c r="L113">
        <v>14.09</v>
      </c>
      <c r="M113">
        <v>20.399999999999999</v>
      </c>
      <c r="O113" s="101">
        <f t="shared" si="42"/>
        <v>-0.40525274055467436</v>
      </c>
      <c r="P113" s="101">
        <f t="shared" si="43"/>
        <v>-0.3759760879053527</v>
      </c>
      <c r="Q113" s="101">
        <f t="shared" si="44"/>
        <v>-0.29970737368883371</v>
      </c>
      <c r="R113" s="101">
        <f t="shared" si="45"/>
        <v>-0.22457519759319286</v>
      </c>
      <c r="S113" s="101">
        <f t="shared" si="46"/>
        <v>0.59119802136373711</v>
      </c>
      <c r="T113" s="101">
        <f t="shared" si="47"/>
        <v>-0.79512271390638467</v>
      </c>
      <c r="U113" s="101">
        <f t="shared" si="48"/>
        <v>-0.52300144620353584</v>
      </c>
      <c r="V113" s="101">
        <f t="shared" si="49"/>
        <v>-0.14395131489355459</v>
      </c>
      <c r="W113" s="101">
        <f t="shared" si="50"/>
        <v>1.1302295799867854</v>
      </c>
      <c r="X113" s="101">
        <f t="shared" si="51"/>
        <v>0.34007019213049183</v>
      </c>
      <c r="Y113" s="101">
        <f t="shared" si="52"/>
        <v>0.20142086196211509</v>
      </c>
      <c r="Z113" s="101">
        <f t="shared" si="53"/>
        <v>-0.23212926035196199</v>
      </c>
      <c r="AQ113" s="101">
        <v>0.20778081235630538</v>
      </c>
      <c r="AR113" s="101">
        <v>-0.51291426548167962</v>
      </c>
      <c r="AS113" s="101">
        <v>-0.66957329200390903</v>
      </c>
      <c r="AT113" s="101">
        <v>0.83945601306215911</v>
      </c>
      <c r="AU113" s="101">
        <v>0.61490874201149837</v>
      </c>
      <c r="AV113" s="101">
        <v>0.94178462448122358</v>
      </c>
      <c r="AW113" s="101">
        <v>0.10959847330996901</v>
      </c>
      <c r="AX113" s="101">
        <v>-0.42443491098677188</v>
      </c>
      <c r="AY113" s="101">
        <v>-5.1963818318858476E-2</v>
      </c>
      <c r="AZ113" s="101">
        <v>-0.24439066558594627</v>
      </c>
      <c r="BA113" s="101">
        <v>-0.32048522835124321</v>
      </c>
      <c r="BB113" s="101">
        <v>0.35738029455449855</v>
      </c>
    </row>
    <row r="114" spans="2:54">
      <c r="B114">
        <v>0.12801999999999999</v>
      </c>
      <c r="C114">
        <v>8.56</v>
      </c>
      <c r="D114">
        <v>0.52</v>
      </c>
      <c r="E114">
        <v>6.4740000000000002</v>
      </c>
      <c r="F114">
        <v>97.1</v>
      </c>
      <c r="G114">
        <v>2.4329000000000001</v>
      </c>
      <c r="H114">
        <v>5</v>
      </c>
      <c r="I114">
        <v>384</v>
      </c>
      <c r="J114">
        <v>20.9</v>
      </c>
      <c r="K114">
        <v>395.24</v>
      </c>
      <c r="L114">
        <v>12.27</v>
      </c>
      <c r="M114">
        <v>19.8</v>
      </c>
      <c r="O114" s="101">
        <f t="shared" si="42"/>
        <v>-0.40561931623739528</v>
      </c>
      <c r="P114" s="101">
        <f t="shared" si="43"/>
        <v>-0.3759760879053527</v>
      </c>
      <c r="Q114" s="101">
        <f t="shared" si="44"/>
        <v>-0.29970737368883371</v>
      </c>
      <c r="R114" s="101">
        <f t="shared" si="45"/>
        <v>0.26978136301518407</v>
      </c>
      <c r="S114" s="101">
        <f t="shared" si="46"/>
        <v>1.0143688267130007</v>
      </c>
      <c r="T114" s="101">
        <f t="shared" si="47"/>
        <v>-0.64752059632532788</v>
      </c>
      <c r="U114" s="101">
        <f t="shared" si="48"/>
        <v>-0.52300144620353584</v>
      </c>
      <c r="V114" s="101">
        <f t="shared" si="49"/>
        <v>-0.14395131489355459</v>
      </c>
      <c r="W114" s="101">
        <f t="shared" si="50"/>
        <v>1.1302295799867854</v>
      </c>
      <c r="X114" s="101">
        <f t="shared" si="51"/>
        <v>0.42285109773286467</v>
      </c>
      <c r="Y114" s="101">
        <f t="shared" si="52"/>
        <v>-5.3695423777135341E-2</v>
      </c>
      <c r="Z114" s="101">
        <f t="shared" si="53"/>
        <v>-0.29743174686313184</v>
      </c>
      <c r="AQ114" s="101">
        <v>0.10610641236526247</v>
      </c>
      <c r="AR114" s="101">
        <v>-0.16992598846763537</v>
      </c>
      <c r="AS114" s="101">
        <v>-0.63814024094786737</v>
      </c>
      <c r="AT114" s="101">
        <v>0.99068983999571991</v>
      </c>
      <c r="AU114" s="101">
        <v>0.69634516292229698</v>
      </c>
      <c r="AV114" s="101">
        <v>1.1931179487595291</v>
      </c>
      <c r="AW114" s="101">
        <v>-0.23129346862115185</v>
      </c>
      <c r="AX114" s="101">
        <v>-0.18020821009582563</v>
      </c>
      <c r="AY114" s="101">
        <v>-0.25371614806923004</v>
      </c>
      <c r="AZ114" s="101">
        <v>2.4807591417332506E-2</v>
      </c>
      <c r="BA114" s="101">
        <v>-0.4146804020351611</v>
      </c>
      <c r="BB114" s="101">
        <v>0.3136451882803743</v>
      </c>
    </row>
    <row r="115" spans="2:54">
      <c r="B115">
        <v>0.26362999999999998</v>
      </c>
      <c r="C115">
        <v>8.56</v>
      </c>
      <c r="D115">
        <v>0.52</v>
      </c>
      <c r="E115">
        <v>6.2290000000000001</v>
      </c>
      <c r="F115">
        <v>91.2</v>
      </c>
      <c r="G115">
        <v>2.5451000000000001</v>
      </c>
      <c r="H115">
        <v>5</v>
      </c>
      <c r="I115">
        <v>384</v>
      </c>
      <c r="J115">
        <v>20.9</v>
      </c>
      <c r="K115">
        <v>391.23</v>
      </c>
      <c r="L115">
        <v>15.55</v>
      </c>
      <c r="M115">
        <v>19.399999999999999</v>
      </c>
      <c r="O115" s="101">
        <f t="shared" si="42"/>
        <v>-0.38983794216317985</v>
      </c>
      <c r="P115" s="101">
        <f t="shared" si="43"/>
        <v>-0.3759760879053527</v>
      </c>
      <c r="Q115" s="101">
        <f t="shared" si="44"/>
        <v>-0.29970737368883371</v>
      </c>
      <c r="R115" s="101">
        <f t="shared" si="45"/>
        <v>-7.9260012630499657E-2</v>
      </c>
      <c r="S115" s="101">
        <f t="shared" si="46"/>
        <v>0.80456145263227352</v>
      </c>
      <c r="T115" s="101">
        <f t="shared" si="47"/>
        <v>-0.59418417895787357</v>
      </c>
      <c r="U115" s="101">
        <f t="shared" si="48"/>
        <v>-0.52300144620353584</v>
      </c>
      <c r="V115" s="101">
        <f t="shared" si="49"/>
        <v>-0.14395131489355459</v>
      </c>
      <c r="W115" s="101">
        <f t="shared" si="50"/>
        <v>1.1302295799867854</v>
      </c>
      <c r="X115" s="101">
        <f t="shared" si="51"/>
        <v>0.37888402071756483</v>
      </c>
      <c r="Y115" s="101">
        <f t="shared" si="52"/>
        <v>0.40607458568700838</v>
      </c>
      <c r="Z115" s="101">
        <f t="shared" si="53"/>
        <v>-0.3409667378705788</v>
      </c>
      <c r="AQ115" s="101">
        <v>0.27374933757706499</v>
      </c>
      <c r="AR115" s="101">
        <v>-0.55951380742111456</v>
      </c>
      <c r="AS115" s="101">
        <v>-0.70107006118682325</v>
      </c>
      <c r="AT115" s="101">
        <v>0.81205216410714098</v>
      </c>
      <c r="AU115" s="101">
        <v>0.58749346261317448</v>
      </c>
      <c r="AV115" s="101">
        <v>1.071553295014791</v>
      </c>
      <c r="AW115" s="101">
        <v>-0.21689480110682993</v>
      </c>
      <c r="AX115" s="101">
        <v>-0.31777327995314775</v>
      </c>
      <c r="AY115" s="101">
        <v>8.4260628743712263E-3</v>
      </c>
      <c r="AZ115" s="101">
        <v>-0.14097274728191123</v>
      </c>
      <c r="BA115" s="101">
        <v>-0.25557711239070424</v>
      </c>
      <c r="BB115" s="101">
        <v>0.3472853078578676</v>
      </c>
    </row>
    <row r="116" spans="2:54">
      <c r="B116">
        <v>0.10793</v>
      </c>
      <c r="C116">
        <v>8.56</v>
      </c>
      <c r="D116">
        <v>0.52</v>
      </c>
      <c r="E116">
        <v>6.1950000000000003</v>
      </c>
      <c r="F116">
        <v>54.4</v>
      </c>
      <c r="G116">
        <v>2.7778</v>
      </c>
      <c r="H116">
        <v>5</v>
      </c>
      <c r="I116">
        <v>384</v>
      </c>
      <c r="J116">
        <v>20.9</v>
      </c>
      <c r="K116">
        <v>393.49</v>
      </c>
      <c r="L116">
        <v>13</v>
      </c>
      <c r="M116">
        <v>21.7</v>
      </c>
      <c r="O116" s="101">
        <f t="shared" si="42"/>
        <v>-0.40795725448052622</v>
      </c>
      <c r="P116" s="101">
        <f t="shared" si="43"/>
        <v>-0.3759760879053527</v>
      </c>
      <c r="Q116" s="101">
        <f t="shared" si="44"/>
        <v>-0.29970737368883371</v>
      </c>
      <c r="R116" s="101">
        <f t="shared" si="45"/>
        <v>-0.12769840761806364</v>
      </c>
      <c r="S116" s="101">
        <f t="shared" si="46"/>
        <v>-0.50406759248141675</v>
      </c>
      <c r="T116" s="101">
        <f t="shared" si="47"/>
        <v>-0.48356578037136183</v>
      </c>
      <c r="U116" s="101">
        <f t="shared" si="48"/>
        <v>-0.52300144620353584</v>
      </c>
      <c r="V116" s="101">
        <f t="shared" si="49"/>
        <v>-0.14395131489355459</v>
      </c>
      <c r="W116" s="101">
        <f t="shared" si="50"/>
        <v>1.1302295799867854</v>
      </c>
      <c r="X116" s="101">
        <f t="shared" si="51"/>
        <v>0.40366347060648688</v>
      </c>
      <c r="Y116" s="101">
        <f t="shared" si="52"/>
        <v>4.8631438085311299E-2</v>
      </c>
      <c r="Z116" s="101">
        <f t="shared" si="53"/>
        <v>-9.0640539577760082E-2</v>
      </c>
      <c r="AQ116" s="101">
        <v>-0.33499516786910855</v>
      </c>
      <c r="AR116" s="101">
        <v>-0.70509024564790512</v>
      </c>
      <c r="AS116" s="101">
        <v>-0.14001977041659147</v>
      </c>
      <c r="AT116" s="101">
        <v>0.85244573137267721</v>
      </c>
      <c r="AU116" s="101">
        <v>0.51974968802929711</v>
      </c>
      <c r="AV116" s="101">
        <v>0.41936169544492896</v>
      </c>
      <c r="AW116" s="101">
        <v>0.40494737971318651</v>
      </c>
      <c r="AX116" s="101">
        <v>-0.14297579297816437</v>
      </c>
      <c r="AY116" s="101">
        <v>5.1750723082627723E-2</v>
      </c>
      <c r="AZ116" s="101">
        <v>-0.71034903625241053</v>
      </c>
      <c r="BA116" s="101">
        <v>-6.7101553555592316E-2</v>
      </c>
      <c r="BB116" s="101">
        <v>0.38624686315230816</v>
      </c>
    </row>
    <row r="117" spans="2:54">
      <c r="B117">
        <v>0.10084</v>
      </c>
      <c r="C117">
        <v>10.01</v>
      </c>
      <c r="D117">
        <v>0.54700000000000004</v>
      </c>
      <c r="E117">
        <v>6.7149999999999999</v>
      </c>
      <c r="F117">
        <v>81.599999999999994</v>
      </c>
      <c r="G117">
        <v>2.6775000000000002</v>
      </c>
      <c r="H117">
        <v>6</v>
      </c>
      <c r="I117">
        <v>432</v>
      </c>
      <c r="J117">
        <v>17.8</v>
      </c>
      <c r="K117">
        <v>395.59</v>
      </c>
      <c r="L117">
        <v>10.16</v>
      </c>
      <c r="M117">
        <v>22.8</v>
      </c>
      <c r="O117" s="101">
        <f t="shared" si="42"/>
        <v>-0.40878234069972974</v>
      </c>
      <c r="P117" s="101">
        <f t="shared" si="43"/>
        <v>-0.16440753654119666</v>
      </c>
      <c r="Q117" s="101">
        <f t="shared" si="44"/>
        <v>-6.6472461988537596E-2</v>
      </c>
      <c r="R117" s="101">
        <f t="shared" si="45"/>
        <v>0.61312410395644779</v>
      </c>
      <c r="S117" s="101">
        <f t="shared" si="46"/>
        <v>0.4631799626026149</v>
      </c>
      <c r="T117" s="101">
        <f t="shared" si="47"/>
        <v>-0.53124530498772249</v>
      </c>
      <c r="U117" s="101">
        <f t="shared" si="48"/>
        <v>-0.40804109356279333</v>
      </c>
      <c r="V117" s="101">
        <f t="shared" si="49"/>
        <v>0.14113426372146939</v>
      </c>
      <c r="W117" s="101">
        <f t="shared" si="50"/>
        <v>-0.30309414801651907</v>
      </c>
      <c r="X117" s="101">
        <f t="shared" si="51"/>
        <v>0.42668862315813982</v>
      </c>
      <c r="Y117" s="101">
        <f t="shared" si="52"/>
        <v>-0.34946210669461786</v>
      </c>
      <c r="Z117" s="101">
        <f t="shared" si="53"/>
        <v>2.9080685692718548E-2</v>
      </c>
      <c r="AQ117" s="101">
        <v>-0.37018801358029296</v>
      </c>
      <c r="AR117" s="101">
        <v>0.69148358514081132</v>
      </c>
      <c r="AS117" s="101">
        <v>-0.57810522933032737</v>
      </c>
      <c r="AT117" s="101">
        <v>0.31525499524898903</v>
      </c>
      <c r="AU117" s="101">
        <v>0.10080794431995818</v>
      </c>
      <c r="AV117" s="101">
        <v>0.20879495453262012</v>
      </c>
      <c r="AW117" s="101">
        <v>-0.25942527773153384</v>
      </c>
      <c r="AX117" s="101">
        <v>0.11357963273938733</v>
      </c>
      <c r="AY117" s="101">
        <v>-0.18144627405982586</v>
      </c>
      <c r="AZ117" s="101">
        <v>-5.4724559340509314E-2</v>
      </c>
      <c r="BA117" s="101">
        <v>-0.57728766940155807</v>
      </c>
      <c r="BB117" s="101">
        <v>0.32035435057921746</v>
      </c>
    </row>
    <row r="118" spans="2:54">
      <c r="B118">
        <v>0.12329</v>
      </c>
      <c r="C118">
        <v>10.01</v>
      </c>
      <c r="D118">
        <v>0.54700000000000004</v>
      </c>
      <c r="E118">
        <v>5.9130000000000003</v>
      </c>
      <c r="F118">
        <v>92.9</v>
      </c>
      <c r="G118">
        <v>2.3534000000000002</v>
      </c>
      <c r="H118">
        <v>6</v>
      </c>
      <c r="I118">
        <v>432</v>
      </c>
      <c r="J118">
        <v>17.8</v>
      </c>
      <c r="K118">
        <v>394.95</v>
      </c>
      <c r="L118">
        <v>16.21</v>
      </c>
      <c r="M118">
        <v>18.8</v>
      </c>
      <c r="O118" s="101">
        <f t="shared" si="42"/>
        <v>-0.40616976162763962</v>
      </c>
      <c r="P118" s="101">
        <f t="shared" si="43"/>
        <v>-0.16440753654119666</v>
      </c>
      <c r="Q118" s="101">
        <f t="shared" si="44"/>
        <v>-6.6472461988537596E-2</v>
      </c>
      <c r="R118" s="101">
        <f t="shared" si="45"/>
        <v>-0.529452154279626</v>
      </c>
      <c r="S118" s="101">
        <f t="shared" si="46"/>
        <v>0.86501442482502566</v>
      </c>
      <c r="T118" s="101">
        <f t="shared" si="47"/>
        <v>-0.68531244285574333</v>
      </c>
      <c r="U118" s="101">
        <f t="shared" si="48"/>
        <v>-0.40804109356279333</v>
      </c>
      <c r="V118" s="101">
        <f t="shared" si="49"/>
        <v>0.14113426372146939</v>
      </c>
      <c r="W118" s="101">
        <f t="shared" si="50"/>
        <v>-0.30309414801651907</v>
      </c>
      <c r="X118" s="101">
        <f t="shared" si="51"/>
        <v>0.41967143380906469</v>
      </c>
      <c r="Y118" s="101">
        <f t="shared" si="52"/>
        <v>0.49858928271332997</v>
      </c>
      <c r="Z118" s="101">
        <f t="shared" si="53"/>
        <v>-0.40626922438174862</v>
      </c>
      <c r="AQ118" s="101">
        <v>0.42972685904298685</v>
      </c>
      <c r="AR118" s="101">
        <v>-0.22544000085561794</v>
      </c>
      <c r="AS118" s="101">
        <v>-1.2339771445237184</v>
      </c>
      <c r="AT118" s="101">
        <v>1.2993880356343551E-2</v>
      </c>
      <c r="AU118" s="101">
        <v>-0.12979561137522821</v>
      </c>
      <c r="AV118" s="101">
        <v>0.21830126645371323</v>
      </c>
      <c r="AW118" s="101">
        <v>-0.30056077252158719</v>
      </c>
      <c r="AX118" s="101">
        <v>-0.42472150873645531</v>
      </c>
      <c r="AY118" s="101">
        <v>2.0684462210629084E-2</v>
      </c>
      <c r="AZ118" s="101">
        <v>5.0586973945129052E-2</v>
      </c>
      <c r="BA118" s="101">
        <v>-0.60271142586433213</v>
      </c>
      <c r="BB118" s="101">
        <v>0.32072619888458909</v>
      </c>
    </row>
    <row r="119" spans="2:54">
      <c r="B119">
        <v>0.22212000000000001</v>
      </c>
      <c r="C119">
        <v>10.01</v>
      </c>
      <c r="D119">
        <v>0.54700000000000004</v>
      </c>
      <c r="E119">
        <v>6.0919999999999996</v>
      </c>
      <c r="F119">
        <v>95.4</v>
      </c>
      <c r="G119">
        <v>2.548</v>
      </c>
      <c r="H119">
        <v>6</v>
      </c>
      <c r="I119">
        <v>432</v>
      </c>
      <c r="J119">
        <v>17.8</v>
      </c>
      <c r="K119">
        <v>396.9</v>
      </c>
      <c r="L119">
        <v>17.09</v>
      </c>
      <c r="M119">
        <v>18.7</v>
      </c>
      <c r="O119" s="101">
        <f t="shared" si="42"/>
        <v>-0.3946685950488128</v>
      </c>
      <c r="P119" s="101">
        <f t="shared" si="43"/>
        <v>-0.16440753654119666</v>
      </c>
      <c r="Q119" s="101">
        <f t="shared" si="44"/>
        <v>-6.6472461988537596E-2</v>
      </c>
      <c r="R119" s="101">
        <f t="shared" si="45"/>
        <v>-0.27443825125686211</v>
      </c>
      <c r="S119" s="101">
        <f t="shared" si="46"/>
        <v>0.95391585452024918</v>
      </c>
      <c r="T119" s="101">
        <f t="shared" si="47"/>
        <v>-0.59280560845550623</v>
      </c>
      <c r="U119" s="101">
        <f t="shared" si="48"/>
        <v>-0.40804109356279333</v>
      </c>
      <c r="V119" s="101">
        <f t="shared" si="49"/>
        <v>0.14113426372146939</v>
      </c>
      <c r="W119" s="101">
        <f t="shared" si="50"/>
        <v>-0.30309414801651907</v>
      </c>
      <c r="X119" s="101">
        <f t="shared" si="51"/>
        <v>0.44105193260702835</v>
      </c>
      <c r="Y119" s="101">
        <f t="shared" si="52"/>
        <v>0.62194221208175859</v>
      </c>
      <c r="Z119" s="101">
        <f t="shared" si="53"/>
        <v>-0.41715297213361047</v>
      </c>
      <c r="AQ119" s="101">
        <v>0.41710002565348286</v>
      </c>
      <c r="AR119" s="101">
        <v>-0.13259933422249831</v>
      </c>
      <c r="AS119" s="101">
        <v>-1.2017128554125855</v>
      </c>
      <c r="AT119" s="101">
        <v>1.8274482317506696E-2</v>
      </c>
      <c r="AU119" s="101">
        <v>-0.12226244927963678</v>
      </c>
      <c r="AV119" s="101">
        <v>0.33181820337994822</v>
      </c>
      <c r="AW119" s="101">
        <v>-0.52703994435319501</v>
      </c>
      <c r="AX119" s="101">
        <v>-0.30301591853389409</v>
      </c>
      <c r="AY119" s="101">
        <v>0.10065685204180719</v>
      </c>
      <c r="AZ119" s="101">
        <v>4.2564653650158754E-2</v>
      </c>
      <c r="BA119" s="101">
        <v>-0.55736415489704405</v>
      </c>
      <c r="BB119" s="101">
        <v>0.32295160759371233</v>
      </c>
    </row>
    <row r="120" spans="2:54">
      <c r="B120">
        <v>0.14230999999999999</v>
      </c>
      <c r="C120">
        <v>10.01</v>
      </c>
      <c r="D120">
        <v>0.54700000000000004</v>
      </c>
      <c r="E120">
        <v>6.2539999999999996</v>
      </c>
      <c r="F120">
        <v>84.2</v>
      </c>
      <c r="G120">
        <v>2.2565</v>
      </c>
      <c r="H120">
        <v>6</v>
      </c>
      <c r="I120">
        <v>432</v>
      </c>
      <c r="J120">
        <v>17.8</v>
      </c>
      <c r="K120">
        <v>388.74</v>
      </c>
      <c r="L120">
        <v>10.45</v>
      </c>
      <c r="M120">
        <v>18.5</v>
      </c>
      <c r="O120" s="101">
        <f t="shared" si="42"/>
        <v>-0.40395634274340114</v>
      </c>
      <c r="P120" s="101">
        <f t="shared" si="43"/>
        <v>-0.16440753654119666</v>
      </c>
      <c r="Q120" s="101">
        <f t="shared" si="44"/>
        <v>-6.6472461988537596E-2</v>
      </c>
      <c r="R120" s="101">
        <f t="shared" si="45"/>
        <v>-4.3643545727879644E-2</v>
      </c>
      <c r="S120" s="101">
        <f t="shared" si="46"/>
        <v>0.55563744948564764</v>
      </c>
      <c r="T120" s="101">
        <f t="shared" si="47"/>
        <v>-0.73137571240036303</v>
      </c>
      <c r="U120" s="101">
        <f t="shared" si="48"/>
        <v>-0.40804109356279333</v>
      </c>
      <c r="V120" s="101">
        <f t="shared" si="49"/>
        <v>0.14113426372146939</v>
      </c>
      <c r="W120" s="101">
        <f t="shared" si="50"/>
        <v>-0.30309414801651907</v>
      </c>
      <c r="X120" s="101">
        <f t="shared" si="51"/>
        <v>0.35158276840631864</v>
      </c>
      <c r="Y120" s="101">
        <f t="shared" si="52"/>
        <v>-0.30881170951638576</v>
      </c>
      <c r="Z120" s="101">
        <f t="shared" si="53"/>
        <v>-0.43892046763733372</v>
      </c>
      <c r="AQ120" s="101">
        <v>1.2918697913253382E-2</v>
      </c>
      <c r="AR120" s="101">
        <v>0.180676097861036</v>
      </c>
      <c r="AS120" s="101">
        <v>-0.83988401335285245</v>
      </c>
      <c r="AT120" s="101">
        <v>0.15483990339048265</v>
      </c>
      <c r="AU120" s="101">
        <v>5.8951384470446629E-2</v>
      </c>
      <c r="AV120" s="101">
        <v>0.13207618213380851</v>
      </c>
      <c r="AW120" s="101">
        <v>-5.3034400612695667E-2</v>
      </c>
      <c r="AX120" s="101">
        <v>-6.5226623119027688E-2</v>
      </c>
      <c r="AY120" s="101">
        <v>-0.40506021828205985</v>
      </c>
      <c r="AZ120" s="101">
        <v>-1.6319741695413073E-2</v>
      </c>
      <c r="BA120" s="101">
        <v>-0.83826097427892221</v>
      </c>
      <c r="BB120" s="101">
        <v>0.26997531988313689</v>
      </c>
    </row>
    <row r="121" spans="2:54">
      <c r="B121">
        <v>0.17133999999999999</v>
      </c>
      <c r="C121">
        <v>10.01</v>
      </c>
      <c r="D121">
        <v>0.54700000000000004</v>
      </c>
      <c r="E121">
        <v>5.9279999999999999</v>
      </c>
      <c r="F121">
        <v>88.2</v>
      </c>
      <c r="G121">
        <v>2.4630999999999998</v>
      </c>
      <c r="H121">
        <v>6</v>
      </c>
      <c r="I121">
        <v>432</v>
      </c>
      <c r="J121">
        <v>17.8</v>
      </c>
      <c r="K121">
        <v>344.91</v>
      </c>
      <c r="L121">
        <v>15.76</v>
      </c>
      <c r="M121">
        <v>18.3</v>
      </c>
      <c r="O121" s="101">
        <f t="shared" si="42"/>
        <v>-0.40057802780073859</v>
      </c>
      <c r="P121" s="101">
        <f t="shared" si="43"/>
        <v>-0.16440753654119666</v>
      </c>
      <c r="Q121" s="101">
        <f t="shared" si="44"/>
        <v>-6.6472461988537596E-2</v>
      </c>
      <c r="R121" s="101">
        <f t="shared" si="45"/>
        <v>-0.50808227413805396</v>
      </c>
      <c r="S121" s="101">
        <f t="shared" si="46"/>
        <v>0.69787973699800532</v>
      </c>
      <c r="T121" s="101">
        <f t="shared" si="47"/>
        <v>-0.63316444833515761</v>
      </c>
      <c r="U121" s="101">
        <f t="shared" si="48"/>
        <v>-0.40804109356279333</v>
      </c>
      <c r="V121" s="101">
        <f t="shared" si="49"/>
        <v>0.14113426372146939</v>
      </c>
      <c r="W121" s="101">
        <f t="shared" si="50"/>
        <v>-0.30309414801651907</v>
      </c>
      <c r="X121" s="101">
        <f t="shared" si="51"/>
        <v>-0.12898505842175992</v>
      </c>
      <c r="Y121" s="101">
        <f t="shared" si="52"/>
        <v>0.43551108019538326</v>
      </c>
      <c r="Z121" s="101">
        <f t="shared" si="53"/>
        <v>-0.46068796314105703</v>
      </c>
      <c r="AQ121" s="101">
        <v>0.47025363537546727</v>
      </c>
      <c r="AR121" s="101">
        <v>-0.23560864755586439</v>
      </c>
      <c r="AS121" s="101">
        <v>-0.9548791594569912</v>
      </c>
      <c r="AT121" s="101">
        <v>-0.37001479615979033</v>
      </c>
      <c r="AU121" s="101">
        <v>0.17565526309303967</v>
      </c>
      <c r="AV121" s="101">
        <v>0.18105082513711473</v>
      </c>
      <c r="AW121" s="101">
        <v>-0.17650400805222194</v>
      </c>
      <c r="AX121" s="101">
        <v>-0.3986373264498721</v>
      </c>
      <c r="AY121" s="101">
        <v>-1.4136683802939032E-2</v>
      </c>
      <c r="AZ121" s="101">
        <v>2.4202106813621879E-2</v>
      </c>
      <c r="BA121" s="101">
        <v>-0.59271637344619887</v>
      </c>
      <c r="BB121" s="101">
        <v>0.32196603982704419</v>
      </c>
    </row>
    <row r="122" spans="2:54">
      <c r="B122">
        <v>0.13158</v>
      </c>
      <c r="C122">
        <v>10.01</v>
      </c>
      <c r="D122">
        <v>0.54700000000000004</v>
      </c>
      <c r="E122">
        <v>6.1760000000000002</v>
      </c>
      <c r="F122">
        <v>72.5</v>
      </c>
      <c r="G122">
        <v>2.7301000000000002</v>
      </c>
      <c r="H122">
        <v>6</v>
      </c>
      <c r="I122">
        <v>432</v>
      </c>
      <c r="J122">
        <v>17.8</v>
      </c>
      <c r="K122">
        <v>393.3</v>
      </c>
      <c r="L122">
        <v>12.04</v>
      </c>
      <c r="M122">
        <v>21.2</v>
      </c>
      <c r="O122" s="101">
        <f t="shared" si="42"/>
        <v>-0.40520502752930437</v>
      </c>
      <c r="P122" s="101">
        <f t="shared" si="43"/>
        <v>-0.16440753654119666</v>
      </c>
      <c r="Q122" s="101">
        <f t="shared" si="44"/>
        <v>-6.6472461988537596E-2</v>
      </c>
      <c r="R122" s="101">
        <f t="shared" si="45"/>
        <v>-0.1547669224640556</v>
      </c>
      <c r="S122" s="101">
        <f t="shared" si="46"/>
        <v>0.13957875851200152</v>
      </c>
      <c r="T122" s="101">
        <f t="shared" si="47"/>
        <v>-0.50624088828961111</v>
      </c>
      <c r="U122" s="101">
        <f t="shared" si="48"/>
        <v>-0.40804109356279333</v>
      </c>
      <c r="V122" s="101">
        <f t="shared" si="49"/>
        <v>0.14113426372146939</v>
      </c>
      <c r="W122" s="101">
        <f t="shared" si="50"/>
        <v>-0.30309414801651907</v>
      </c>
      <c r="X122" s="101">
        <f t="shared" si="51"/>
        <v>0.40158024251848018</v>
      </c>
      <c r="Y122" s="101">
        <f t="shared" si="52"/>
        <v>-8.593539395297474E-2</v>
      </c>
      <c r="Z122" s="101">
        <f t="shared" si="53"/>
        <v>-0.14505927833706847</v>
      </c>
      <c r="AQ122" s="101">
        <v>-0.1752872556223328</v>
      </c>
      <c r="AR122" s="101">
        <v>3.6134105898815855E-2</v>
      </c>
      <c r="AS122" s="101">
        <v>-0.69235580576093847</v>
      </c>
      <c r="AT122" s="101">
        <v>0.1311022090442252</v>
      </c>
      <c r="AU122" s="101">
        <v>-5.8015504227295379E-2</v>
      </c>
      <c r="AV122" s="101">
        <v>-0.10264144531181564</v>
      </c>
      <c r="AW122" s="101">
        <v>1.9727026237371027E-2</v>
      </c>
      <c r="AX122" s="101">
        <v>-0.13281393688611293</v>
      </c>
      <c r="AY122" s="101">
        <v>-0.11500309468683195</v>
      </c>
      <c r="AZ122" s="101">
        <v>-0.1581953128749049</v>
      </c>
      <c r="BA122" s="101">
        <v>-0.50695410009623865</v>
      </c>
      <c r="BB122" s="101">
        <v>0.32798067722641172</v>
      </c>
    </row>
    <row r="123" spans="2:54">
      <c r="B123">
        <v>0.15098</v>
      </c>
      <c r="C123">
        <v>10.01</v>
      </c>
      <c r="D123">
        <v>0.54700000000000004</v>
      </c>
      <c r="E123">
        <v>6.0209999999999999</v>
      </c>
      <c r="F123">
        <v>82.6</v>
      </c>
      <c r="G123">
        <v>2.7473999999999998</v>
      </c>
      <c r="H123">
        <v>6</v>
      </c>
      <c r="I123">
        <v>432</v>
      </c>
      <c r="J123">
        <v>17.8</v>
      </c>
      <c r="K123">
        <v>394.51</v>
      </c>
      <c r="L123">
        <v>10.3</v>
      </c>
      <c r="M123">
        <v>19.2</v>
      </c>
      <c r="O123" s="101">
        <f t="shared" si="42"/>
        <v>-0.40294738681667419</v>
      </c>
      <c r="P123" s="101">
        <f t="shared" si="43"/>
        <v>-0.16440753654119666</v>
      </c>
      <c r="Q123" s="101">
        <f t="shared" si="44"/>
        <v>-6.6472461988537596E-2</v>
      </c>
      <c r="R123" s="101">
        <f t="shared" si="45"/>
        <v>-0.37558901726030475</v>
      </c>
      <c r="S123" s="101">
        <f t="shared" si="46"/>
        <v>0.49874053448070432</v>
      </c>
      <c r="T123" s="101">
        <f t="shared" si="47"/>
        <v>-0.49801700218928185</v>
      </c>
      <c r="U123" s="101">
        <f t="shared" si="48"/>
        <v>-0.40804109356279333</v>
      </c>
      <c r="V123" s="101">
        <f t="shared" si="49"/>
        <v>0.14113426372146939</v>
      </c>
      <c r="W123" s="101">
        <f t="shared" si="50"/>
        <v>-0.30309414801651907</v>
      </c>
      <c r="X123" s="101">
        <f t="shared" si="51"/>
        <v>0.41484711613157543</v>
      </c>
      <c r="Y123" s="101">
        <f t="shared" si="52"/>
        <v>-0.32983777702236772</v>
      </c>
      <c r="Z123" s="101">
        <f t="shared" si="53"/>
        <v>-0.36273423337430205</v>
      </c>
      <c r="AQ123" s="101">
        <v>-4.4974308432814705E-2</v>
      </c>
      <c r="AR123" s="101">
        <v>-5.7039625834713462E-2</v>
      </c>
      <c r="AS123" s="101">
        <v>-0.84245475921962509</v>
      </c>
      <c r="AT123" s="101">
        <v>0.15666509505249154</v>
      </c>
      <c r="AU123" s="101">
        <v>-4.6239572270476467E-2</v>
      </c>
      <c r="AV123" s="101">
        <v>-4.1125583725696579E-2</v>
      </c>
      <c r="AW123" s="101">
        <v>2.5856601686142261E-2</v>
      </c>
      <c r="AX123" s="101">
        <v>-0.18695985232470666</v>
      </c>
      <c r="AY123" s="101">
        <v>-0.42157186509553085</v>
      </c>
      <c r="AZ123" s="101">
        <v>0.16074057066726505</v>
      </c>
      <c r="BA123" s="101">
        <v>-0.68169109098384617</v>
      </c>
      <c r="BB123" s="101">
        <v>0.27409783520582687</v>
      </c>
    </row>
    <row r="124" spans="2:54">
      <c r="B124">
        <v>0.13058</v>
      </c>
      <c r="C124">
        <v>10.01</v>
      </c>
      <c r="D124">
        <v>0.54700000000000004</v>
      </c>
      <c r="E124">
        <v>5.8719999999999999</v>
      </c>
      <c r="F124">
        <v>73.099999999999994</v>
      </c>
      <c r="G124">
        <v>2.4775</v>
      </c>
      <c r="H124">
        <v>6</v>
      </c>
      <c r="I124">
        <v>432</v>
      </c>
      <c r="J124">
        <v>17.8</v>
      </c>
      <c r="K124">
        <v>338.63</v>
      </c>
      <c r="L124">
        <v>15.37</v>
      </c>
      <c r="M124">
        <v>20.399999999999999</v>
      </c>
      <c r="O124" s="101">
        <f t="shared" si="42"/>
        <v>-0.40532140076191414</v>
      </c>
      <c r="P124" s="101">
        <f t="shared" si="43"/>
        <v>-0.16440753654119666</v>
      </c>
      <c r="Q124" s="101">
        <f t="shared" si="44"/>
        <v>-6.6472461988537596E-2</v>
      </c>
      <c r="R124" s="101">
        <f t="shared" si="45"/>
        <v>-0.58786315999992456</v>
      </c>
      <c r="S124" s="101">
        <f t="shared" si="46"/>
        <v>0.16091510163885497</v>
      </c>
      <c r="T124" s="101">
        <f t="shared" si="47"/>
        <v>-0.62631913273719542</v>
      </c>
      <c r="U124" s="101">
        <f t="shared" si="48"/>
        <v>-0.40804109356279333</v>
      </c>
      <c r="V124" s="101">
        <f t="shared" si="49"/>
        <v>0.14113426372146939</v>
      </c>
      <c r="W124" s="101">
        <f t="shared" si="50"/>
        <v>-0.30309414801651907</v>
      </c>
      <c r="X124" s="101">
        <f t="shared" si="51"/>
        <v>-0.19784122890956163</v>
      </c>
      <c r="Y124" s="101">
        <f t="shared" si="52"/>
        <v>0.38084330467982958</v>
      </c>
      <c r="Z124" s="101">
        <f t="shared" si="53"/>
        <v>-0.23212926035196199</v>
      </c>
      <c r="AQ124" s="101">
        <v>0.25645765966137241</v>
      </c>
      <c r="AR124" s="101">
        <v>-0.2699939840178408</v>
      </c>
      <c r="AS124" s="101">
        <v>-0.73443394480281621</v>
      </c>
      <c r="AT124" s="101">
        <v>-0.41009052453213818</v>
      </c>
      <c r="AU124" s="101">
        <v>0.17073340470052223</v>
      </c>
      <c r="AV124" s="101">
        <v>-8.2240262576915385E-2</v>
      </c>
      <c r="AW124" s="101">
        <v>0.12655033036023333</v>
      </c>
      <c r="AX124" s="101">
        <v>-0.43443671384568738</v>
      </c>
      <c r="AY124" s="101">
        <v>0.10673690573569285</v>
      </c>
      <c r="AZ124" s="101">
        <v>-0.21579907886855179</v>
      </c>
      <c r="BA124" s="101">
        <v>-0.44671761550736866</v>
      </c>
      <c r="BB124" s="101">
        <v>0.36251696749022427</v>
      </c>
    </row>
    <row r="125" spans="2:54">
      <c r="B125">
        <v>0.14476</v>
      </c>
      <c r="C125">
        <v>10.01</v>
      </c>
      <c r="D125">
        <v>0.54700000000000004</v>
      </c>
      <c r="E125">
        <v>5.7309999999999999</v>
      </c>
      <c r="F125">
        <v>65.2</v>
      </c>
      <c r="G125">
        <v>2.7591999999999999</v>
      </c>
      <c r="H125">
        <v>6</v>
      </c>
      <c r="I125">
        <v>432</v>
      </c>
      <c r="J125">
        <v>17.8</v>
      </c>
      <c r="K125">
        <v>391.5</v>
      </c>
      <c r="L125">
        <v>13.61</v>
      </c>
      <c r="M125">
        <v>19.3</v>
      </c>
      <c r="O125" s="101">
        <f t="shared" si="42"/>
        <v>-0.40367122832350716</v>
      </c>
      <c r="P125" s="101">
        <f t="shared" si="43"/>
        <v>-0.16440753654119666</v>
      </c>
      <c r="Q125" s="101">
        <f t="shared" si="44"/>
        <v>-6.6472461988537596E-2</v>
      </c>
      <c r="R125" s="101">
        <f t="shared" si="45"/>
        <v>-0.78874003333070575</v>
      </c>
      <c r="S125" s="101">
        <f t="shared" si="46"/>
        <v>-0.12001341619805103</v>
      </c>
      <c r="T125" s="101">
        <f t="shared" si="47"/>
        <v>-0.49240764635206291</v>
      </c>
      <c r="U125" s="101">
        <f t="shared" si="48"/>
        <v>-0.40804109356279333</v>
      </c>
      <c r="V125" s="101">
        <f t="shared" si="49"/>
        <v>0.14113426372146939</v>
      </c>
      <c r="W125" s="101">
        <f t="shared" si="50"/>
        <v>-0.30309414801651907</v>
      </c>
      <c r="X125" s="101">
        <f t="shared" si="51"/>
        <v>0.38184439747420579</v>
      </c>
      <c r="Y125" s="101">
        <f t="shared" si="52"/>
        <v>0.13413744594297206</v>
      </c>
      <c r="Z125" s="101">
        <f t="shared" si="53"/>
        <v>-0.35185048562244026</v>
      </c>
      <c r="AQ125" s="101">
        <v>7.5565038496287762E-3</v>
      </c>
      <c r="AR125" s="101">
        <v>-0.53276297893084856</v>
      </c>
      <c r="AS125" s="101">
        <v>-0.79618963001466092</v>
      </c>
      <c r="AT125" s="101">
        <v>-2.8338603091349085E-2</v>
      </c>
      <c r="AU125" s="101">
        <v>-0.18693198499038971</v>
      </c>
      <c r="AV125" s="101">
        <v>-0.35286028217528975</v>
      </c>
      <c r="AW125" s="101">
        <v>0.23342469145977485</v>
      </c>
      <c r="AX125" s="101">
        <v>-0.31200691331708552</v>
      </c>
      <c r="AY125" s="101">
        <v>-8.4049850265672646E-2</v>
      </c>
      <c r="AZ125" s="101">
        <v>-0.25392061523545978</v>
      </c>
      <c r="BA125" s="101">
        <v>-0.48088167918279934</v>
      </c>
      <c r="BB125" s="101">
        <v>0.32644507826461905</v>
      </c>
    </row>
    <row r="126" spans="2:54">
      <c r="B126">
        <v>6.8989999999999996E-2</v>
      </c>
      <c r="C126">
        <v>25.65</v>
      </c>
      <c r="D126">
        <v>0.58099999999999996</v>
      </c>
      <c r="E126">
        <v>5.87</v>
      </c>
      <c r="F126">
        <v>69.7</v>
      </c>
      <c r="G126">
        <v>2.2576999999999998</v>
      </c>
      <c r="H126">
        <v>2</v>
      </c>
      <c r="I126">
        <v>188</v>
      </c>
      <c r="J126">
        <v>19.100000000000001</v>
      </c>
      <c r="K126">
        <v>389.15</v>
      </c>
      <c r="L126">
        <v>14.37</v>
      </c>
      <c r="M126">
        <v>22</v>
      </c>
      <c r="O126" s="101">
        <f t="shared" si="42"/>
        <v>-0.41248882815835197</v>
      </c>
      <c r="P126" s="101">
        <f t="shared" si="43"/>
        <v>2.117614631276322</v>
      </c>
      <c r="Q126" s="101">
        <f t="shared" si="44"/>
        <v>0.22723076015257507</v>
      </c>
      <c r="R126" s="101">
        <f t="shared" si="45"/>
        <v>-0.59071247735213395</v>
      </c>
      <c r="S126" s="101">
        <f t="shared" si="46"/>
        <v>4.0009157253351288E-2</v>
      </c>
      <c r="T126" s="101">
        <f t="shared" si="47"/>
        <v>-0.73080526943386626</v>
      </c>
      <c r="U126" s="101">
        <f t="shared" si="48"/>
        <v>-0.86788250412576318</v>
      </c>
      <c r="V126" s="101">
        <f t="shared" si="49"/>
        <v>-1.3080507609049026</v>
      </c>
      <c r="W126" s="101">
        <f t="shared" si="50"/>
        <v>0.29797709275906098</v>
      </c>
      <c r="X126" s="101">
        <f t="shared" si="51"/>
        <v>0.35607815533306963</v>
      </c>
      <c r="Y126" s="101">
        <f t="shared" si="52"/>
        <v>0.24066952130661506</v>
      </c>
      <c r="Z126" s="101">
        <f t="shared" si="53"/>
        <v>-5.7989296322174963E-2</v>
      </c>
      <c r="AQ126" s="101">
        <v>0.39878275748903674</v>
      </c>
      <c r="AR126" s="101">
        <v>-0.28189510264440976</v>
      </c>
      <c r="AS126" s="101">
        <v>-1.7779910024892192</v>
      </c>
      <c r="AT126" s="101">
        <v>0.32644380404418111</v>
      </c>
      <c r="AU126" s="101">
        <v>0.54032257705036779</v>
      </c>
      <c r="AV126" s="101">
        <v>-1.6081084542267414E-2</v>
      </c>
      <c r="AW126" s="101">
        <v>1.3660921866949118</v>
      </c>
      <c r="AX126" s="101">
        <v>1.1179650899377742</v>
      </c>
      <c r="AY126" s="101">
        <v>0.78917670357568748</v>
      </c>
      <c r="AZ126" s="101">
        <v>0.16302758637890505</v>
      </c>
      <c r="BA126" s="101">
        <v>0.3617422075674217</v>
      </c>
      <c r="BB126" s="101">
        <v>-0.79810275969183897</v>
      </c>
    </row>
    <row r="127" spans="2:54">
      <c r="B127">
        <v>7.1650000000000005E-2</v>
      </c>
      <c r="C127">
        <v>25.65</v>
      </c>
      <c r="D127">
        <v>0.58099999999999996</v>
      </c>
      <c r="E127">
        <v>6.0039999999999996</v>
      </c>
      <c r="F127">
        <v>84.1</v>
      </c>
      <c r="G127">
        <v>2.1974</v>
      </c>
      <c r="H127">
        <v>2</v>
      </c>
      <c r="I127">
        <v>188</v>
      </c>
      <c r="J127">
        <v>19.100000000000001</v>
      </c>
      <c r="K127">
        <v>377.67</v>
      </c>
      <c r="L127">
        <v>14.27</v>
      </c>
      <c r="M127">
        <v>20.3</v>
      </c>
      <c r="O127" s="101">
        <f t="shared" si="42"/>
        <v>-0.41217927535960985</v>
      </c>
      <c r="P127" s="101">
        <f t="shared" si="43"/>
        <v>2.117614631276322</v>
      </c>
      <c r="Q127" s="101">
        <f t="shared" si="44"/>
        <v>0.22723076015257507</v>
      </c>
      <c r="R127" s="101">
        <f t="shared" si="45"/>
        <v>-0.39980821475408734</v>
      </c>
      <c r="S127" s="101">
        <f t="shared" si="46"/>
        <v>0.55208139229783848</v>
      </c>
      <c r="T127" s="101">
        <f t="shared" si="47"/>
        <v>-0.75947002850033229</v>
      </c>
      <c r="U127" s="101">
        <f t="shared" si="48"/>
        <v>-0.86788250412576318</v>
      </c>
      <c r="V127" s="101">
        <f t="shared" si="49"/>
        <v>-1.3080507609049026</v>
      </c>
      <c r="W127" s="101">
        <f t="shared" si="50"/>
        <v>0.29797709275906098</v>
      </c>
      <c r="X127" s="101">
        <f t="shared" si="51"/>
        <v>0.23020732138403188</v>
      </c>
      <c r="Y127" s="101">
        <f t="shared" si="52"/>
        <v>0.22665214296929365</v>
      </c>
      <c r="Z127" s="101">
        <f t="shared" si="53"/>
        <v>-0.24301300810382345</v>
      </c>
      <c r="AQ127" s="101">
        <v>0.593719034282153</v>
      </c>
      <c r="AR127" s="101">
        <v>-0.13025644150578902</v>
      </c>
      <c r="AS127" s="101">
        <v>-1.8890664231424004</v>
      </c>
      <c r="AT127" s="101">
        <v>0.26485389676468513</v>
      </c>
      <c r="AU127" s="101">
        <v>0.68273160875747851</v>
      </c>
      <c r="AV127" s="101">
        <v>0.27349037644677793</v>
      </c>
      <c r="AW127" s="101">
        <v>1.100492380779329</v>
      </c>
      <c r="AX127" s="101">
        <v>1.1725771498509854</v>
      </c>
      <c r="AY127" s="101">
        <v>0.65870835007483941</v>
      </c>
      <c r="AZ127" s="101">
        <v>0.39384161564663467</v>
      </c>
      <c r="BA127" s="101">
        <v>0.20885940357255056</v>
      </c>
      <c r="BB127" s="101">
        <v>-0.8342198679386138</v>
      </c>
    </row>
    <row r="128" spans="2:54">
      <c r="B128">
        <v>9.2990000000000003E-2</v>
      </c>
      <c r="C128">
        <v>25.65</v>
      </c>
      <c r="D128">
        <v>0.58099999999999996</v>
      </c>
      <c r="E128">
        <v>5.9610000000000003</v>
      </c>
      <c r="F128">
        <v>92.9</v>
      </c>
      <c r="G128">
        <v>2.0869</v>
      </c>
      <c r="H128">
        <v>2</v>
      </c>
      <c r="I128">
        <v>188</v>
      </c>
      <c r="J128">
        <v>19.100000000000001</v>
      </c>
      <c r="K128">
        <v>378.09</v>
      </c>
      <c r="L128">
        <v>17.93</v>
      </c>
      <c r="M128">
        <v>20.5</v>
      </c>
      <c r="O128" s="101">
        <f t="shared" si="42"/>
        <v>-0.40969587057571666</v>
      </c>
      <c r="P128" s="101">
        <f t="shared" si="43"/>
        <v>2.117614631276322</v>
      </c>
      <c r="Q128" s="101">
        <f t="shared" si="44"/>
        <v>0.22723076015257507</v>
      </c>
      <c r="R128" s="101">
        <f t="shared" si="45"/>
        <v>-0.46106853782659402</v>
      </c>
      <c r="S128" s="101">
        <f t="shared" si="46"/>
        <v>0.86501442482502566</v>
      </c>
      <c r="T128" s="101">
        <f t="shared" si="47"/>
        <v>-0.81199831833191605</v>
      </c>
      <c r="U128" s="101">
        <f t="shared" si="48"/>
        <v>-0.86788250412576318</v>
      </c>
      <c r="V128" s="101">
        <f t="shared" si="49"/>
        <v>-1.3080507609049026</v>
      </c>
      <c r="W128" s="101">
        <f t="shared" si="50"/>
        <v>0.29797709275906098</v>
      </c>
      <c r="X128" s="101">
        <f t="shared" si="51"/>
        <v>0.23481235189436211</v>
      </c>
      <c r="Y128" s="101">
        <f t="shared" si="52"/>
        <v>0.73968819011525877</v>
      </c>
      <c r="Z128" s="101">
        <f t="shared" si="53"/>
        <v>-0.22124551260010017</v>
      </c>
      <c r="AQ128" s="101">
        <v>0.87491225339765899</v>
      </c>
      <c r="AR128" s="101">
        <v>-0.19386823947206216</v>
      </c>
      <c r="AS128" s="101">
        <v>-2.1309974307970441</v>
      </c>
      <c r="AT128" s="101">
        <v>0.18459692017967591</v>
      </c>
      <c r="AU128" s="101">
        <v>0.63370905681247158</v>
      </c>
      <c r="AV128" s="101">
        <v>0.4675294612888185</v>
      </c>
      <c r="AW128" s="101">
        <v>0.84108698209675836</v>
      </c>
      <c r="AX128" s="101">
        <v>1.0180375044243051</v>
      </c>
      <c r="AY128" s="101">
        <v>0.94057155034647133</v>
      </c>
      <c r="AZ128" s="101">
        <v>0.40836464752682122</v>
      </c>
      <c r="BA128" s="101">
        <v>0.29940484098549669</v>
      </c>
      <c r="BB128" s="101">
        <v>-0.80300874735063843</v>
      </c>
    </row>
    <row r="129" spans="2:54">
      <c r="B129">
        <v>0.15038000000000001</v>
      </c>
      <c r="C129">
        <v>25.65</v>
      </c>
      <c r="D129">
        <v>0.58099999999999996</v>
      </c>
      <c r="E129">
        <v>5.8559999999999999</v>
      </c>
      <c r="F129">
        <v>97</v>
      </c>
      <c r="G129">
        <v>1.9443999999999999</v>
      </c>
      <c r="H129">
        <v>2</v>
      </c>
      <c r="I129">
        <v>188</v>
      </c>
      <c r="J129">
        <v>19.100000000000001</v>
      </c>
      <c r="K129">
        <v>370.31</v>
      </c>
      <c r="L129">
        <v>25.41</v>
      </c>
      <c r="M129">
        <v>17.3</v>
      </c>
      <c r="O129" s="101">
        <f t="shared" si="42"/>
        <v>-0.40301721075624003</v>
      </c>
      <c r="P129" s="101">
        <f t="shared" si="43"/>
        <v>2.117614631276322</v>
      </c>
      <c r="Q129" s="101">
        <f t="shared" si="44"/>
        <v>0.22723076015257507</v>
      </c>
      <c r="R129" s="101">
        <f t="shared" si="45"/>
        <v>-0.6106576988176019</v>
      </c>
      <c r="S129" s="101">
        <f t="shared" si="46"/>
        <v>1.0108127695251921</v>
      </c>
      <c r="T129" s="101">
        <f t="shared" si="47"/>
        <v>-0.87973842060341556</v>
      </c>
      <c r="U129" s="101">
        <f t="shared" si="48"/>
        <v>-0.86788250412576318</v>
      </c>
      <c r="V129" s="101">
        <f t="shared" si="49"/>
        <v>-1.3080507609049026</v>
      </c>
      <c r="W129" s="101">
        <f t="shared" si="50"/>
        <v>0.29797709275906098</v>
      </c>
      <c r="X129" s="101">
        <f t="shared" si="51"/>
        <v>0.14950964386966578</v>
      </c>
      <c r="Y129" s="101">
        <f t="shared" si="52"/>
        <v>1.7881880897469031</v>
      </c>
      <c r="Z129" s="101">
        <f t="shared" si="53"/>
        <v>-0.56952544065967381</v>
      </c>
      <c r="AQ129" s="101">
        <v>1.4237842494113881</v>
      </c>
      <c r="AR129" s="101">
        <v>-0.64638658274117544</v>
      </c>
      <c r="AS129" s="101">
        <v>-2.4286581552720579</v>
      </c>
      <c r="AT129" s="101">
        <v>-0.13249689754817162</v>
      </c>
      <c r="AU129" s="101">
        <v>0.55511675589208365</v>
      </c>
      <c r="AV129" s="101">
        <v>0.66843708564692705</v>
      </c>
      <c r="AW129" s="101">
        <v>0.39490069391775323</v>
      </c>
      <c r="AX129" s="101">
        <v>0.95597008194531785</v>
      </c>
      <c r="AY129" s="101">
        <v>1.4254140904367145</v>
      </c>
      <c r="AZ129" s="101">
        <v>0.10721906390697358</v>
      </c>
      <c r="BA129" s="101">
        <v>0.3695442668858604</v>
      </c>
      <c r="BB129" s="101">
        <v>-0.77375976842908023</v>
      </c>
    </row>
    <row r="130" spans="2:54">
      <c r="B130">
        <v>9.8489999999999994E-2</v>
      </c>
      <c r="C130">
        <v>25.65</v>
      </c>
      <c r="D130">
        <v>0.58099999999999996</v>
      </c>
      <c r="E130">
        <v>5.8789999999999996</v>
      </c>
      <c r="F130">
        <v>95.8</v>
      </c>
      <c r="G130">
        <v>2.0063</v>
      </c>
      <c r="H130">
        <v>2</v>
      </c>
      <c r="I130">
        <v>188</v>
      </c>
      <c r="J130">
        <v>19.100000000000001</v>
      </c>
      <c r="K130">
        <v>379.38</v>
      </c>
      <c r="L130">
        <v>17.579999999999998</v>
      </c>
      <c r="M130">
        <v>18.8</v>
      </c>
      <c r="O130" s="101">
        <f t="shared" si="42"/>
        <v>-0.40905581779636274</v>
      </c>
      <c r="P130" s="101">
        <f t="shared" si="43"/>
        <v>2.117614631276322</v>
      </c>
      <c r="Q130" s="101">
        <f t="shared" si="44"/>
        <v>0.22723076015257507</v>
      </c>
      <c r="R130" s="101">
        <f t="shared" si="45"/>
        <v>-0.57789054926719119</v>
      </c>
      <c r="S130" s="101">
        <f t="shared" si="46"/>
        <v>0.9681400832714846</v>
      </c>
      <c r="T130" s="101">
        <f t="shared" si="47"/>
        <v>-0.85031307091495367</v>
      </c>
      <c r="U130" s="101">
        <f t="shared" si="48"/>
        <v>-0.86788250412576318</v>
      </c>
      <c r="V130" s="101">
        <f t="shared" si="49"/>
        <v>-1.3080507609049026</v>
      </c>
      <c r="W130" s="101">
        <f t="shared" si="50"/>
        <v>0.29797709275906098</v>
      </c>
      <c r="X130" s="101">
        <f t="shared" si="51"/>
        <v>0.24895637417609223</v>
      </c>
      <c r="Y130" s="101">
        <f t="shared" si="52"/>
        <v>0.69062736593463347</v>
      </c>
      <c r="Z130" s="101">
        <f t="shared" si="53"/>
        <v>-0.40626922438174862</v>
      </c>
      <c r="AQ130" s="101">
        <v>0.97397670317225005</v>
      </c>
      <c r="AR130" s="101">
        <v>-0.30293505943530635</v>
      </c>
      <c r="AS130" s="101">
        <v>-2.2137050691721818</v>
      </c>
      <c r="AT130" s="101">
        <v>0.17676960535720221</v>
      </c>
      <c r="AU130" s="101">
        <v>0.62516798271325125</v>
      </c>
      <c r="AV130" s="101">
        <v>0.48525722033396679</v>
      </c>
      <c r="AW130" s="101">
        <v>0.84210157413791353</v>
      </c>
      <c r="AX130" s="101">
        <v>1.0211671197721459</v>
      </c>
      <c r="AY130" s="101">
        <v>0.81408802951502712</v>
      </c>
      <c r="AZ130" s="101">
        <v>0.46548789205022006</v>
      </c>
      <c r="BA130" s="101">
        <v>0.18314921155320843</v>
      </c>
      <c r="BB130" s="101">
        <v>-0.83139508191371425</v>
      </c>
    </row>
    <row r="131" spans="2:54">
      <c r="B131">
        <v>0.16902</v>
      </c>
      <c r="C131">
        <v>25.65</v>
      </c>
      <c r="D131">
        <v>0.58099999999999996</v>
      </c>
      <c r="E131">
        <v>5.9859999999999998</v>
      </c>
      <c r="F131">
        <v>88.4</v>
      </c>
      <c r="G131">
        <v>1.9928999999999999</v>
      </c>
      <c r="H131">
        <v>2</v>
      </c>
      <c r="I131">
        <v>188</v>
      </c>
      <c r="J131">
        <v>19.100000000000001</v>
      </c>
      <c r="K131">
        <v>385.02</v>
      </c>
      <c r="L131">
        <v>14.81</v>
      </c>
      <c r="M131">
        <v>21.4</v>
      </c>
      <c r="O131" s="101">
        <f t="shared" si="42"/>
        <v>-0.4008480137003933</v>
      </c>
      <c r="P131" s="101">
        <f t="shared" si="43"/>
        <v>2.117614631276322</v>
      </c>
      <c r="Q131" s="101">
        <f t="shared" si="44"/>
        <v>0.22723076015257507</v>
      </c>
      <c r="R131" s="101">
        <f t="shared" si="45"/>
        <v>-0.42545207092397402</v>
      </c>
      <c r="S131" s="101">
        <f t="shared" si="46"/>
        <v>0.7049918513736233</v>
      </c>
      <c r="T131" s="101">
        <f t="shared" si="47"/>
        <v>-0.85668301737416841</v>
      </c>
      <c r="U131" s="101">
        <f t="shared" si="48"/>
        <v>-0.86788250412576318</v>
      </c>
      <c r="V131" s="101">
        <f t="shared" si="49"/>
        <v>-1.3080507609049026</v>
      </c>
      <c r="W131" s="101">
        <f t="shared" si="50"/>
        <v>0.29797709275906098</v>
      </c>
      <c r="X131" s="101">
        <f t="shared" si="51"/>
        <v>0.31079535531481817</v>
      </c>
      <c r="Y131" s="101">
        <f t="shared" si="52"/>
        <v>0.30234598599082962</v>
      </c>
      <c r="Z131" s="101">
        <f t="shared" si="53"/>
        <v>-0.1232917828333452</v>
      </c>
      <c r="AQ131" s="101">
        <v>0.65113474678631156</v>
      </c>
      <c r="AR131" s="101">
        <v>-4.3418218489526941E-2</v>
      </c>
      <c r="AS131" s="101">
        <v>-2.0116048696470994</v>
      </c>
      <c r="AT131" s="101">
        <v>0.33555836080962764</v>
      </c>
      <c r="AU131" s="101">
        <v>0.63038136916217213</v>
      </c>
      <c r="AV131" s="101">
        <v>0.35278903951368418</v>
      </c>
      <c r="AW131" s="101">
        <v>1.0888138112088361</v>
      </c>
      <c r="AX131" s="101">
        <v>1.0617349218085785</v>
      </c>
      <c r="AY131" s="101">
        <v>0.73300887675900805</v>
      </c>
      <c r="AZ131" s="101">
        <v>0.43559753344574009</v>
      </c>
      <c r="BA131" s="101">
        <v>0.22614175565323191</v>
      </c>
      <c r="BB131" s="101">
        <v>-0.81664466939967562</v>
      </c>
    </row>
    <row r="132" spans="2:54">
      <c r="B132">
        <v>0.38735000000000003</v>
      </c>
      <c r="C132">
        <v>25.65</v>
      </c>
      <c r="D132">
        <v>0.58099999999999996</v>
      </c>
      <c r="E132">
        <v>5.6130000000000004</v>
      </c>
      <c r="F132">
        <v>95.6</v>
      </c>
      <c r="G132">
        <v>1.7572000000000001</v>
      </c>
      <c r="H132">
        <v>2</v>
      </c>
      <c r="I132">
        <v>188</v>
      </c>
      <c r="J132">
        <v>19.100000000000001</v>
      </c>
      <c r="K132">
        <v>359.29</v>
      </c>
      <c r="L132">
        <v>27.26</v>
      </c>
      <c r="M132">
        <v>15.7</v>
      </c>
      <c r="O132" s="101">
        <f t="shared" si="42"/>
        <v>-0.37544024582469498</v>
      </c>
      <c r="P132" s="101">
        <f t="shared" si="43"/>
        <v>2.117614631276322</v>
      </c>
      <c r="Q132" s="101">
        <f t="shared" si="44"/>
        <v>0.22723076015257507</v>
      </c>
      <c r="R132" s="101">
        <f t="shared" si="45"/>
        <v>-0.95684975711107501</v>
      </c>
      <c r="S132" s="101">
        <f t="shared" si="46"/>
        <v>0.96102796889586661</v>
      </c>
      <c r="T132" s="101">
        <f t="shared" si="47"/>
        <v>-0.96872752337692214</v>
      </c>
      <c r="U132" s="101">
        <f t="shared" si="48"/>
        <v>-0.86788250412576318</v>
      </c>
      <c r="V132" s="101">
        <f t="shared" si="49"/>
        <v>-1.3080507609049026</v>
      </c>
      <c r="W132" s="101">
        <f t="shared" si="50"/>
        <v>0.29797709275906098</v>
      </c>
      <c r="X132" s="101">
        <f t="shared" si="51"/>
        <v>2.8682414765275673E-2</v>
      </c>
      <c r="Y132" s="101">
        <f t="shared" si="52"/>
        <v>2.0475095889873502</v>
      </c>
      <c r="Z132" s="101">
        <f t="shared" si="53"/>
        <v>-0.74366540468946085</v>
      </c>
      <c r="AQ132" s="101">
        <v>1.6714218885507521</v>
      </c>
      <c r="AR132" s="101">
        <v>-0.95881715667953216</v>
      </c>
      <c r="AS132" s="101">
        <v>-2.5302904990590314</v>
      </c>
      <c r="AT132" s="101">
        <v>-0.32061973091258789</v>
      </c>
      <c r="AU132" s="101">
        <v>0.52705156733493819</v>
      </c>
      <c r="AV132" s="101">
        <v>0.63050707263425398</v>
      </c>
      <c r="AW132" s="101">
        <v>0.47436420930669271</v>
      </c>
      <c r="AX132" s="101">
        <v>0.82729848214441026</v>
      </c>
      <c r="AY132" s="101">
        <v>1.4963823856463687</v>
      </c>
      <c r="AZ132" s="101">
        <v>1.9212748854201323E-2</v>
      </c>
      <c r="BA132" s="101">
        <v>0.34450443445408896</v>
      </c>
      <c r="BB132" s="101">
        <v>-0.76973105127454788</v>
      </c>
    </row>
    <row r="133" spans="2:54">
      <c r="B133">
        <v>0.25914999999999999</v>
      </c>
      <c r="C133">
        <v>21.89</v>
      </c>
      <c r="D133">
        <v>0.624</v>
      </c>
      <c r="E133">
        <v>5.6929999999999996</v>
      </c>
      <c r="F133">
        <v>96</v>
      </c>
      <c r="G133">
        <v>1.7883</v>
      </c>
      <c r="H133">
        <v>4</v>
      </c>
      <c r="I133">
        <v>437</v>
      </c>
      <c r="J133">
        <v>21.2</v>
      </c>
      <c r="K133">
        <v>392.11</v>
      </c>
      <c r="L133">
        <v>17.190000000000001</v>
      </c>
      <c r="M133">
        <v>16.2</v>
      </c>
      <c r="O133" s="101">
        <f t="shared" si="42"/>
        <v>-0.39035929424527177</v>
      </c>
      <c r="P133" s="101">
        <f t="shared" si="43"/>
        <v>1.5689954911872002</v>
      </c>
      <c r="Q133" s="101">
        <f t="shared" si="44"/>
        <v>0.59867895286045403</v>
      </c>
      <c r="R133" s="101">
        <f t="shared" si="45"/>
        <v>-0.84287706302268972</v>
      </c>
      <c r="S133" s="101">
        <f t="shared" si="46"/>
        <v>0.97525219764710258</v>
      </c>
      <c r="T133" s="101">
        <f t="shared" si="47"/>
        <v>-0.95394354316187913</v>
      </c>
      <c r="U133" s="101">
        <f t="shared" si="48"/>
        <v>-0.63796179884427828</v>
      </c>
      <c r="V133" s="101">
        <f t="shared" si="49"/>
        <v>0.1708306781605344</v>
      </c>
      <c r="W133" s="101">
        <f t="shared" si="50"/>
        <v>1.2689383278580735</v>
      </c>
      <c r="X133" s="101">
        <f t="shared" si="51"/>
        <v>0.38853265607254334</v>
      </c>
      <c r="Y133" s="101">
        <f t="shared" si="52"/>
        <v>0.63595959041908023</v>
      </c>
      <c r="Z133" s="101">
        <f t="shared" si="53"/>
        <v>-0.68924666593015249</v>
      </c>
      <c r="AQ133" s="101">
        <v>1.8183188749960195</v>
      </c>
      <c r="AR133" s="101">
        <v>-0.63730677219012488</v>
      </c>
      <c r="AS133" s="101">
        <v>-1.5664370875187847</v>
      </c>
      <c r="AT133" s="101">
        <v>0.99566611411084793</v>
      </c>
      <c r="AU133" s="101">
        <v>0.7516281953997721</v>
      </c>
      <c r="AV133" s="101">
        <v>0.23618432649652141</v>
      </c>
      <c r="AW133" s="101">
        <v>0.55208253296748366</v>
      </c>
      <c r="AX133" s="101">
        <v>0.57879181553497805</v>
      </c>
      <c r="AY133" s="101">
        <v>0.25917884564222804</v>
      </c>
      <c r="AZ133" s="101">
        <v>0.25781869780568561</v>
      </c>
      <c r="BA133" s="101">
        <v>7.9133485829937678E-2</v>
      </c>
      <c r="BB133" s="101">
        <v>0.25101334244682189</v>
      </c>
    </row>
    <row r="134" spans="2:54">
      <c r="B134">
        <v>0.32543</v>
      </c>
      <c r="C134">
        <v>21.89</v>
      </c>
      <c r="D134">
        <v>0.624</v>
      </c>
      <c r="E134">
        <v>6.431</v>
      </c>
      <c r="F134">
        <v>98.8</v>
      </c>
      <c r="G134">
        <v>1.8125</v>
      </c>
      <c r="H134">
        <v>4</v>
      </c>
      <c r="I134">
        <v>437</v>
      </c>
      <c r="J134">
        <v>21.2</v>
      </c>
      <c r="K134">
        <v>396.9</v>
      </c>
      <c r="L134">
        <v>15.39</v>
      </c>
      <c r="M134">
        <v>18</v>
      </c>
      <c r="O134" s="101">
        <f t="shared" ref="O134:O197" si="54">(B134-B$1)/B$2</f>
        <v>-0.38264607638789405</v>
      </c>
      <c r="P134" s="101">
        <f t="shared" ref="P134:P197" si="55">(C134-C$1)/C$2</f>
        <v>1.5689954911872002</v>
      </c>
      <c r="Q134" s="101">
        <f t="shared" ref="Q134:Q197" si="56">(D134-D$1)/D$2</f>
        <v>0.59867895286045403</v>
      </c>
      <c r="R134" s="101">
        <f t="shared" ref="R134:R197" si="57">(E134-E$1)/E$2</f>
        <v>0.20852103994267612</v>
      </c>
      <c r="S134" s="101">
        <f t="shared" ref="S134:S197" si="58">(F134-F$1)/F$2</f>
        <v>1.0748217989057529</v>
      </c>
      <c r="T134" s="101">
        <f t="shared" ref="T134:T197" si="59">(G134-G$1)/G$2</f>
        <v>-0.94243961000419296</v>
      </c>
      <c r="U134" s="101">
        <f t="shared" ref="U134:U197" si="60">(H134-H$1)/H$2</f>
        <v>-0.63796179884427828</v>
      </c>
      <c r="V134" s="101">
        <f t="shared" ref="V134:V197" si="61">(I134-I$1)/I$2</f>
        <v>0.1708306781605344</v>
      </c>
      <c r="W134" s="101">
        <f t="shared" ref="W134:W197" si="62">(J134-J$1)/J$2</f>
        <v>1.2689383278580735</v>
      </c>
      <c r="X134" s="101">
        <f t="shared" ref="X134:X197" si="63">(K134-K$1)/K$2</f>
        <v>0.44105193260702835</v>
      </c>
      <c r="Y134" s="101">
        <f t="shared" ref="Y134:Y197" si="64">(L134-L$1)/L$2</f>
        <v>0.38364678034729405</v>
      </c>
      <c r="Z134" s="101">
        <f t="shared" ref="Z134:Z197" si="65">(M134-M$1)/M$2</f>
        <v>-0.49333920639664214</v>
      </c>
      <c r="AQ134" s="101">
        <v>1.4812898787649189</v>
      </c>
      <c r="AR134" s="101">
        <v>0.11949879720141343</v>
      </c>
      <c r="AS134" s="101">
        <v>-1.2959628144613524</v>
      </c>
      <c r="AT134" s="101">
        <v>1.2075334378916422</v>
      </c>
      <c r="AU134" s="101">
        <v>0.91370456149341539</v>
      </c>
      <c r="AV134" s="101">
        <v>0.53159220167027765</v>
      </c>
      <c r="AW134" s="101">
        <v>0.21777935803414583</v>
      </c>
      <c r="AX134" s="101">
        <v>1.0051647904958489</v>
      </c>
      <c r="AY134" s="101">
        <v>0.26281726575006203</v>
      </c>
      <c r="AZ134" s="101">
        <v>0.17163515203216145</v>
      </c>
      <c r="BA134" s="101">
        <v>4.1344902257704236E-2</v>
      </c>
      <c r="BB134" s="101">
        <v>0.25168862198265918</v>
      </c>
    </row>
    <row r="135" spans="2:54">
      <c r="B135">
        <v>0.88124999999999998</v>
      </c>
      <c r="C135">
        <v>21.89</v>
      </c>
      <c r="D135">
        <v>0.624</v>
      </c>
      <c r="E135">
        <v>5.6369999999999996</v>
      </c>
      <c r="F135">
        <v>94.7</v>
      </c>
      <c r="G135">
        <v>1.9799</v>
      </c>
      <c r="H135">
        <v>4</v>
      </c>
      <c r="I135">
        <v>437</v>
      </c>
      <c r="J135">
        <v>21.2</v>
      </c>
      <c r="K135">
        <v>396.9</v>
      </c>
      <c r="L135">
        <v>18.34</v>
      </c>
      <c r="M135">
        <v>14.3</v>
      </c>
      <c r="O135" s="101">
        <f t="shared" si="54"/>
        <v>-0.31796350623871322</v>
      </c>
      <c r="P135" s="101">
        <f t="shared" si="55"/>
        <v>1.5689954911872002</v>
      </c>
      <c r="Q135" s="101">
        <f t="shared" si="56"/>
        <v>0.59867895286045403</v>
      </c>
      <c r="R135" s="101">
        <f t="shared" si="57"/>
        <v>-0.92265794888456032</v>
      </c>
      <c r="S135" s="101">
        <f t="shared" si="58"/>
        <v>0.92902345420558641</v>
      </c>
      <c r="T135" s="101">
        <f t="shared" si="59"/>
        <v>-0.86286281617788407</v>
      </c>
      <c r="U135" s="101">
        <f t="shared" si="60"/>
        <v>-0.63796179884427828</v>
      </c>
      <c r="V135" s="101">
        <f t="shared" si="61"/>
        <v>0.1708306781605344</v>
      </c>
      <c r="W135" s="101">
        <f t="shared" si="62"/>
        <v>1.2689383278580735</v>
      </c>
      <c r="X135" s="101">
        <f t="shared" si="63"/>
        <v>0.44105193260702835</v>
      </c>
      <c r="Y135" s="101">
        <f t="shared" si="64"/>
        <v>0.79715944129827665</v>
      </c>
      <c r="Z135" s="101">
        <f t="shared" si="65"/>
        <v>-0.89603787321552419</v>
      </c>
      <c r="AQ135" s="101">
        <v>1.9108960412480425</v>
      </c>
      <c r="AR135" s="101">
        <v>-0.86542712317340031</v>
      </c>
      <c r="AS135" s="101">
        <v>-1.5724403185572473</v>
      </c>
      <c r="AT135" s="101">
        <v>0.94071446358764865</v>
      </c>
      <c r="AU135" s="101">
        <v>0.64031806571872152</v>
      </c>
      <c r="AV135" s="101">
        <v>0.23683444262348385</v>
      </c>
      <c r="AW135" s="101">
        <v>0.46337537626037489</v>
      </c>
      <c r="AX135" s="101">
        <v>0.66302442118981442</v>
      </c>
      <c r="AY135" s="101">
        <v>0.27082329619241402</v>
      </c>
      <c r="AZ135" s="101">
        <v>0.21050850654076522</v>
      </c>
      <c r="BA135" s="101">
        <v>7.9845685452624104E-2</v>
      </c>
      <c r="BB135" s="101">
        <v>0.23871527527247105</v>
      </c>
    </row>
    <row r="136" spans="2:54">
      <c r="B136">
        <v>0.34005999999999997</v>
      </c>
      <c r="C136">
        <v>21.89</v>
      </c>
      <c r="D136">
        <v>0.624</v>
      </c>
      <c r="E136">
        <v>6.4580000000000002</v>
      </c>
      <c r="F136">
        <v>98.9</v>
      </c>
      <c r="G136">
        <v>2.1185</v>
      </c>
      <c r="H136">
        <v>4</v>
      </c>
      <c r="I136">
        <v>437</v>
      </c>
      <c r="J136">
        <v>21.2</v>
      </c>
      <c r="K136">
        <v>395.04</v>
      </c>
      <c r="L136">
        <v>12.6</v>
      </c>
      <c r="M136">
        <v>19.2</v>
      </c>
      <c r="O136" s="101">
        <f t="shared" si="54"/>
        <v>-0.38094353599481262</v>
      </c>
      <c r="P136" s="101">
        <f t="shared" si="55"/>
        <v>1.5689954911872002</v>
      </c>
      <c r="Q136" s="101">
        <f t="shared" si="56"/>
        <v>0.59867895286045403</v>
      </c>
      <c r="R136" s="101">
        <f t="shared" si="57"/>
        <v>0.24698682419750675</v>
      </c>
      <c r="S136" s="101">
        <f t="shared" si="58"/>
        <v>1.078377856093562</v>
      </c>
      <c r="T136" s="101">
        <f t="shared" si="59"/>
        <v>-0.79697665354749936</v>
      </c>
      <c r="U136" s="101">
        <f t="shared" si="60"/>
        <v>-0.63796179884427828</v>
      </c>
      <c r="V136" s="101">
        <f t="shared" si="61"/>
        <v>0.1708306781605344</v>
      </c>
      <c r="W136" s="101">
        <f t="shared" si="62"/>
        <v>1.2689383278580735</v>
      </c>
      <c r="X136" s="101">
        <f t="shared" si="63"/>
        <v>0.42065822606127873</v>
      </c>
      <c r="Y136" s="101">
        <f t="shared" si="64"/>
        <v>-7.4380752639745494E-3</v>
      </c>
      <c r="Z136" s="101">
        <f t="shared" si="65"/>
        <v>-0.36273423337430205</v>
      </c>
      <c r="AQ136" s="101">
        <v>1.2736264018480892</v>
      </c>
      <c r="AR136" s="101">
        <v>0.25567811729887779</v>
      </c>
      <c r="AS136" s="101">
        <v>-1.153827283164403</v>
      </c>
      <c r="AT136" s="101">
        <v>1.2792346155280516</v>
      </c>
      <c r="AU136" s="101">
        <v>0.96422071266358778</v>
      </c>
      <c r="AV136" s="101">
        <v>0.45881455446806307</v>
      </c>
      <c r="AW136" s="101">
        <v>0.33093901326701136</v>
      </c>
      <c r="AX136" s="101">
        <v>1.0293530185978013</v>
      </c>
      <c r="AY136" s="101">
        <v>6.8109254184972018E-2</v>
      </c>
      <c r="AZ136" s="101">
        <v>0.38624319857575767</v>
      </c>
      <c r="BA136" s="101">
        <v>6.6980491669280273E-2</v>
      </c>
      <c r="BB136" s="101">
        <v>0.23756730070759291</v>
      </c>
    </row>
    <row r="137" spans="2:54">
      <c r="B137">
        <v>1.1929399999999999</v>
      </c>
      <c r="C137">
        <v>21.89</v>
      </c>
      <c r="D137">
        <v>0.624</v>
      </c>
      <c r="E137">
        <v>6.3259999999999996</v>
      </c>
      <c r="F137">
        <v>97.7</v>
      </c>
      <c r="G137">
        <v>2.2709999999999999</v>
      </c>
      <c r="H137">
        <v>4</v>
      </c>
      <c r="I137">
        <v>437</v>
      </c>
      <c r="J137">
        <v>21.2</v>
      </c>
      <c r="K137">
        <v>396.9</v>
      </c>
      <c r="L137">
        <v>12.26</v>
      </c>
      <c r="M137">
        <v>19.600000000000001</v>
      </c>
      <c r="O137" s="101">
        <f t="shared" si="54"/>
        <v>-0.28169113336656371</v>
      </c>
      <c r="P137" s="101">
        <f t="shared" si="55"/>
        <v>1.5689954911872002</v>
      </c>
      <c r="Q137" s="101">
        <f t="shared" si="56"/>
        <v>0.59867895286045403</v>
      </c>
      <c r="R137" s="101">
        <f t="shared" si="57"/>
        <v>5.8931878951668272E-2</v>
      </c>
      <c r="S137" s="101">
        <f t="shared" si="58"/>
        <v>1.0357051698398547</v>
      </c>
      <c r="T137" s="101">
        <f t="shared" si="59"/>
        <v>-0.72448285988852634</v>
      </c>
      <c r="U137" s="101">
        <f t="shared" si="60"/>
        <v>-0.63796179884427828</v>
      </c>
      <c r="V137" s="101">
        <f t="shared" si="61"/>
        <v>0.1708306781605344</v>
      </c>
      <c r="W137" s="101">
        <f t="shared" si="62"/>
        <v>1.2689383278580735</v>
      </c>
      <c r="X137" s="101">
        <f t="shared" si="63"/>
        <v>0.44105193260702835</v>
      </c>
      <c r="Y137" s="101">
        <f t="shared" si="64"/>
        <v>-5.5097161610867459E-2</v>
      </c>
      <c r="Z137" s="101">
        <f t="shared" si="65"/>
        <v>-0.3191992423668551</v>
      </c>
      <c r="AQ137" s="101">
        <v>1.2723977727156246</v>
      </c>
      <c r="AR137" s="101">
        <v>0.15348867285903162</v>
      </c>
      <c r="AS137" s="101">
        <v>-1.1190073671876801</v>
      </c>
      <c r="AT137" s="101">
        <v>1.2677123603404479</v>
      </c>
      <c r="AU137" s="101">
        <v>0.85700060002073253</v>
      </c>
      <c r="AV137" s="101">
        <v>0.40786380044784953</v>
      </c>
      <c r="AW137" s="101">
        <v>0.45073795498085578</v>
      </c>
      <c r="AX137" s="101">
        <v>0.96795837885045843</v>
      </c>
      <c r="AY137" s="101">
        <v>3.7846568966446253E-2</v>
      </c>
      <c r="AZ137" s="101">
        <v>0.47467310820188624</v>
      </c>
      <c r="BA137" s="101">
        <v>0.13092578980424768</v>
      </c>
      <c r="BB137" s="101">
        <v>0.24444596699933122</v>
      </c>
    </row>
    <row r="138" spans="2:54">
      <c r="B138">
        <v>0.59004999999999996</v>
      </c>
      <c r="C138">
        <v>21.89</v>
      </c>
      <c r="D138">
        <v>0.624</v>
      </c>
      <c r="E138">
        <v>6.3719999999999999</v>
      </c>
      <c r="F138">
        <v>97.9</v>
      </c>
      <c r="G138">
        <v>2.3273999999999999</v>
      </c>
      <c r="H138">
        <v>4</v>
      </c>
      <c r="I138">
        <v>437</v>
      </c>
      <c r="J138">
        <v>21.2</v>
      </c>
      <c r="K138">
        <v>385.76</v>
      </c>
      <c r="L138">
        <v>11.12</v>
      </c>
      <c r="M138">
        <v>23</v>
      </c>
      <c r="O138" s="101">
        <f t="shared" si="54"/>
        <v>-0.35185139157468787</v>
      </c>
      <c r="P138" s="101">
        <f t="shared" si="55"/>
        <v>1.5689954911872002</v>
      </c>
      <c r="Q138" s="101">
        <f t="shared" si="56"/>
        <v>0.59867895286045403</v>
      </c>
      <c r="R138" s="101">
        <f t="shared" si="57"/>
        <v>0.12446617805249087</v>
      </c>
      <c r="S138" s="101">
        <f t="shared" si="58"/>
        <v>1.0428172842154726</v>
      </c>
      <c r="T138" s="101">
        <f t="shared" si="59"/>
        <v>-0.69767204046317488</v>
      </c>
      <c r="U138" s="101">
        <f t="shared" si="60"/>
        <v>-0.63796179884427828</v>
      </c>
      <c r="V138" s="101">
        <f t="shared" si="61"/>
        <v>0.1708306781605344</v>
      </c>
      <c r="W138" s="101">
        <f t="shared" si="62"/>
        <v>1.2689383278580735</v>
      </c>
      <c r="X138" s="101">
        <f t="shared" si="63"/>
        <v>0.31890898049968658</v>
      </c>
      <c r="Y138" s="101">
        <f t="shared" si="64"/>
        <v>-0.21489527465633207</v>
      </c>
      <c r="Z138" s="101">
        <f t="shared" si="65"/>
        <v>5.0848181196441827E-2</v>
      </c>
      <c r="AQ138" s="101">
        <v>1.1065427809657249</v>
      </c>
      <c r="AR138" s="101">
        <v>0.41098337918445577</v>
      </c>
      <c r="AS138" s="101">
        <v>-1.0333739464097607</v>
      </c>
      <c r="AT138" s="101">
        <v>1.2823663264744023</v>
      </c>
      <c r="AU138" s="101">
        <v>0.99140746959588533</v>
      </c>
      <c r="AV138" s="101">
        <v>0.36348079743003392</v>
      </c>
      <c r="AW138" s="101">
        <v>0.56068202014738178</v>
      </c>
      <c r="AX138" s="101">
        <v>0.83124729986883539</v>
      </c>
      <c r="AY138" s="101">
        <v>9.0671461729259273E-2</v>
      </c>
      <c r="AZ138" s="101">
        <v>0.591588629723383</v>
      </c>
      <c r="BA138" s="101">
        <v>0.26394883356211685</v>
      </c>
      <c r="BB138" s="101">
        <v>0.2768389515807676</v>
      </c>
    </row>
    <row r="139" spans="2:54">
      <c r="B139">
        <v>0.32982</v>
      </c>
      <c r="C139">
        <v>21.89</v>
      </c>
      <c r="D139">
        <v>0.624</v>
      </c>
      <c r="E139">
        <v>5.8220000000000001</v>
      </c>
      <c r="F139">
        <v>95.4</v>
      </c>
      <c r="G139">
        <v>2.4699</v>
      </c>
      <c r="H139">
        <v>4</v>
      </c>
      <c r="I139">
        <v>437</v>
      </c>
      <c r="J139">
        <v>21.2</v>
      </c>
      <c r="K139">
        <v>388.69</v>
      </c>
      <c r="L139">
        <v>15.03</v>
      </c>
      <c r="M139">
        <v>18.399999999999999</v>
      </c>
      <c r="O139" s="101">
        <f t="shared" si="54"/>
        <v>-0.38213519789673694</v>
      </c>
      <c r="P139" s="101">
        <f t="shared" si="55"/>
        <v>1.5689954911872002</v>
      </c>
      <c r="Q139" s="101">
        <f t="shared" si="56"/>
        <v>0.59867895286045403</v>
      </c>
      <c r="R139" s="101">
        <f t="shared" si="57"/>
        <v>-0.65909609380516587</v>
      </c>
      <c r="S139" s="101">
        <f t="shared" si="58"/>
        <v>0.95391585452024918</v>
      </c>
      <c r="T139" s="101">
        <f t="shared" si="59"/>
        <v>-0.62993193819167548</v>
      </c>
      <c r="U139" s="101">
        <f t="shared" si="60"/>
        <v>-0.63796179884427828</v>
      </c>
      <c r="V139" s="101">
        <f t="shared" si="61"/>
        <v>0.1708306781605344</v>
      </c>
      <c r="W139" s="101">
        <f t="shared" si="62"/>
        <v>1.2689383278580735</v>
      </c>
      <c r="X139" s="101">
        <f t="shared" si="63"/>
        <v>0.35103455048842203</v>
      </c>
      <c r="Y139" s="101">
        <f t="shared" si="64"/>
        <v>0.33318421833293665</v>
      </c>
      <c r="Z139" s="101">
        <f t="shared" si="65"/>
        <v>-0.44980421538919557</v>
      </c>
      <c r="AQ139" s="101">
        <v>1.5236441626516055</v>
      </c>
      <c r="AR139" s="101">
        <v>-0.45290966199037885</v>
      </c>
      <c r="AS139" s="101">
        <v>-1.3274330354915818</v>
      </c>
      <c r="AT139" s="101">
        <v>1.0463821331071395</v>
      </c>
      <c r="AU139" s="101">
        <v>0.80652190360517284</v>
      </c>
      <c r="AV139" s="101">
        <v>0.1721743474217122</v>
      </c>
      <c r="AW139" s="101">
        <v>0.53568440866367628</v>
      </c>
      <c r="AX139" s="101">
        <v>0.65875811886561952</v>
      </c>
      <c r="AY139" s="101">
        <v>0.1716036452999343</v>
      </c>
      <c r="AZ139" s="101">
        <v>0.49889892883037162</v>
      </c>
      <c r="BA139" s="101">
        <v>0.2511625265452429</v>
      </c>
      <c r="BB139" s="101">
        <v>0.25342998193492572</v>
      </c>
    </row>
    <row r="140" spans="2:54">
      <c r="B140">
        <v>0.97616999999999998</v>
      </c>
      <c r="C140">
        <v>21.89</v>
      </c>
      <c r="D140">
        <v>0.624</v>
      </c>
      <c r="E140">
        <v>5.7569999999999997</v>
      </c>
      <c r="F140">
        <v>98.4</v>
      </c>
      <c r="G140">
        <v>2.3460000000000001</v>
      </c>
      <c r="H140">
        <v>4</v>
      </c>
      <c r="I140">
        <v>437</v>
      </c>
      <c r="J140">
        <v>21.2</v>
      </c>
      <c r="K140">
        <v>262.76</v>
      </c>
      <c r="L140">
        <v>17.309999999999999</v>
      </c>
      <c r="M140">
        <v>15.6</v>
      </c>
      <c r="O140" s="101">
        <f t="shared" si="54"/>
        <v>-0.30691735899939071</v>
      </c>
      <c r="P140" s="101">
        <f t="shared" si="55"/>
        <v>1.5689954911872002</v>
      </c>
      <c r="Q140" s="101">
        <f t="shared" si="56"/>
        <v>0.59867895286045403</v>
      </c>
      <c r="R140" s="101">
        <f t="shared" si="57"/>
        <v>-0.75169890775198045</v>
      </c>
      <c r="S140" s="101">
        <f t="shared" si="58"/>
        <v>1.0605975701545174</v>
      </c>
      <c r="T140" s="101">
        <f t="shared" si="59"/>
        <v>-0.68883017448247386</v>
      </c>
      <c r="U140" s="101">
        <f t="shared" si="60"/>
        <v>-0.63796179884427828</v>
      </c>
      <c r="V140" s="101">
        <f t="shared" si="61"/>
        <v>0.1708306781605344</v>
      </c>
      <c r="W140" s="101">
        <f t="shared" si="62"/>
        <v>1.2689383278580735</v>
      </c>
      <c r="X140" s="101">
        <f t="shared" si="63"/>
        <v>-1.0297070975257225</v>
      </c>
      <c r="Y140" s="101">
        <f t="shared" si="64"/>
        <v>0.65278044442386562</v>
      </c>
      <c r="Z140" s="101">
        <f t="shared" si="65"/>
        <v>-0.75454915244132248</v>
      </c>
      <c r="AQ140" s="101">
        <v>2.0867686993548298</v>
      </c>
      <c r="AR140" s="101">
        <v>-0.57713175915272263</v>
      </c>
      <c r="AS140" s="101">
        <v>-0.9864443443246097</v>
      </c>
      <c r="AT140" s="101">
        <v>-1.1742444815724937E-2</v>
      </c>
      <c r="AU140" s="101">
        <v>1.5076745368717241</v>
      </c>
      <c r="AV140" s="101">
        <v>0.39400596287318546</v>
      </c>
      <c r="AW140" s="101">
        <v>0.59258963100188811</v>
      </c>
      <c r="AX140" s="101">
        <v>0.55416598510617077</v>
      </c>
      <c r="AY140" s="101">
        <v>0.23707258496958289</v>
      </c>
      <c r="AZ140" s="101">
        <v>0.51728921348734813</v>
      </c>
      <c r="BA140" s="101">
        <v>0.20220397726497652</v>
      </c>
      <c r="BB140" s="101">
        <v>0.2622112806735114</v>
      </c>
    </row>
    <row r="141" spans="2:54">
      <c r="B141">
        <v>0.55778000000000005</v>
      </c>
      <c r="C141">
        <v>21.89</v>
      </c>
      <c r="D141">
        <v>0.624</v>
      </c>
      <c r="E141">
        <v>6.335</v>
      </c>
      <c r="F141">
        <v>98.2</v>
      </c>
      <c r="G141">
        <v>2.1107</v>
      </c>
      <c r="H141">
        <v>4</v>
      </c>
      <c r="I141">
        <v>437</v>
      </c>
      <c r="J141">
        <v>21.2</v>
      </c>
      <c r="K141">
        <v>394.67</v>
      </c>
      <c r="L141">
        <v>16.96</v>
      </c>
      <c r="M141">
        <v>18.100000000000001</v>
      </c>
      <c r="O141" s="101">
        <f t="shared" si="54"/>
        <v>-0.35560675579100626</v>
      </c>
      <c r="P141" s="101">
        <f t="shared" si="55"/>
        <v>1.5689954911872002</v>
      </c>
      <c r="Q141" s="101">
        <f t="shared" si="56"/>
        <v>0.59867895286045403</v>
      </c>
      <c r="R141" s="101">
        <f t="shared" si="57"/>
        <v>7.175380703661223E-2</v>
      </c>
      <c r="S141" s="101">
        <f t="shared" si="58"/>
        <v>1.0534854557788993</v>
      </c>
      <c r="T141" s="101">
        <f t="shared" si="59"/>
        <v>-0.80068453282972873</v>
      </c>
      <c r="U141" s="101">
        <f t="shared" si="60"/>
        <v>-0.63796179884427828</v>
      </c>
      <c r="V141" s="101">
        <f t="shared" si="61"/>
        <v>0.1708306781605344</v>
      </c>
      <c r="W141" s="101">
        <f t="shared" si="62"/>
        <v>1.2689383278580735</v>
      </c>
      <c r="X141" s="101">
        <f t="shared" si="63"/>
        <v>0.41660141346884455</v>
      </c>
      <c r="Y141" s="101">
        <f t="shared" si="64"/>
        <v>0.60371962024324077</v>
      </c>
      <c r="Z141" s="101">
        <f t="shared" si="65"/>
        <v>-0.48245545864478029</v>
      </c>
      <c r="AQ141" s="101">
        <v>1.5413794770607927</v>
      </c>
      <c r="AR141" s="101">
        <v>-5.5039254627219619E-2</v>
      </c>
      <c r="AS141" s="101">
        <v>-1.3010101410873671</v>
      </c>
      <c r="AT141" s="101">
        <v>1.1167415743808775</v>
      </c>
      <c r="AU141" s="101">
        <v>0.85384081215119345</v>
      </c>
      <c r="AV141" s="101">
        <v>0.50061809896579301</v>
      </c>
      <c r="AW141" s="101">
        <v>0.15075583947130616</v>
      </c>
      <c r="AX141" s="101">
        <v>0.95226739253545256</v>
      </c>
      <c r="AY141" s="101">
        <v>0.38762132121645998</v>
      </c>
      <c r="AZ141" s="101">
        <v>0.19647796262097261</v>
      </c>
      <c r="BA141" s="101">
        <v>0.17737486662232324</v>
      </c>
      <c r="BB141" s="101">
        <v>0.26783893729400216</v>
      </c>
    </row>
    <row r="142" spans="2:54">
      <c r="B142">
        <v>0.32263999999999998</v>
      </c>
      <c r="C142">
        <v>21.89</v>
      </c>
      <c r="D142">
        <v>0.624</v>
      </c>
      <c r="E142">
        <v>5.9420000000000002</v>
      </c>
      <c r="F142">
        <v>93.5</v>
      </c>
      <c r="G142">
        <v>1.9669000000000001</v>
      </c>
      <c r="H142">
        <v>4</v>
      </c>
      <c r="I142">
        <v>437</v>
      </c>
      <c r="J142">
        <v>21.2</v>
      </c>
      <c r="K142">
        <v>378.25</v>
      </c>
      <c r="L142">
        <v>16.899999999999999</v>
      </c>
      <c r="M142">
        <v>17.399999999999999</v>
      </c>
      <c r="O142" s="101">
        <f t="shared" si="54"/>
        <v>-0.38297075770687539</v>
      </c>
      <c r="P142" s="101">
        <f t="shared" si="55"/>
        <v>1.5689954911872002</v>
      </c>
      <c r="Q142" s="101">
        <f t="shared" si="56"/>
        <v>0.59867895286045403</v>
      </c>
      <c r="R142" s="101">
        <f t="shared" si="57"/>
        <v>-0.488137052672586</v>
      </c>
      <c r="S142" s="101">
        <f t="shared" si="58"/>
        <v>0.88635076795187906</v>
      </c>
      <c r="T142" s="101">
        <f t="shared" si="59"/>
        <v>-0.86904261498159974</v>
      </c>
      <c r="U142" s="101">
        <f t="shared" si="60"/>
        <v>-0.63796179884427828</v>
      </c>
      <c r="V142" s="101">
        <f t="shared" si="61"/>
        <v>0.1708306781605344</v>
      </c>
      <c r="W142" s="101">
        <f t="shared" si="62"/>
        <v>1.2689383278580735</v>
      </c>
      <c r="X142" s="101">
        <f t="shared" si="63"/>
        <v>0.2365666492316312</v>
      </c>
      <c r="Y142" s="101">
        <f t="shared" si="64"/>
        <v>0.59530919324084763</v>
      </c>
      <c r="Z142" s="101">
        <f t="shared" si="65"/>
        <v>-0.5586416929078124</v>
      </c>
      <c r="AQ142" s="101">
        <v>1.677032142882557</v>
      </c>
      <c r="AR142" s="101">
        <v>-0.40205510166081326</v>
      </c>
      <c r="AS142" s="101">
        <v>-1.3517274556890433</v>
      </c>
      <c r="AT142" s="101">
        <v>0.93602241504024519</v>
      </c>
      <c r="AU142" s="101">
        <v>0.88043916379742793</v>
      </c>
      <c r="AV142" s="101">
        <v>0.28715642127558921</v>
      </c>
      <c r="AW142" s="101">
        <v>0.47352652019577091</v>
      </c>
      <c r="AX142" s="101">
        <v>0.71439626932611799</v>
      </c>
      <c r="AY142" s="101">
        <v>0.32752513413453843</v>
      </c>
      <c r="AZ142" s="101">
        <v>0.20395994687661259</v>
      </c>
      <c r="BA142" s="101">
        <v>0.15834097370187872</v>
      </c>
      <c r="BB142" s="101">
        <v>0.26688000044953947</v>
      </c>
    </row>
    <row r="143" spans="2:54">
      <c r="B143">
        <v>0.35232999999999998</v>
      </c>
      <c r="C143">
        <v>21.89</v>
      </c>
      <c r="D143">
        <v>0.624</v>
      </c>
      <c r="E143">
        <v>6.4539999999999997</v>
      </c>
      <c r="F143">
        <v>98.4</v>
      </c>
      <c r="G143">
        <v>1.8498000000000001</v>
      </c>
      <c r="H143">
        <v>4</v>
      </c>
      <c r="I143">
        <v>437</v>
      </c>
      <c r="J143">
        <v>21.2</v>
      </c>
      <c r="K143">
        <v>394.08</v>
      </c>
      <c r="L143">
        <v>14.59</v>
      </c>
      <c r="M143">
        <v>17.100000000000001</v>
      </c>
      <c r="O143" s="101">
        <f t="shared" si="54"/>
        <v>-0.37951563643069036</v>
      </c>
      <c r="P143" s="101">
        <f t="shared" si="55"/>
        <v>1.5689954911872002</v>
      </c>
      <c r="Q143" s="101">
        <f t="shared" si="56"/>
        <v>0.59867895286045403</v>
      </c>
      <c r="R143" s="101">
        <f t="shared" si="57"/>
        <v>0.24128818949308678</v>
      </c>
      <c r="S143" s="101">
        <f t="shared" si="58"/>
        <v>1.0605975701545174</v>
      </c>
      <c r="T143" s="101">
        <f t="shared" si="59"/>
        <v>-0.9247083411289162</v>
      </c>
      <c r="U143" s="101">
        <f t="shared" si="60"/>
        <v>-0.63796179884427828</v>
      </c>
      <c r="V143" s="101">
        <f t="shared" si="61"/>
        <v>0.1708306781605344</v>
      </c>
      <c r="W143" s="101">
        <f t="shared" si="62"/>
        <v>1.2689383278580735</v>
      </c>
      <c r="X143" s="101">
        <f t="shared" si="63"/>
        <v>0.41013244203766541</v>
      </c>
      <c r="Y143" s="101">
        <f t="shared" si="64"/>
        <v>0.27150775364872232</v>
      </c>
      <c r="Z143" s="101">
        <f t="shared" si="65"/>
        <v>-0.59129293616339706</v>
      </c>
      <c r="AQ143" s="101">
        <v>1.4630808810831972</v>
      </c>
      <c r="AR143" s="101">
        <v>0.11069427892810163</v>
      </c>
      <c r="AS143" s="101">
        <v>-1.2492702957223223</v>
      </c>
      <c r="AT143" s="101">
        <v>1.1950195453706403</v>
      </c>
      <c r="AU143" s="101">
        <v>0.94721673400327178</v>
      </c>
      <c r="AV143" s="101">
        <v>0.52414939388873383</v>
      </c>
      <c r="AW143" s="101">
        <v>0.22794638824600016</v>
      </c>
      <c r="AX143" s="101">
        <v>1.0771720218409631</v>
      </c>
      <c r="AY143" s="101">
        <v>0.15895448383434904</v>
      </c>
      <c r="AZ143" s="101">
        <v>0.18648804131196334</v>
      </c>
      <c r="BA143" s="101">
        <v>-2.2886808897376709E-2</v>
      </c>
      <c r="BB143" s="101">
        <v>0.23220077229650332</v>
      </c>
    </row>
    <row r="144" spans="2:54">
      <c r="B144">
        <v>0.24979999999999999</v>
      </c>
      <c r="C144">
        <v>21.89</v>
      </c>
      <c r="D144">
        <v>0.624</v>
      </c>
      <c r="E144">
        <v>5.8570000000000002</v>
      </c>
      <c r="F144">
        <v>98.2</v>
      </c>
      <c r="G144">
        <v>1.6686000000000001</v>
      </c>
      <c r="H144">
        <v>4</v>
      </c>
      <c r="I144">
        <v>437</v>
      </c>
      <c r="J144">
        <v>21.2</v>
      </c>
      <c r="K144">
        <v>392.04</v>
      </c>
      <c r="L144">
        <v>21.32</v>
      </c>
      <c r="M144">
        <v>13.3</v>
      </c>
      <c r="O144" s="101">
        <f t="shared" si="54"/>
        <v>-0.39144738397017342</v>
      </c>
      <c r="P144" s="101">
        <f t="shared" si="55"/>
        <v>1.5689954911872002</v>
      </c>
      <c r="Q144" s="101">
        <f t="shared" si="56"/>
        <v>0.59867895286045403</v>
      </c>
      <c r="R144" s="101">
        <f t="shared" si="57"/>
        <v>-0.6092330401414966</v>
      </c>
      <c r="S144" s="101">
        <f t="shared" si="58"/>
        <v>1.0534854557788993</v>
      </c>
      <c r="T144" s="101">
        <f t="shared" si="59"/>
        <v>-1.0108452290699386</v>
      </c>
      <c r="U144" s="101">
        <f t="shared" si="60"/>
        <v>-0.63796179884427828</v>
      </c>
      <c r="V144" s="101">
        <f t="shared" si="61"/>
        <v>0.1708306781605344</v>
      </c>
      <c r="W144" s="101">
        <f t="shared" si="62"/>
        <v>1.2689383278580735</v>
      </c>
      <c r="X144" s="101">
        <f t="shared" si="63"/>
        <v>0.38776515098748826</v>
      </c>
      <c r="Y144" s="101">
        <f t="shared" si="64"/>
        <v>1.214877315750456</v>
      </c>
      <c r="Z144" s="101">
        <f t="shared" si="65"/>
        <v>-1.004875350734141</v>
      </c>
      <c r="AQ144" s="101">
        <v>2.0838127458914659</v>
      </c>
      <c r="AR144" s="101">
        <v>-0.77032678403252541</v>
      </c>
      <c r="AS144" s="101">
        <v>-1.682054072621098</v>
      </c>
      <c r="AT144" s="101">
        <v>0.86590103563875032</v>
      </c>
      <c r="AU144" s="101">
        <v>0.73833188689429496</v>
      </c>
      <c r="AV144" s="101">
        <v>0.44007060200382009</v>
      </c>
      <c r="AW144" s="101">
        <v>0.1444665526128501</v>
      </c>
      <c r="AX144" s="101">
        <v>0.74891799660027902</v>
      </c>
      <c r="AY144" s="101">
        <v>0.50885469081820656</v>
      </c>
      <c r="AZ144" s="101">
        <v>-2.3337702733293858E-2</v>
      </c>
      <c r="BA144" s="101">
        <v>3.3287760024472424E-2</v>
      </c>
      <c r="BB144" s="101">
        <v>0.25048933253056349</v>
      </c>
    </row>
    <row r="145" spans="2:54">
      <c r="B145">
        <v>0.54452</v>
      </c>
      <c r="C145">
        <v>21.89</v>
      </c>
      <c r="D145">
        <v>0.624</v>
      </c>
      <c r="E145">
        <v>6.1509999999999998</v>
      </c>
      <c r="F145">
        <v>97.9</v>
      </c>
      <c r="G145">
        <v>1.6687000000000001</v>
      </c>
      <c r="H145">
        <v>4</v>
      </c>
      <c r="I145">
        <v>437</v>
      </c>
      <c r="J145">
        <v>21.2</v>
      </c>
      <c r="K145">
        <v>396.9</v>
      </c>
      <c r="L145">
        <v>18.46</v>
      </c>
      <c r="M145">
        <v>17.8</v>
      </c>
      <c r="O145" s="101">
        <f t="shared" si="54"/>
        <v>-0.35714986485541228</v>
      </c>
      <c r="P145" s="101">
        <f t="shared" si="55"/>
        <v>1.5689954911872002</v>
      </c>
      <c r="Q145" s="101">
        <f t="shared" si="56"/>
        <v>0.59867895286045403</v>
      </c>
      <c r="R145" s="101">
        <f t="shared" si="57"/>
        <v>-0.19038338936667687</v>
      </c>
      <c r="S145" s="101">
        <f t="shared" si="58"/>
        <v>1.0428172842154726</v>
      </c>
      <c r="T145" s="101">
        <f t="shared" si="59"/>
        <v>-1.0107976921560637</v>
      </c>
      <c r="U145" s="101">
        <f t="shared" si="60"/>
        <v>-0.63796179884427828</v>
      </c>
      <c r="V145" s="101">
        <f t="shared" si="61"/>
        <v>0.1708306781605344</v>
      </c>
      <c r="W145" s="101">
        <f t="shared" si="62"/>
        <v>1.2689383278580735</v>
      </c>
      <c r="X145" s="101">
        <f t="shared" si="63"/>
        <v>0.44105193260702835</v>
      </c>
      <c r="Y145" s="101">
        <f t="shared" si="64"/>
        <v>0.8139802953030626</v>
      </c>
      <c r="Z145" s="101">
        <f t="shared" si="65"/>
        <v>-0.51510670190036545</v>
      </c>
      <c r="AQ145" s="101">
        <v>1.7264651960533715</v>
      </c>
      <c r="AR145" s="101">
        <v>-0.20223630924492919</v>
      </c>
      <c r="AS145" s="101">
        <v>-1.4771712184918342</v>
      </c>
      <c r="AT145" s="101">
        <v>1.0836592720010336</v>
      </c>
      <c r="AU145" s="101">
        <v>0.78750876808284709</v>
      </c>
      <c r="AV145" s="101">
        <v>0.48923562896070916</v>
      </c>
      <c r="AW145" s="101">
        <v>0.25490173307845493</v>
      </c>
      <c r="AX145" s="101">
        <v>0.78315294501845467</v>
      </c>
      <c r="AY145" s="101">
        <v>0.49109445625557735</v>
      </c>
      <c r="AZ145" s="101">
        <v>7.7535530829367663E-2</v>
      </c>
      <c r="BA145" s="101">
        <v>0.13592137156157327</v>
      </c>
      <c r="BB145" s="101">
        <v>0.28378619966296348</v>
      </c>
    </row>
    <row r="146" spans="2:54">
      <c r="B146">
        <v>0.29089999999999999</v>
      </c>
      <c r="C146">
        <v>21.89</v>
      </c>
      <c r="D146">
        <v>0.624</v>
      </c>
      <c r="E146">
        <v>6.1740000000000004</v>
      </c>
      <c r="F146">
        <v>93.6</v>
      </c>
      <c r="G146">
        <v>1.6119000000000001</v>
      </c>
      <c r="H146">
        <v>4</v>
      </c>
      <c r="I146">
        <v>437</v>
      </c>
      <c r="J146">
        <v>21.2</v>
      </c>
      <c r="K146">
        <v>388.08</v>
      </c>
      <c r="L146">
        <v>24.16</v>
      </c>
      <c r="M146">
        <v>14</v>
      </c>
      <c r="O146" s="101">
        <f t="shared" si="54"/>
        <v>-0.38666444410991052</v>
      </c>
      <c r="P146" s="101">
        <f t="shared" si="55"/>
        <v>1.5689954911872002</v>
      </c>
      <c r="Q146" s="101">
        <f t="shared" si="56"/>
        <v>0.59867895286045403</v>
      </c>
      <c r="R146" s="101">
        <f t="shared" si="57"/>
        <v>-0.15761623981626494</v>
      </c>
      <c r="S146" s="101">
        <f t="shared" si="58"/>
        <v>0.88990682513968777</v>
      </c>
      <c r="T146" s="101">
        <f t="shared" si="59"/>
        <v>-1.0377986592369142</v>
      </c>
      <c r="U146" s="101">
        <f t="shared" si="60"/>
        <v>-0.63796179884427828</v>
      </c>
      <c r="V146" s="101">
        <f t="shared" si="61"/>
        <v>0.1708306781605344</v>
      </c>
      <c r="W146" s="101">
        <f t="shared" si="62"/>
        <v>1.2689383278580735</v>
      </c>
      <c r="X146" s="101">
        <f t="shared" si="63"/>
        <v>0.34434629189008448</v>
      </c>
      <c r="Y146" s="101">
        <f t="shared" si="64"/>
        <v>1.6129708605303852</v>
      </c>
      <c r="Z146" s="101">
        <f t="shared" si="65"/>
        <v>-0.9286891164711093</v>
      </c>
      <c r="AQ146" s="101">
        <v>2.066470876076127</v>
      </c>
      <c r="AR146" s="101">
        <v>-0.60464302225353461</v>
      </c>
      <c r="AS146" s="101">
        <v>-1.5754392462807827</v>
      </c>
      <c r="AT146" s="101">
        <v>0.80113147921739714</v>
      </c>
      <c r="AU146" s="101">
        <v>0.77491398366911268</v>
      </c>
      <c r="AV146" s="101">
        <v>0.56269026107114106</v>
      </c>
      <c r="AW146" s="101">
        <v>-0.10671102317528447</v>
      </c>
      <c r="AX146" s="101">
        <v>0.91714618671896708</v>
      </c>
      <c r="AY146" s="101">
        <v>0.85171627714075204</v>
      </c>
      <c r="AZ146" s="101">
        <v>-0.3621850342849926</v>
      </c>
      <c r="BA146" s="101">
        <v>0.1446457040989485</v>
      </c>
      <c r="BB146" s="101">
        <v>0.29270909512161714</v>
      </c>
    </row>
    <row r="147" spans="2:54">
      <c r="B147">
        <v>1.6286400000000001</v>
      </c>
      <c r="C147">
        <v>21.89</v>
      </c>
      <c r="D147">
        <v>0.624</v>
      </c>
      <c r="E147">
        <v>5.0190000000000001</v>
      </c>
      <c r="F147">
        <v>100</v>
      </c>
      <c r="G147">
        <v>1.4394</v>
      </c>
      <c r="H147">
        <v>4</v>
      </c>
      <c r="I147">
        <v>437</v>
      </c>
      <c r="J147">
        <v>21.2</v>
      </c>
      <c r="K147">
        <v>396.9</v>
      </c>
      <c r="L147">
        <v>34.409999999999997</v>
      </c>
      <c r="M147">
        <v>14.4</v>
      </c>
      <c r="O147" s="101">
        <f t="shared" si="54"/>
        <v>-0.23098731591847244</v>
      </c>
      <c r="P147" s="101">
        <f t="shared" si="55"/>
        <v>1.5689954911872002</v>
      </c>
      <c r="Q147" s="101">
        <f t="shared" si="56"/>
        <v>0.59867895286045403</v>
      </c>
      <c r="R147" s="101">
        <f t="shared" si="57"/>
        <v>-1.803097010717345</v>
      </c>
      <c r="S147" s="101">
        <f t="shared" si="58"/>
        <v>1.1174944851594601</v>
      </c>
      <c r="T147" s="101">
        <f t="shared" si="59"/>
        <v>-1.1197998356708345</v>
      </c>
      <c r="U147" s="101">
        <f t="shared" si="60"/>
        <v>-0.63796179884427828</v>
      </c>
      <c r="V147" s="101">
        <f t="shared" si="61"/>
        <v>0.1708306781605344</v>
      </c>
      <c r="W147" s="101">
        <f t="shared" si="62"/>
        <v>1.2689383278580735</v>
      </c>
      <c r="X147" s="101">
        <f t="shared" si="63"/>
        <v>0.44105193260702835</v>
      </c>
      <c r="Y147" s="101">
        <f t="shared" si="64"/>
        <v>3.0497521401058334</v>
      </c>
      <c r="Z147" s="101">
        <f t="shared" si="65"/>
        <v>-0.88515412546366257</v>
      </c>
      <c r="AQ147" s="101">
        <v>2.9729882298267598</v>
      </c>
      <c r="AR147" s="101">
        <v>-1.7751482567493158</v>
      </c>
      <c r="AS147" s="101">
        <v>-2.3326836788354357</v>
      </c>
      <c r="AT147" s="101">
        <v>0.43481427121611443</v>
      </c>
      <c r="AU147" s="101">
        <v>0.21559271655021697</v>
      </c>
      <c r="AV147" s="101">
        <v>0.46307104537051297</v>
      </c>
      <c r="AW147" s="101">
        <v>6.451132217039357E-3</v>
      </c>
      <c r="AX147" s="101">
        <v>-3.505247795232419E-2</v>
      </c>
      <c r="AY147" s="101">
        <v>1.5766432645864548</v>
      </c>
      <c r="AZ147" s="101">
        <v>-0.30532645971580274</v>
      </c>
      <c r="BA147" s="101">
        <v>0.57239266336764527</v>
      </c>
      <c r="BB147" s="101">
        <v>0.40457962279578874</v>
      </c>
    </row>
    <row r="148" spans="2:54">
      <c r="B148">
        <v>3.3210500000000001</v>
      </c>
      <c r="C148">
        <v>19.579999999999998</v>
      </c>
      <c r="D148">
        <v>0.871</v>
      </c>
      <c r="E148">
        <v>5.4029999999999996</v>
      </c>
      <c r="F148">
        <v>100</v>
      </c>
      <c r="G148">
        <v>1.3216000000000001</v>
      </c>
      <c r="H148">
        <v>5</v>
      </c>
      <c r="I148">
        <v>403</v>
      </c>
      <c r="J148">
        <v>14.7</v>
      </c>
      <c r="K148">
        <v>396.9</v>
      </c>
      <c r="L148">
        <v>26.82</v>
      </c>
      <c r="M148">
        <v>13.4</v>
      </c>
      <c r="O148" s="101">
        <f t="shared" si="54"/>
        <v>-3.4036093317315469E-2</v>
      </c>
      <c r="P148" s="101">
        <f t="shared" si="55"/>
        <v>1.231944902462234</v>
      </c>
      <c r="Q148" s="101">
        <f t="shared" si="56"/>
        <v>2.7323464784150127</v>
      </c>
      <c r="R148" s="101">
        <f t="shared" si="57"/>
        <v>-1.2560280790930907</v>
      </c>
      <c r="S148" s="101">
        <f t="shared" si="58"/>
        <v>1.1174944851594601</v>
      </c>
      <c r="T148" s="101">
        <f t="shared" si="59"/>
        <v>-1.1757983202152742</v>
      </c>
      <c r="U148" s="101">
        <f t="shared" si="60"/>
        <v>-0.52300144620353584</v>
      </c>
      <c r="V148" s="101">
        <f t="shared" si="61"/>
        <v>-3.1104940025107587E-2</v>
      </c>
      <c r="W148" s="101">
        <f t="shared" si="62"/>
        <v>-1.7364178760198252</v>
      </c>
      <c r="X148" s="101">
        <f t="shared" si="63"/>
        <v>0.44105193260702835</v>
      </c>
      <c r="Y148" s="101">
        <f t="shared" si="64"/>
        <v>1.9858331243031357</v>
      </c>
      <c r="Z148" s="101">
        <f t="shared" si="65"/>
        <v>-0.9939916029822794</v>
      </c>
      <c r="AQ148" s="101">
        <v>2.5444680450641624</v>
      </c>
      <c r="AR148" s="101">
        <v>0.24667093106506088</v>
      </c>
      <c r="AS148" s="101">
        <v>-3.1846014889264467</v>
      </c>
      <c r="AT148" s="101">
        <v>-1.3251958913811661</v>
      </c>
      <c r="AU148" s="101">
        <v>-1.1122610964479347</v>
      </c>
      <c r="AV148" s="101">
        <v>-0.80783504446684395</v>
      </c>
      <c r="AW148" s="101">
        <v>-0.32957121196125794</v>
      </c>
      <c r="AX148" s="101">
        <v>0.47991287596406607</v>
      </c>
      <c r="AY148" s="101">
        <v>-0.21658841528445111</v>
      </c>
      <c r="AZ148" s="101">
        <v>-0.57954964319292368</v>
      </c>
      <c r="BA148" s="101">
        <v>0.73755200870083304</v>
      </c>
      <c r="BB148" s="101">
        <v>0.14411273167944788</v>
      </c>
    </row>
    <row r="149" spans="2:54">
      <c r="B149">
        <v>4.0974000000000004</v>
      </c>
      <c r="C149">
        <v>19.579999999999998</v>
      </c>
      <c r="D149">
        <v>0.871</v>
      </c>
      <c r="E149">
        <v>5.468</v>
      </c>
      <c r="F149">
        <v>100</v>
      </c>
      <c r="G149">
        <v>1.4117999999999999</v>
      </c>
      <c r="H149">
        <v>5</v>
      </c>
      <c r="I149">
        <v>403</v>
      </c>
      <c r="J149">
        <v>14.7</v>
      </c>
      <c r="K149">
        <v>396.9</v>
      </c>
      <c r="L149">
        <v>26.42</v>
      </c>
      <c r="M149">
        <v>15.6</v>
      </c>
      <c r="O149" s="101">
        <f t="shared" si="54"/>
        <v>5.6310265819305254E-2</v>
      </c>
      <c r="P149" s="101">
        <f t="shared" si="55"/>
        <v>1.231944902462234</v>
      </c>
      <c r="Q149" s="101">
        <f t="shared" si="56"/>
        <v>2.7323464784150127</v>
      </c>
      <c r="R149" s="101">
        <f t="shared" si="57"/>
        <v>-1.1634252651462762</v>
      </c>
      <c r="S149" s="101">
        <f t="shared" si="58"/>
        <v>1.1174944851594601</v>
      </c>
      <c r="T149" s="101">
        <f t="shared" si="59"/>
        <v>-1.1329200239002619</v>
      </c>
      <c r="U149" s="101">
        <f t="shared" si="60"/>
        <v>-0.52300144620353584</v>
      </c>
      <c r="V149" s="101">
        <f t="shared" si="61"/>
        <v>-3.1104940025107587E-2</v>
      </c>
      <c r="W149" s="101">
        <f t="shared" si="62"/>
        <v>-1.7364178760198252</v>
      </c>
      <c r="X149" s="101">
        <f t="shared" si="63"/>
        <v>0.44105193260702835</v>
      </c>
      <c r="Y149" s="101">
        <f t="shared" si="64"/>
        <v>1.9297636109538501</v>
      </c>
      <c r="Z149" s="101">
        <f t="shared" si="65"/>
        <v>-0.75454915244132248</v>
      </c>
      <c r="AQ149" s="101">
        <v>2.4514795331935217</v>
      </c>
      <c r="AR149" s="101">
        <v>0.41948993312124699</v>
      </c>
      <c r="AS149" s="101">
        <v>-3.0898316125011411</v>
      </c>
      <c r="AT149" s="101">
        <v>-1.2895072194337389</v>
      </c>
      <c r="AU149" s="101">
        <v>-1.1563122342182102</v>
      </c>
      <c r="AV149" s="101">
        <v>-0.76763016804900286</v>
      </c>
      <c r="AW149" s="101">
        <v>-0.27752081399095679</v>
      </c>
      <c r="AX149" s="101">
        <v>0.44893023034959167</v>
      </c>
      <c r="AY149" s="101">
        <v>-0.15309131033619866</v>
      </c>
      <c r="AZ149" s="101">
        <v>-0.51408758606570915</v>
      </c>
      <c r="BA149" s="101">
        <v>0.85535598769526677</v>
      </c>
      <c r="BB149" s="101">
        <v>0.17349718499744599</v>
      </c>
    </row>
    <row r="150" spans="2:54">
      <c r="B150">
        <v>2.7797399999999999</v>
      </c>
      <c r="C150">
        <v>19.579999999999998</v>
      </c>
      <c r="D150">
        <v>0.871</v>
      </c>
      <c r="E150">
        <v>4.9029999999999996</v>
      </c>
      <c r="F150">
        <v>97.8</v>
      </c>
      <c r="G150">
        <v>1.3459000000000001</v>
      </c>
      <c r="H150">
        <v>5</v>
      </c>
      <c r="I150">
        <v>403</v>
      </c>
      <c r="J150">
        <v>14.7</v>
      </c>
      <c r="K150">
        <v>396.9</v>
      </c>
      <c r="L150">
        <v>29.29</v>
      </c>
      <c r="M150">
        <v>11.8</v>
      </c>
      <c r="O150" s="101">
        <f t="shared" si="54"/>
        <v>-9.7030087861328038E-2</v>
      </c>
      <c r="P150" s="101">
        <f t="shared" si="55"/>
        <v>1.231944902462234</v>
      </c>
      <c r="Q150" s="101">
        <f t="shared" si="56"/>
        <v>2.7323464784150127</v>
      </c>
      <c r="R150" s="101">
        <f t="shared" si="57"/>
        <v>-1.968357417145506</v>
      </c>
      <c r="S150" s="101">
        <f t="shared" si="58"/>
        <v>1.0392612270276633</v>
      </c>
      <c r="T150" s="101">
        <f t="shared" si="59"/>
        <v>-1.1642468501437131</v>
      </c>
      <c r="U150" s="101">
        <f t="shared" si="60"/>
        <v>-0.52300144620353584</v>
      </c>
      <c r="V150" s="101">
        <f t="shared" si="61"/>
        <v>-3.1104940025107587E-2</v>
      </c>
      <c r="W150" s="101">
        <f t="shared" si="62"/>
        <v>-1.7364178760198252</v>
      </c>
      <c r="X150" s="101">
        <f t="shared" si="63"/>
        <v>0.44105193260702835</v>
      </c>
      <c r="Y150" s="101">
        <f t="shared" si="64"/>
        <v>2.3320623692349756</v>
      </c>
      <c r="Z150" s="101">
        <f t="shared" si="65"/>
        <v>-1.1681315670120662</v>
      </c>
      <c r="AQ150" s="101">
        <v>2.8095512274082797</v>
      </c>
      <c r="AR150" s="101">
        <v>-0.34428890105364929</v>
      </c>
      <c r="AS150" s="101">
        <v>-3.4284599291822229</v>
      </c>
      <c r="AT150" s="101">
        <v>-1.4793163043265938</v>
      </c>
      <c r="AU150" s="101">
        <v>-1.2262803689154551</v>
      </c>
      <c r="AV150" s="101">
        <v>-1.0184399336628298</v>
      </c>
      <c r="AW150" s="101">
        <v>-0.21002041983893466</v>
      </c>
      <c r="AX150" s="101">
        <v>0.1936790888221096</v>
      </c>
      <c r="AY150" s="101">
        <v>-0.12426233408118659</v>
      </c>
      <c r="AZ150" s="101">
        <v>-0.59140306486903016</v>
      </c>
      <c r="BA150" s="101">
        <v>0.79104859708919828</v>
      </c>
      <c r="BB150" s="101">
        <v>0.14702608971398418</v>
      </c>
    </row>
    <row r="151" spans="2:54">
      <c r="B151">
        <v>2.37934</v>
      </c>
      <c r="C151">
        <v>19.579999999999998</v>
      </c>
      <c r="D151">
        <v>0.871</v>
      </c>
      <c r="E151">
        <v>6.13</v>
      </c>
      <c r="F151">
        <v>100</v>
      </c>
      <c r="G151">
        <v>1.4191</v>
      </c>
      <c r="H151">
        <v>5</v>
      </c>
      <c r="I151">
        <v>403</v>
      </c>
      <c r="J151">
        <v>14.7</v>
      </c>
      <c r="K151">
        <v>172.91</v>
      </c>
      <c r="L151">
        <v>27.8</v>
      </c>
      <c r="M151">
        <v>13.8</v>
      </c>
      <c r="O151" s="101">
        <f t="shared" si="54"/>
        <v>-0.1436259301982932</v>
      </c>
      <c r="P151" s="101">
        <f t="shared" si="55"/>
        <v>1.231944902462234</v>
      </c>
      <c r="Q151" s="101">
        <f t="shared" si="56"/>
        <v>2.7323464784150127</v>
      </c>
      <c r="R151" s="101">
        <f t="shared" si="57"/>
        <v>-0.22030122156487819</v>
      </c>
      <c r="S151" s="101">
        <f t="shared" si="58"/>
        <v>1.1174944851594601</v>
      </c>
      <c r="T151" s="101">
        <f t="shared" si="59"/>
        <v>-1.129449829187406</v>
      </c>
      <c r="U151" s="101">
        <f t="shared" si="60"/>
        <v>-0.52300144620353584</v>
      </c>
      <c r="V151" s="101">
        <f t="shared" si="61"/>
        <v>-3.1104940025107587E-2</v>
      </c>
      <c r="W151" s="101">
        <f t="shared" si="62"/>
        <v>-1.7364178760198252</v>
      </c>
      <c r="X151" s="101">
        <f t="shared" si="63"/>
        <v>-2.014854695985747</v>
      </c>
      <c r="Y151" s="101">
        <f t="shared" si="64"/>
        <v>2.1232034320088862</v>
      </c>
      <c r="Z151" s="101">
        <f t="shared" si="65"/>
        <v>-0.95045661197483255</v>
      </c>
      <c r="AQ151" s="101">
        <v>2.8310012281073833</v>
      </c>
      <c r="AR151" s="101">
        <v>0.98327170569346456</v>
      </c>
      <c r="AS151" s="101">
        <v>-2.1495911616635786</v>
      </c>
      <c r="AT151" s="101">
        <v>-2.9195676722703703</v>
      </c>
      <c r="AU151" s="101">
        <v>0.49645554557701066</v>
      </c>
      <c r="AV151" s="101">
        <v>-0.37304004686760639</v>
      </c>
      <c r="AW151" s="101">
        <v>-0.48484449505250793</v>
      </c>
      <c r="AX151" s="101">
        <v>0.67385908302989161</v>
      </c>
      <c r="AY151" s="101">
        <v>-1.0544502059695038E-4</v>
      </c>
      <c r="AZ151" s="101">
        <v>-0.67636440989187396</v>
      </c>
      <c r="BA151" s="101">
        <v>0.80230861345884197</v>
      </c>
      <c r="BB151" s="101">
        <v>0.18894065766755186</v>
      </c>
    </row>
    <row r="152" spans="2:54">
      <c r="B152">
        <v>2.1550500000000001</v>
      </c>
      <c r="C152">
        <v>19.579999999999998</v>
      </c>
      <c r="D152">
        <v>0.871</v>
      </c>
      <c r="E152">
        <v>5.6280000000000001</v>
      </c>
      <c r="F152">
        <v>100</v>
      </c>
      <c r="G152">
        <v>1.5165999999999999</v>
      </c>
      <c r="H152">
        <v>5</v>
      </c>
      <c r="I152">
        <v>403</v>
      </c>
      <c r="J152">
        <v>14.7</v>
      </c>
      <c r="K152">
        <v>169.27</v>
      </c>
      <c r="L152">
        <v>16.649999999999999</v>
      </c>
      <c r="M152">
        <v>15.6</v>
      </c>
      <c r="O152" s="101">
        <f t="shared" si="54"/>
        <v>-0.16972728254034594</v>
      </c>
      <c r="P152" s="101">
        <f t="shared" si="55"/>
        <v>1.231944902462234</v>
      </c>
      <c r="Q152" s="101">
        <f t="shared" si="56"/>
        <v>2.7323464784150127</v>
      </c>
      <c r="R152" s="101">
        <f t="shared" si="57"/>
        <v>-0.93547987696950297</v>
      </c>
      <c r="S152" s="101">
        <f t="shared" si="58"/>
        <v>1.1174944851594601</v>
      </c>
      <c r="T152" s="101">
        <f t="shared" si="59"/>
        <v>-1.083101338159538</v>
      </c>
      <c r="U152" s="101">
        <f t="shared" si="60"/>
        <v>-0.52300144620353584</v>
      </c>
      <c r="V152" s="101">
        <f t="shared" si="61"/>
        <v>-3.1104940025107587E-2</v>
      </c>
      <c r="W152" s="101">
        <f t="shared" si="62"/>
        <v>-1.7364178760198252</v>
      </c>
      <c r="X152" s="101">
        <f t="shared" si="63"/>
        <v>-2.0547649604086127</v>
      </c>
      <c r="Y152" s="101">
        <f t="shared" si="64"/>
        <v>0.56026574739754398</v>
      </c>
      <c r="Z152" s="101">
        <f t="shared" si="65"/>
        <v>-0.75454915244132248</v>
      </c>
      <c r="AQ152" s="101">
        <v>2.4094131807886279</v>
      </c>
      <c r="AR152" s="101">
        <v>1.0573630607432745</v>
      </c>
      <c r="AS152" s="101">
        <v>-1.9991484904216874</v>
      </c>
      <c r="AT152" s="101">
        <v>-2.6716013447488152</v>
      </c>
      <c r="AU152" s="101">
        <v>0.5947244350955363</v>
      </c>
      <c r="AV152" s="101">
        <v>-0.81962005212360234</v>
      </c>
      <c r="AW152" s="101">
        <v>0.45913870352789349</v>
      </c>
      <c r="AX152" s="101">
        <v>0.38788366272012914</v>
      </c>
      <c r="AY152" s="101">
        <v>-0.96269545398659218</v>
      </c>
      <c r="AZ152" s="101">
        <v>6.9949392809945027E-2</v>
      </c>
      <c r="BA152" s="101">
        <v>0.56349164437105981</v>
      </c>
      <c r="BB152" s="101">
        <v>0.10446359188866296</v>
      </c>
    </row>
    <row r="153" spans="2:54">
      <c r="B153">
        <v>2.3686199999999999</v>
      </c>
      <c r="C153">
        <v>19.579999999999998</v>
      </c>
      <c r="D153">
        <v>0.871</v>
      </c>
      <c r="E153">
        <v>4.9260000000000002</v>
      </c>
      <c r="F153">
        <v>95.7</v>
      </c>
      <c r="G153">
        <v>1.4608000000000001</v>
      </c>
      <c r="H153">
        <v>5</v>
      </c>
      <c r="I153">
        <v>403</v>
      </c>
      <c r="J153">
        <v>14.7</v>
      </c>
      <c r="K153">
        <v>391.71</v>
      </c>
      <c r="L153">
        <v>29.53</v>
      </c>
      <c r="M153">
        <v>14.6</v>
      </c>
      <c r="O153" s="101">
        <f t="shared" si="54"/>
        <v>-0.14487345125187032</v>
      </c>
      <c r="P153" s="101">
        <f t="shared" si="55"/>
        <v>1.231944902462234</v>
      </c>
      <c r="Q153" s="101">
        <f t="shared" si="56"/>
        <v>2.7323464784150127</v>
      </c>
      <c r="R153" s="101">
        <f t="shared" si="57"/>
        <v>-1.9355902675950942</v>
      </c>
      <c r="S153" s="101">
        <f t="shared" si="58"/>
        <v>0.96458402608367588</v>
      </c>
      <c r="T153" s="101">
        <f t="shared" si="59"/>
        <v>-1.1096269361016411</v>
      </c>
      <c r="U153" s="101">
        <f t="shared" si="60"/>
        <v>-0.52300144620353584</v>
      </c>
      <c r="V153" s="101">
        <f t="shared" si="61"/>
        <v>-3.1104940025107587E-2</v>
      </c>
      <c r="W153" s="101">
        <f t="shared" si="62"/>
        <v>-1.7364178760198252</v>
      </c>
      <c r="X153" s="101">
        <f t="shared" si="63"/>
        <v>0.3841469127293709</v>
      </c>
      <c r="Y153" s="101">
        <f t="shared" si="64"/>
        <v>2.3657040772445472</v>
      </c>
      <c r="Z153" s="101">
        <f t="shared" si="65"/>
        <v>-0.86338662995993931</v>
      </c>
      <c r="AQ153" s="101">
        <v>2.6903831078358391</v>
      </c>
      <c r="AR153" s="101">
        <v>-0.21690338488374111</v>
      </c>
      <c r="AS153" s="101">
        <v>-3.3665641643490218</v>
      </c>
      <c r="AT153" s="101">
        <v>-1.4814420657103229</v>
      </c>
      <c r="AU153" s="101">
        <v>-1.1761746305783847</v>
      </c>
      <c r="AV153" s="101">
        <v>-1.0767626904179157</v>
      </c>
      <c r="AW153" s="101">
        <v>-0.16530146033449838</v>
      </c>
      <c r="AX153" s="101">
        <v>8.5157355013393665E-2</v>
      </c>
      <c r="AY153" s="101">
        <v>2.8943925393309311E-2</v>
      </c>
      <c r="AZ153" s="101">
        <v>-0.57900617797044429</v>
      </c>
      <c r="BA153" s="101">
        <v>0.96430871943385243</v>
      </c>
      <c r="BB153" s="101">
        <v>0.18658122272156785</v>
      </c>
    </row>
    <row r="154" spans="2:54">
      <c r="B154">
        <v>2.3309899999999999</v>
      </c>
      <c r="C154">
        <v>19.579999999999998</v>
      </c>
      <c r="D154">
        <v>0.871</v>
      </c>
      <c r="E154">
        <v>5.1859999999999999</v>
      </c>
      <c r="F154">
        <v>93.8</v>
      </c>
      <c r="G154">
        <v>1.5296000000000001</v>
      </c>
      <c r="H154">
        <v>5</v>
      </c>
      <c r="I154">
        <v>403</v>
      </c>
      <c r="J154">
        <v>14.7</v>
      </c>
      <c r="K154">
        <v>356.99</v>
      </c>
      <c r="L154">
        <v>28.32</v>
      </c>
      <c r="M154">
        <v>17.8</v>
      </c>
      <c r="O154" s="101">
        <f t="shared" si="54"/>
        <v>-0.14925257599497721</v>
      </c>
      <c r="P154" s="101">
        <f t="shared" si="55"/>
        <v>1.231944902462234</v>
      </c>
      <c r="Q154" s="101">
        <f t="shared" si="56"/>
        <v>2.7323464784150127</v>
      </c>
      <c r="R154" s="101">
        <f t="shared" si="57"/>
        <v>-1.5651790118078384</v>
      </c>
      <c r="S154" s="101">
        <f t="shared" si="58"/>
        <v>0.89701893951530576</v>
      </c>
      <c r="T154" s="101">
        <f t="shared" si="59"/>
        <v>-1.0769215393558222</v>
      </c>
      <c r="U154" s="101">
        <f t="shared" si="60"/>
        <v>-0.52300144620353584</v>
      </c>
      <c r="V154" s="101">
        <f t="shared" si="61"/>
        <v>-3.1104940025107587E-2</v>
      </c>
      <c r="W154" s="101">
        <f t="shared" si="62"/>
        <v>-1.7364178760198252</v>
      </c>
      <c r="X154" s="101">
        <f t="shared" si="63"/>
        <v>3.4643905420361897E-3</v>
      </c>
      <c r="Y154" s="101">
        <f t="shared" si="64"/>
        <v>2.1960937993629575</v>
      </c>
      <c r="Z154" s="101">
        <f t="shared" si="65"/>
        <v>-0.51510670190036545</v>
      </c>
      <c r="AQ154" s="101">
        <v>2.5106044807789121</v>
      </c>
      <c r="AR154" s="101">
        <v>0.20631326844683001</v>
      </c>
      <c r="AS154" s="101">
        <v>-3.0627605780590108</v>
      </c>
      <c r="AT154" s="101">
        <v>-1.6313862604649987</v>
      </c>
      <c r="AU154" s="101">
        <v>-0.89273579948050452</v>
      </c>
      <c r="AV154" s="101">
        <v>-1.0185577472497935</v>
      </c>
      <c r="AW154" s="101">
        <v>-0.10084553304160571</v>
      </c>
      <c r="AX154" s="101">
        <v>0.10337925726632721</v>
      </c>
      <c r="AY154" s="101">
        <v>0.10518471521532846</v>
      </c>
      <c r="AZ154" s="101">
        <v>-0.55429330073663896</v>
      </c>
      <c r="BA154" s="101">
        <v>1.0891213504501829</v>
      </c>
      <c r="BB154" s="101">
        <v>0.22423699981412348</v>
      </c>
    </row>
    <row r="155" spans="2:54">
      <c r="B155">
        <v>2.7339699999999998</v>
      </c>
      <c r="C155">
        <v>19.579999999999998</v>
      </c>
      <c r="D155">
        <v>0.871</v>
      </c>
      <c r="E155">
        <v>5.5970000000000004</v>
      </c>
      <c r="F155">
        <v>94.9</v>
      </c>
      <c r="G155">
        <v>1.5257000000000001</v>
      </c>
      <c r="H155">
        <v>5</v>
      </c>
      <c r="I155">
        <v>403</v>
      </c>
      <c r="J155">
        <v>14.7</v>
      </c>
      <c r="K155">
        <v>351.85</v>
      </c>
      <c r="L155">
        <v>21.45</v>
      </c>
      <c r="M155">
        <v>15.4</v>
      </c>
      <c r="O155" s="101">
        <f t="shared" si="54"/>
        <v>-0.10235649071787874</v>
      </c>
      <c r="P155" s="101">
        <f t="shared" si="55"/>
        <v>1.231944902462234</v>
      </c>
      <c r="Q155" s="101">
        <f t="shared" si="56"/>
        <v>2.7323464784150127</v>
      </c>
      <c r="R155" s="101">
        <f t="shared" si="57"/>
        <v>-0.97964429592875235</v>
      </c>
      <c r="S155" s="101">
        <f t="shared" si="58"/>
        <v>0.93613556858120439</v>
      </c>
      <c r="T155" s="101">
        <f t="shared" si="59"/>
        <v>-1.078775478996937</v>
      </c>
      <c r="U155" s="101">
        <f t="shared" si="60"/>
        <v>-0.52300144620353584</v>
      </c>
      <c r="V155" s="101">
        <f t="shared" si="61"/>
        <v>-3.1104940025107587E-2</v>
      </c>
      <c r="W155" s="101">
        <f t="shared" si="62"/>
        <v>-1.7364178760198252</v>
      </c>
      <c r="X155" s="101">
        <f t="shared" si="63"/>
        <v>-5.2892411417724661E-2</v>
      </c>
      <c r="Y155" s="101">
        <f t="shared" si="64"/>
        <v>1.2330999075889737</v>
      </c>
      <c r="Z155" s="101">
        <f t="shared" si="65"/>
        <v>-0.77631664794504573</v>
      </c>
      <c r="AQ155" s="101">
        <v>2.1862283389598445</v>
      </c>
      <c r="AR155" s="101">
        <v>0.65728803334713115</v>
      </c>
      <c r="AS155" s="101">
        <v>-2.7251115900535385</v>
      </c>
      <c r="AT155" s="101">
        <v>-1.4657591776551926</v>
      </c>
      <c r="AU155" s="101">
        <v>-0.68052739128265538</v>
      </c>
      <c r="AV155" s="101">
        <v>-0.93131732476768891</v>
      </c>
      <c r="AW155" s="101">
        <v>-1.6177603052573764E-2</v>
      </c>
      <c r="AX155" s="101">
        <v>0.57474640232582574</v>
      </c>
      <c r="AY155" s="101">
        <v>-0.54784092033832099</v>
      </c>
      <c r="AZ155" s="101">
        <v>-0.39777780232221249</v>
      </c>
      <c r="BA155" s="101">
        <v>0.69851515268204833</v>
      </c>
      <c r="BB155" s="101">
        <v>0.12524893090708644</v>
      </c>
    </row>
    <row r="156" spans="2:54">
      <c r="B156">
        <v>1.6566000000000001</v>
      </c>
      <c r="C156">
        <v>19.579999999999998</v>
      </c>
      <c r="D156">
        <v>0.871</v>
      </c>
      <c r="E156">
        <v>6.1219999999999999</v>
      </c>
      <c r="F156">
        <v>97.3</v>
      </c>
      <c r="G156">
        <v>1.6180000000000001</v>
      </c>
      <c r="H156">
        <v>5</v>
      </c>
      <c r="I156">
        <v>403</v>
      </c>
      <c r="J156">
        <v>14.7</v>
      </c>
      <c r="K156">
        <v>372.8</v>
      </c>
      <c r="L156">
        <v>14.1</v>
      </c>
      <c r="M156">
        <v>21.5</v>
      </c>
      <c r="O156" s="101">
        <f t="shared" si="54"/>
        <v>-0.22773352033470234</v>
      </c>
      <c r="P156" s="101">
        <f t="shared" si="55"/>
        <v>1.231944902462234</v>
      </c>
      <c r="Q156" s="101">
        <f t="shared" si="56"/>
        <v>2.7323464784150127</v>
      </c>
      <c r="R156" s="101">
        <f t="shared" si="57"/>
        <v>-0.23169849097371686</v>
      </c>
      <c r="S156" s="101">
        <f t="shared" si="58"/>
        <v>1.0214809410886188</v>
      </c>
      <c r="T156" s="101">
        <f t="shared" si="59"/>
        <v>-1.0348989074905552</v>
      </c>
      <c r="U156" s="101">
        <f t="shared" si="60"/>
        <v>-0.52300144620353584</v>
      </c>
      <c r="V156" s="101">
        <f t="shared" si="61"/>
        <v>-3.1104940025107587E-2</v>
      </c>
      <c r="W156" s="101">
        <f t="shared" si="62"/>
        <v>-1.7364178760198252</v>
      </c>
      <c r="X156" s="101">
        <f t="shared" si="63"/>
        <v>0.17681089618091198</v>
      </c>
      <c r="Y156" s="101">
        <f t="shared" si="64"/>
        <v>0.20282259979584719</v>
      </c>
      <c r="Z156" s="101">
        <f t="shared" si="65"/>
        <v>-0.11240803508148337</v>
      </c>
      <c r="AQ156" s="101">
        <v>1.4470638598108734</v>
      </c>
      <c r="AR156" s="101">
        <v>1.6353954842498655</v>
      </c>
      <c r="AS156" s="101">
        <v>-2.4533492677928206</v>
      </c>
      <c r="AT156" s="101">
        <v>-0.92285783852869696</v>
      </c>
      <c r="AU156" s="101">
        <v>-0.50508204517809763</v>
      </c>
      <c r="AV156" s="101">
        <v>-0.93547181508085653</v>
      </c>
      <c r="AW156" s="101">
        <v>0.12250748587960751</v>
      </c>
      <c r="AX156" s="101">
        <v>0.72698403690193869</v>
      </c>
      <c r="AY156" s="101">
        <v>-0.86927943672569929</v>
      </c>
      <c r="AZ156" s="101">
        <v>-9.5861746720096591E-2</v>
      </c>
      <c r="BA156" s="101">
        <v>0.6969950468188526</v>
      </c>
      <c r="BB156" s="101">
        <v>0.12083902441968646</v>
      </c>
    </row>
    <row r="157" spans="2:54">
      <c r="B157">
        <v>1.4963200000000001</v>
      </c>
      <c r="C157">
        <v>19.579999999999998</v>
      </c>
      <c r="D157">
        <v>0.871</v>
      </c>
      <c r="E157">
        <v>5.4039999999999999</v>
      </c>
      <c r="F157">
        <v>100</v>
      </c>
      <c r="G157">
        <v>1.5915999999999999</v>
      </c>
      <c r="H157">
        <v>5</v>
      </c>
      <c r="I157">
        <v>403</v>
      </c>
      <c r="J157">
        <v>14.7</v>
      </c>
      <c r="K157">
        <v>341.6</v>
      </c>
      <c r="L157">
        <v>13.28</v>
      </c>
      <c r="M157">
        <v>19.600000000000001</v>
      </c>
      <c r="O157" s="101">
        <f t="shared" si="54"/>
        <v>-0.24638582205740156</v>
      </c>
      <c r="P157" s="101">
        <f t="shared" si="55"/>
        <v>1.231944902462234</v>
      </c>
      <c r="Q157" s="101">
        <f t="shared" si="56"/>
        <v>2.7323464784150127</v>
      </c>
      <c r="R157" s="101">
        <f t="shared" si="57"/>
        <v>-1.2546034204169854</v>
      </c>
      <c r="S157" s="101">
        <f t="shared" si="58"/>
        <v>1.1174944851594601</v>
      </c>
      <c r="T157" s="101">
        <f t="shared" si="59"/>
        <v>-1.0474486527534859</v>
      </c>
      <c r="U157" s="101">
        <f t="shared" si="60"/>
        <v>-0.52300144620353584</v>
      </c>
      <c r="V157" s="101">
        <f t="shared" si="61"/>
        <v>-3.1104940025107587E-2</v>
      </c>
      <c r="W157" s="101">
        <f t="shared" si="62"/>
        <v>-1.7364178760198252</v>
      </c>
      <c r="X157" s="101">
        <f t="shared" si="63"/>
        <v>-0.16527708458650875</v>
      </c>
      <c r="Y157" s="101">
        <f t="shared" si="64"/>
        <v>8.7880097429811274E-2</v>
      </c>
      <c r="Z157" s="101">
        <f t="shared" si="65"/>
        <v>-0.3191992423668551</v>
      </c>
      <c r="AQ157" s="101">
        <v>1.7790727040606062</v>
      </c>
      <c r="AR157" s="101">
        <v>1.0465082542820361</v>
      </c>
      <c r="AS157" s="101">
        <v>-2.624282086016307</v>
      </c>
      <c r="AT157" s="101">
        <v>-1.2457354979947615</v>
      </c>
      <c r="AU157" s="101">
        <v>-0.43606123297172372</v>
      </c>
      <c r="AV157" s="101">
        <v>-1.1748192608183055</v>
      </c>
      <c r="AW157" s="101">
        <v>0.56106122231391764</v>
      </c>
      <c r="AX157" s="101">
        <v>0.28108856604049615</v>
      </c>
      <c r="AY157" s="101">
        <v>-1.1269679981064877</v>
      </c>
      <c r="AZ157" s="101">
        <v>0.24031037327340707</v>
      </c>
      <c r="BA157" s="101">
        <v>0.62552956106851432</v>
      </c>
      <c r="BB157" s="101">
        <v>9.1763476718282694E-2</v>
      </c>
    </row>
    <row r="158" spans="2:54">
      <c r="B158">
        <v>1.1265799999999999</v>
      </c>
      <c r="C158">
        <v>19.579999999999998</v>
      </c>
      <c r="D158">
        <v>0.871</v>
      </c>
      <c r="E158">
        <v>5.0119999999999996</v>
      </c>
      <c r="F158">
        <v>88</v>
      </c>
      <c r="G158">
        <v>1.6102000000000001</v>
      </c>
      <c r="H158">
        <v>5</v>
      </c>
      <c r="I158">
        <v>403</v>
      </c>
      <c r="J158">
        <v>14.7</v>
      </c>
      <c r="K158">
        <v>343.28</v>
      </c>
      <c r="L158">
        <v>12.12</v>
      </c>
      <c r="M158">
        <v>15.3</v>
      </c>
      <c r="O158" s="101">
        <f t="shared" si="54"/>
        <v>-0.28941366108255018</v>
      </c>
      <c r="P158" s="101">
        <f t="shared" si="55"/>
        <v>1.231944902462234</v>
      </c>
      <c r="Q158" s="101">
        <f t="shared" si="56"/>
        <v>2.7323464784150127</v>
      </c>
      <c r="R158" s="101">
        <f t="shared" si="57"/>
        <v>-1.8130696214500797</v>
      </c>
      <c r="S158" s="101">
        <f t="shared" si="58"/>
        <v>0.69076762262238733</v>
      </c>
      <c r="T158" s="101">
        <f t="shared" si="59"/>
        <v>-1.0386067867727848</v>
      </c>
      <c r="U158" s="101">
        <f t="shared" si="60"/>
        <v>-0.52300144620353584</v>
      </c>
      <c r="V158" s="101">
        <f t="shared" si="61"/>
        <v>-3.1104940025107587E-2</v>
      </c>
      <c r="W158" s="101">
        <f t="shared" si="62"/>
        <v>-1.7364178760198252</v>
      </c>
      <c r="X158" s="101">
        <f t="shared" si="63"/>
        <v>-0.14685696254518665</v>
      </c>
      <c r="Y158" s="101">
        <f t="shared" si="64"/>
        <v>-7.4721491283117572E-2</v>
      </c>
      <c r="Z158" s="101">
        <f t="shared" si="65"/>
        <v>-0.78720039569690736</v>
      </c>
      <c r="AQ158" s="101">
        <v>1.8269262848781391</v>
      </c>
      <c r="AR158" s="101">
        <v>0.44530519739977892</v>
      </c>
      <c r="AS158" s="101">
        <v>-2.621561960281086</v>
      </c>
      <c r="AT158" s="101">
        <v>-1.3344346969706908</v>
      </c>
      <c r="AU158" s="101">
        <v>-0.50815314369740261</v>
      </c>
      <c r="AV158" s="101">
        <v>-1.5363913865653995</v>
      </c>
      <c r="AW158" s="101">
        <v>0.87197804241968635</v>
      </c>
      <c r="AX158" s="101">
        <v>0.31312176542982517</v>
      </c>
      <c r="AY158" s="101">
        <v>-1.4058665377044559</v>
      </c>
      <c r="AZ158" s="101">
        <v>9.6209790517370053E-2</v>
      </c>
      <c r="BA158" s="101">
        <v>0.43997893647949565</v>
      </c>
      <c r="BB158" s="101">
        <v>3.2619013825655421E-2</v>
      </c>
    </row>
    <row r="159" spans="2:54">
      <c r="B159">
        <v>2.1491799999999999</v>
      </c>
      <c r="C159">
        <v>19.579999999999998</v>
      </c>
      <c r="D159">
        <v>0.871</v>
      </c>
      <c r="E159">
        <v>5.7089999999999996</v>
      </c>
      <c r="F159">
        <v>98.5</v>
      </c>
      <c r="G159">
        <v>1.6232</v>
      </c>
      <c r="H159">
        <v>5</v>
      </c>
      <c r="I159">
        <v>403</v>
      </c>
      <c r="J159">
        <v>14.7</v>
      </c>
      <c r="K159">
        <v>261.95</v>
      </c>
      <c r="L159">
        <v>15.79</v>
      </c>
      <c r="M159">
        <v>19.399999999999999</v>
      </c>
      <c r="O159" s="101">
        <f t="shared" si="54"/>
        <v>-0.17041039341576553</v>
      </c>
      <c r="P159" s="101">
        <f t="shared" si="55"/>
        <v>1.231944902462234</v>
      </c>
      <c r="Q159" s="101">
        <f t="shared" si="56"/>
        <v>2.7323464784150127</v>
      </c>
      <c r="R159" s="101">
        <f t="shared" si="57"/>
        <v>-0.82008252420501238</v>
      </c>
      <c r="S159" s="101">
        <f t="shared" si="58"/>
        <v>1.064153627342326</v>
      </c>
      <c r="T159" s="101">
        <f t="shared" si="59"/>
        <v>-1.0324269879690691</v>
      </c>
      <c r="U159" s="101">
        <f t="shared" si="60"/>
        <v>-0.52300144620353584</v>
      </c>
      <c r="V159" s="101">
        <f t="shared" si="61"/>
        <v>-3.1104940025107587E-2</v>
      </c>
      <c r="W159" s="101">
        <f t="shared" si="62"/>
        <v>-1.7364178760198252</v>
      </c>
      <c r="X159" s="101">
        <f t="shared" si="63"/>
        <v>-1.038588227795646</v>
      </c>
      <c r="Y159" s="101">
        <f t="shared" si="64"/>
        <v>0.43971629369657961</v>
      </c>
      <c r="Z159" s="101">
        <f t="shared" si="65"/>
        <v>-0.3409667378705788</v>
      </c>
      <c r="AQ159" s="101">
        <v>1.9892648601064018</v>
      </c>
      <c r="AR159" s="101">
        <v>1.2453632842876612</v>
      </c>
      <c r="AS159" s="101">
        <v>-2.2358366481881147</v>
      </c>
      <c r="AT159" s="101">
        <v>-1.8923358834529611</v>
      </c>
      <c r="AU159" s="101">
        <v>3.5551486379593891E-2</v>
      </c>
      <c r="AV159" s="101">
        <v>-0.9284291225995287</v>
      </c>
      <c r="AW159" s="101">
        <v>0.4033008726705164</v>
      </c>
      <c r="AX159" s="101">
        <v>0.40062236952516939</v>
      </c>
      <c r="AY159" s="101">
        <v>-0.86604195696456088</v>
      </c>
      <c r="AZ159" s="101">
        <v>6.3197214997311207E-2</v>
      </c>
      <c r="BA159" s="101">
        <v>0.71800435902507953</v>
      </c>
      <c r="BB159" s="101">
        <v>0.13143844087457879</v>
      </c>
    </row>
    <row r="160" spans="2:54">
      <c r="B160">
        <v>1.4138500000000001</v>
      </c>
      <c r="C160">
        <v>19.579999999999998</v>
      </c>
      <c r="D160">
        <v>0.871</v>
      </c>
      <c r="E160">
        <v>6.1289999999999996</v>
      </c>
      <c r="F160">
        <v>96</v>
      </c>
      <c r="G160">
        <v>1.7494000000000001</v>
      </c>
      <c r="H160">
        <v>5</v>
      </c>
      <c r="I160">
        <v>403</v>
      </c>
      <c r="J160">
        <v>14.7</v>
      </c>
      <c r="K160">
        <v>321.02</v>
      </c>
      <c r="L160">
        <v>15.12</v>
      </c>
      <c r="M160">
        <v>17</v>
      </c>
      <c r="O160" s="101">
        <f t="shared" si="54"/>
        <v>-0.25598312255073208</v>
      </c>
      <c r="P160" s="101">
        <f t="shared" si="55"/>
        <v>1.231944902462234</v>
      </c>
      <c r="Q160" s="101">
        <f t="shared" si="56"/>
        <v>2.7323464784150127</v>
      </c>
      <c r="R160" s="101">
        <f t="shared" si="57"/>
        <v>-0.2217258802409835</v>
      </c>
      <c r="S160" s="101">
        <f t="shared" si="58"/>
        <v>0.97525219764710258</v>
      </c>
      <c r="T160" s="101">
        <f t="shared" si="59"/>
        <v>-0.97243540265915163</v>
      </c>
      <c r="U160" s="101">
        <f t="shared" si="60"/>
        <v>-0.52300144620353584</v>
      </c>
      <c r="V160" s="101">
        <f t="shared" si="61"/>
        <v>-3.1104940025107587E-2</v>
      </c>
      <c r="W160" s="101">
        <f t="shared" si="62"/>
        <v>-1.7364178760198252</v>
      </c>
      <c r="X160" s="101">
        <f t="shared" si="63"/>
        <v>-0.39092357959271185</v>
      </c>
      <c r="Y160" s="101">
        <f t="shared" si="64"/>
        <v>0.34579985883652592</v>
      </c>
      <c r="Z160" s="101">
        <f t="shared" si="65"/>
        <v>-0.60217668391525891</v>
      </c>
      <c r="AQ160" s="101">
        <v>1.7051096081370929</v>
      </c>
      <c r="AR160" s="101">
        <v>1.3766288989124704</v>
      </c>
      <c r="AS160" s="101">
        <v>-2.2866543270917159</v>
      </c>
      <c r="AT160" s="101">
        <v>-1.4119947083640731</v>
      </c>
      <c r="AU160" s="101">
        <v>-0.17630497025214628</v>
      </c>
      <c r="AV160" s="101">
        <v>-0.89319915994044019</v>
      </c>
      <c r="AW160" s="101">
        <v>9.6487249200307434E-3</v>
      </c>
      <c r="AX160" s="101">
        <v>0.89047808021341934</v>
      </c>
      <c r="AY160" s="101">
        <v>-0.96363766256162375</v>
      </c>
      <c r="AZ160" s="101">
        <v>-0.18356781163359909</v>
      </c>
      <c r="BA160" s="101">
        <v>0.55164035466026728</v>
      </c>
      <c r="BB160" s="101">
        <v>7.7110934178958063E-2</v>
      </c>
    </row>
    <row r="161" spans="2:54">
      <c r="B161">
        <v>3.5350100000000002</v>
      </c>
      <c r="C161">
        <v>19.579999999999998</v>
      </c>
      <c r="D161">
        <v>0.871</v>
      </c>
      <c r="E161">
        <v>6.1520000000000001</v>
      </c>
      <c r="F161">
        <v>82.6</v>
      </c>
      <c r="G161">
        <v>1.7455000000000001</v>
      </c>
      <c r="H161">
        <v>5</v>
      </c>
      <c r="I161">
        <v>403</v>
      </c>
      <c r="J161">
        <v>14.7</v>
      </c>
      <c r="K161">
        <v>88.01</v>
      </c>
      <c r="L161">
        <v>15.02</v>
      </c>
      <c r="M161">
        <v>15.6</v>
      </c>
      <c r="O161" s="101">
        <f t="shared" si="54"/>
        <v>-9.1368764681219634E-3</v>
      </c>
      <c r="P161" s="101">
        <f t="shared" si="55"/>
        <v>1.231944902462234</v>
      </c>
      <c r="Q161" s="101">
        <f t="shared" si="56"/>
        <v>2.7323464784150127</v>
      </c>
      <c r="R161" s="101">
        <f t="shared" si="57"/>
        <v>-0.18895873069057156</v>
      </c>
      <c r="S161" s="101">
        <f t="shared" si="58"/>
        <v>0.49874053448070432</v>
      </c>
      <c r="T161" s="101">
        <f t="shared" si="59"/>
        <v>-0.97428934230026643</v>
      </c>
      <c r="U161" s="101">
        <f t="shared" si="60"/>
        <v>-0.52300144620353584</v>
      </c>
      <c r="V161" s="101">
        <f t="shared" si="61"/>
        <v>-3.1104940025107587E-2</v>
      </c>
      <c r="W161" s="101">
        <f t="shared" si="62"/>
        <v>-1.7364178760198252</v>
      </c>
      <c r="X161" s="101">
        <f t="shared" si="63"/>
        <v>-2.9457287205740172</v>
      </c>
      <c r="Y161" s="101">
        <f t="shared" si="64"/>
        <v>0.3317824804992045</v>
      </c>
      <c r="Z161" s="101">
        <f t="shared" si="65"/>
        <v>-0.75454915244132248</v>
      </c>
      <c r="AQ161" s="101">
        <v>2.1897858842508042</v>
      </c>
      <c r="AR161" s="101">
        <v>1.4319723819937809</v>
      </c>
      <c r="AS161" s="101">
        <v>-1.1492348406196613</v>
      </c>
      <c r="AT161" s="101">
        <v>-3.2352575899102685</v>
      </c>
      <c r="AU161" s="101">
        <v>1.094230022633832</v>
      </c>
      <c r="AV161" s="101">
        <v>-0.78046319865677904</v>
      </c>
      <c r="AW161" s="101">
        <v>0.59290974133684626</v>
      </c>
      <c r="AX161" s="101">
        <v>0.83900747087197103</v>
      </c>
      <c r="AY161" s="101">
        <v>-0.95511947208670667</v>
      </c>
      <c r="AZ161" s="101">
        <v>-0.27750836895090569</v>
      </c>
      <c r="BA161" s="101">
        <v>0.60307593659830683</v>
      </c>
      <c r="BB161" s="101">
        <v>0.12377886544302853</v>
      </c>
    </row>
    <row r="162" spans="2:54">
      <c r="B162">
        <v>2.4466800000000002</v>
      </c>
      <c r="C162">
        <v>19.579999999999998</v>
      </c>
      <c r="D162">
        <v>0.871</v>
      </c>
      <c r="E162">
        <v>5.2720000000000002</v>
      </c>
      <c r="F162">
        <v>94</v>
      </c>
      <c r="G162">
        <v>1.7363999999999999</v>
      </c>
      <c r="H162">
        <v>5</v>
      </c>
      <c r="I162">
        <v>403</v>
      </c>
      <c r="J162">
        <v>14.7</v>
      </c>
      <c r="K162">
        <v>88.63</v>
      </c>
      <c r="L162">
        <v>16.14</v>
      </c>
      <c r="M162">
        <v>13.1</v>
      </c>
      <c r="O162" s="101">
        <f t="shared" si="54"/>
        <v>-0.13578935671434905</v>
      </c>
      <c r="P162" s="101">
        <f t="shared" si="55"/>
        <v>1.231944902462234</v>
      </c>
      <c r="Q162" s="101">
        <f t="shared" si="56"/>
        <v>2.7323464784150127</v>
      </c>
      <c r="R162" s="101">
        <f t="shared" si="57"/>
        <v>-1.4426583656628227</v>
      </c>
      <c r="S162" s="101">
        <f t="shared" si="58"/>
        <v>0.90413105389092374</v>
      </c>
      <c r="T162" s="101">
        <f t="shared" si="59"/>
        <v>-0.97861520146286751</v>
      </c>
      <c r="U162" s="101">
        <f t="shared" si="60"/>
        <v>-0.52300144620353584</v>
      </c>
      <c r="V162" s="101">
        <f t="shared" si="61"/>
        <v>-3.1104940025107587E-2</v>
      </c>
      <c r="W162" s="101">
        <f t="shared" si="62"/>
        <v>-1.7364178760198252</v>
      </c>
      <c r="X162" s="101">
        <f t="shared" si="63"/>
        <v>-2.9389308183921008</v>
      </c>
      <c r="Y162" s="101">
        <f t="shared" si="64"/>
        <v>0.4887771178772049</v>
      </c>
      <c r="Z162" s="101">
        <f t="shared" si="65"/>
        <v>-1.0266428462378645</v>
      </c>
      <c r="AQ162" s="101">
        <v>2.6652820967760062</v>
      </c>
      <c r="AR162" s="101">
        <v>0.64881571847761332</v>
      </c>
      <c r="AS162" s="101">
        <v>-1.7024819247846956</v>
      </c>
      <c r="AT162" s="101">
        <v>-3.3723573706346146</v>
      </c>
      <c r="AU162" s="101">
        <v>0.98829661074735864</v>
      </c>
      <c r="AV162" s="101">
        <v>-0.99116503031090553</v>
      </c>
      <c r="AW162" s="101">
        <v>0.80709049159449886</v>
      </c>
      <c r="AX162" s="101">
        <v>0.24820622309713686</v>
      </c>
      <c r="AY162" s="101">
        <v>-1.1320592947630455</v>
      </c>
      <c r="AZ162" s="101">
        <v>0.16908630610012942</v>
      </c>
      <c r="BA162" s="101">
        <v>0.54079470864935431</v>
      </c>
      <c r="BB162" s="101">
        <v>8.619549004622562E-2</v>
      </c>
    </row>
    <row r="163" spans="2:54">
      <c r="B163">
        <v>1.2235799999999999</v>
      </c>
      <c r="C163">
        <v>19.579999999999998</v>
      </c>
      <c r="D163">
        <v>0.60499999999999998</v>
      </c>
      <c r="E163">
        <v>6.9429999999999996</v>
      </c>
      <c r="F163">
        <v>97.4</v>
      </c>
      <c r="G163">
        <v>1.8773</v>
      </c>
      <c r="H163">
        <v>5</v>
      </c>
      <c r="I163">
        <v>403</v>
      </c>
      <c r="J163">
        <v>14.7</v>
      </c>
      <c r="K163">
        <v>363.43</v>
      </c>
      <c r="L163">
        <v>4.59</v>
      </c>
      <c r="M163">
        <v>41.3</v>
      </c>
      <c r="O163" s="101">
        <f t="shared" si="54"/>
        <v>-0.27812545751939932</v>
      </c>
      <c r="P163" s="101">
        <f t="shared" si="55"/>
        <v>1.231944902462234</v>
      </c>
      <c r="Q163" s="101">
        <f t="shared" si="56"/>
        <v>0.43455068166394939</v>
      </c>
      <c r="R163" s="101">
        <f t="shared" si="57"/>
        <v>0.93794628210834896</v>
      </c>
      <c r="S163" s="101">
        <f t="shared" si="58"/>
        <v>1.025036998276428</v>
      </c>
      <c r="T163" s="101">
        <f t="shared" si="59"/>
        <v>-0.91163568981336374</v>
      </c>
      <c r="U163" s="101">
        <f t="shared" si="60"/>
        <v>-0.52300144620353584</v>
      </c>
      <c r="V163" s="101">
        <f t="shared" si="61"/>
        <v>-3.1104940025107587E-2</v>
      </c>
      <c r="W163" s="101">
        <f t="shared" si="62"/>
        <v>-1.7364178760198252</v>
      </c>
      <c r="X163" s="101">
        <f t="shared" si="63"/>
        <v>7.4074858367106367E-2</v>
      </c>
      <c r="Y163" s="101">
        <f t="shared" si="64"/>
        <v>-1.1302300800834226</v>
      </c>
      <c r="Z163" s="101">
        <f t="shared" si="65"/>
        <v>2.0425740197871289</v>
      </c>
      <c r="AQ163" s="101">
        <v>-0.61399079354744324</v>
      </c>
      <c r="AR163" s="101">
        <v>3.0589041235568191</v>
      </c>
      <c r="AS163" s="101">
        <v>-1.2067667356891563</v>
      </c>
      <c r="AT163" s="101">
        <v>-0.16749847701176312</v>
      </c>
      <c r="AU163" s="101">
        <v>-6.5545332318987237E-2</v>
      </c>
      <c r="AV163" s="101">
        <v>-0.44522116018518348</v>
      </c>
      <c r="AW163" s="101">
        <v>0.72603008181925244</v>
      </c>
      <c r="AX163" s="101">
        <v>0.17965897727725433</v>
      </c>
      <c r="AY163" s="101">
        <v>0.43991089796148691</v>
      </c>
      <c r="AZ163" s="101">
        <v>1.0526083193816103</v>
      </c>
      <c r="BA163" s="101">
        <v>-5.5193590725417296E-2</v>
      </c>
      <c r="BB163" s="101">
        <v>7.3298699548252438E-2</v>
      </c>
    </row>
    <row r="164" spans="2:54">
      <c r="B164">
        <v>1.34284</v>
      </c>
      <c r="C164">
        <v>19.579999999999998</v>
      </c>
      <c r="D164">
        <v>0.60499999999999998</v>
      </c>
      <c r="E164">
        <v>6.0659999999999998</v>
      </c>
      <c r="F164">
        <v>100</v>
      </c>
      <c r="G164">
        <v>1.7573000000000001</v>
      </c>
      <c r="H164">
        <v>5</v>
      </c>
      <c r="I164">
        <v>403</v>
      </c>
      <c r="J164">
        <v>14.7</v>
      </c>
      <c r="K164">
        <v>353.89</v>
      </c>
      <c r="L164">
        <v>6.43</v>
      </c>
      <c r="M164">
        <v>24.3</v>
      </c>
      <c r="O164" s="101">
        <f t="shared" si="54"/>
        <v>-0.26424678579835414</v>
      </c>
      <c r="P164" s="101">
        <f t="shared" si="55"/>
        <v>1.231944902462234</v>
      </c>
      <c r="Q164" s="101">
        <f t="shared" si="56"/>
        <v>0.43455068166394939</v>
      </c>
      <c r="R164" s="101">
        <f t="shared" si="57"/>
        <v>-0.31147937683558746</v>
      </c>
      <c r="S164" s="101">
        <f t="shared" si="58"/>
        <v>1.1174944851594601</v>
      </c>
      <c r="T164" s="101">
        <f t="shared" si="59"/>
        <v>-0.96867998646304754</v>
      </c>
      <c r="U164" s="101">
        <f t="shared" si="60"/>
        <v>-0.52300144620353584</v>
      </c>
      <c r="V164" s="101">
        <f t="shared" si="61"/>
        <v>-3.1104940025107587E-2</v>
      </c>
      <c r="W164" s="101">
        <f t="shared" si="62"/>
        <v>-1.7364178760198252</v>
      </c>
      <c r="X164" s="101">
        <f t="shared" si="63"/>
        <v>-3.0525120367547544E-2</v>
      </c>
      <c r="Y164" s="101">
        <f t="shared" si="64"/>
        <v>-0.87231031867670794</v>
      </c>
      <c r="Z164" s="101">
        <f t="shared" si="65"/>
        <v>0.19233690197064374</v>
      </c>
      <c r="AQ164" s="101">
        <v>0.31051026640942109</v>
      </c>
      <c r="AR164" s="101">
        <v>1.4387633786635674</v>
      </c>
      <c r="AS164" s="101">
        <v>-1.671127756359523</v>
      </c>
      <c r="AT164" s="101">
        <v>-0.65524449796743811</v>
      </c>
      <c r="AU164" s="101">
        <v>-0.19540949677040192</v>
      </c>
      <c r="AV164" s="101">
        <v>-0.62030683448173751</v>
      </c>
      <c r="AW164" s="101">
        <v>0.70334274961326082</v>
      </c>
      <c r="AX164" s="101">
        <v>0.33202617133437462</v>
      </c>
      <c r="AY164" s="101">
        <v>-0.25276940361154898</v>
      </c>
      <c r="AZ164" s="101">
        <v>1.010663833967536</v>
      </c>
      <c r="BA164" s="101">
        <v>-0.79309401079079023</v>
      </c>
      <c r="BB164" s="101">
        <v>-0.13527397709249128</v>
      </c>
    </row>
    <row r="165" spans="2:54">
      <c r="B165">
        <v>1.42502</v>
      </c>
      <c r="C165">
        <v>19.579999999999998</v>
      </c>
      <c r="D165">
        <v>0.871</v>
      </c>
      <c r="E165">
        <v>6.51</v>
      </c>
      <c r="F165">
        <v>100</v>
      </c>
      <c r="G165">
        <v>1.7659</v>
      </c>
      <c r="H165">
        <v>5</v>
      </c>
      <c r="I165">
        <v>403</v>
      </c>
      <c r="J165">
        <v>14.7</v>
      </c>
      <c r="K165">
        <v>364.31</v>
      </c>
      <c r="L165">
        <v>7.39</v>
      </c>
      <c r="M165">
        <v>23.3</v>
      </c>
      <c r="O165" s="101">
        <f t="shared" si="54"/>
        <v>-0.25468323354248057</v>
      </c>
      <c r="P165" s="101">
        <f t="shared" si="55"/>
        <v>1.231944902462234</v>
      </c>
      <c r="Q165" s="101">
        <f t="shared" si="56"/>
        <v>2.7323464784150127</v>
      </c>
      <c r="R165" s="101">
        <f t="shared" si="57"/>
        <v>0.32106907535495738</v>
      </c>
      <c r="S165" s="101">
        <f t="shared" si="58"/>
        <v>1.1174944851594601</v>
      </c>
      <c r="T165" s="101">
        <f t="shared" si="59"/>
        <v>-0.96459181186982001</v>
      </c>
      <c r="U165" s="101">
        <f t="shared" si="60"/>
        <v>-0.52300144620353584</v>
      </c>
      <c r="V165" s="101">
        <f t="shared" si="61"/>
        <v>-3.1104940025107587E-2</v>
      </c>
      <c r="W165" s="101">
        <f t="shared" si="62"/>
        <v>-1.7364178760198252</v>
      </c>
      <c r="X165" s="101">
        <f t="shared" si="63"/>
        <v>8.372349372208486E-2</v>
      </c>
      <c r="Y165" s="101">
        <f t="shared" si="64"/>
        <v>-0.73774348663842204</v>
      </c>
      <c r="Z165" s="101">
        <f t="shared" si="65"/>
        <v>8.3499424452026946E-2</v>
      </c>
      <c r="AQ165" s="101">
        <v>0.99473702809322251</v>
      </c>
      <c r="AR165" s="101">
        <v>2.2758231060095642</v>
      </c>
      <c r="AS165" s="101">
        <v>-2.1190456804840196</v>
      </c>
      <c r="AT165" s="101">
        <v>-0.71856936736201571</v>
      </c>
      <c r="AU165" s="101">
        <v>-0.24191929071987645</v>
      </c>
      <c r="AV165" s="101">
        <v>-0.89501912948354445</v>
      </c>
      <c r="AW165" s="101">
        <v>0.25689480919361501</v>
      </c>
      <c r="AX165" s="101">
        <v>0.96922248369140651</v>
      </c>
      <c r="AY165" s="101">
        <v>-1.3401445642336287</v>
      </c>
      <c r="AZ165" s="101">
        <v>0.20224193144397135</v>
      </c>
      <c r="BA165" s="101">
        <v>0.5436543179900033</v>
      </c>
      <c r="BB165" s="101">
        <v>7.4083005146519942E-2</v>
      </c>
    </row>
    <row r="166" spans="2:54">
      <c r="B166">
        <v>1.27346</v>
      </c>
      <c r="C166">
        <v>19.579999999999998</v>
      </c>
      <c r="D166">
        <v>0.60499999999999998</v>
      </c>
      <c r="E166">
        <v>6.25</v>
      </c>
      <c r="F166">
        <v>92.6</v>
      </c>
      <c r="G166">
        <v>1.7984</v>
      </c>
      <c r="H166">
        <v>5</v>
      </c>
      <c r="I166">
        <v>403</v>
      </c>
      <c r="J166">
        <v>14.7</v>
      </c>
      <c r="K166">
        <v>338.92</v>
      </c>
      <c r="L166">
        <v>5.5</v>
      </c>
      <c r="M166">
        <v>27</v>
      </c>
      <c r="O166" s="101">
        <f t="shared" si="54"/>
        <v>-0.27232076067682232</v>
      </c>
      <c r="P166" s="101">
        <f t="shared" si="55"/>
        <v>1.231944902462234</v>
      </c>
      <c r="Q166" s="101">
        <f t="shared" si="56"/>
        <v>0.43455068166394939</v>
      </c>
      <c r="R166" s="101">
        <f t="shared" si="57"/>
        <v>-4.9342180432298335E-2</v>
      </c>
      <c r="S166" s="101">
        <f t="shared" si="58"/>
        <v>0.85434625326159841</v>
      </c>
      <c r="T166" s="101">
        <f t="shared" si="59"/>
        <v>-0.9491423148605308</v>
      </c>
      <c r="U166" s="101">
        <f t="shared" si="60"/>
        <v>-0.52300144620353584</v>
      </c>
      <c r="V166" s="101">
        <f t="shared" si="61"/>
        <v>-3.1104940025107587E-2</v>
      </c>
      <c r="W166" s="101">
        <f t="shared" si="62"/>
        <v>-1.7364178760198252</v>
      </c>
      <c r="X166" s="101">
        <f t="shared" si="63"/>
        <v>-0.19466156498576165</v>
      </c>
      <c r="Y166" s="101">
        <f t="shared" si="64"/>
        <v>-1.0026719372137973</v>
      </c>
      <c r="Z166" s="101">
        <f t="shared" si="65"/>
        <v>0.48619809127090902</v>
      </c>
      <c r="AQ166" s="101">
        <v>8.0252277155455243E-2</v>
      </c>
      <c r="AR166" s="101">
        <v>1.7089824199397188</v>
      </c>
      <c r="AS166" s="101">
        <v>-1.4125808480186637</v>
      </c>
      <c r="AT166" s="101">
        <v>-0.69122654217042812</v>
      </c>
      <c r="AU166" s="101">
        <v>-6.5293873932830843E-2</v>
      </c>
      <c r="AV166" s="101">
        <v>-0.68189492550887842</v>
      </c>
      <c r="AW166" s="101">
        <v>0.82333637288028494</v>
      </c>
      <c r="AX166" s="101">
        <v>0.3761463664136917</v>
      </c>
      <c r="AY166" s="101">
        <v>-0.15806738372157531</v>
      </c>
      <c r="AZ166" s="101">
        <v>0.89900979498771172</v>
      </c>
      <c r="BA166" s="101">
        <v>-0.67175610466389979</v>
      </c>
      <c r="BB166" s="101">
        <v>-9.9292914988603653E-2</v>
      </c>
    </row>
    <row r="167" spans="2:54">
      <c r="B167">
        <v>1.46336</v>
      </c>
      <c r="C167">
        <v>19.579999999999998</v>
      </c>
      <c r="D167">
        <v>0.60499999999999998</v>
      </c>
      <c r="E167">
        <v>7.4889999999999999</v>
      </c>
      <c r="F167">
        <v>90.8</v>
      </c>
      <c r="G167">
        <v>1.9709000000000001</v>
      </c>
      <c r="H167">
        <v>5</v>
      </c>
      <c r="I167">
        <v>403</v>
      </c>
      <c r="J167">
        <v>14.7</v>
      </c>
      <c r="K167">
        <v>374.43</v>
      </c>
      <c r="L167">
        <v>1.73</v>
      </c>
      <c r="M167">
        <v>50</v>
      </c>
      <c r="O167" s="101">
        <f t="shared" si="54"/>
        <v>-0.25022148380422066</v>
      </c>
      <c r="P167" s="101">
        <f t="shared" si="55"/>
        <v>1.231944902462234</v>
      </c>
      <c r="Q167" s="101">
        <f t="shared" si="56"/>
        <v>0.43455068166394939</v>
      </c>
      <c r="R167" s="101">
        <f t="shared" si="57"/>
        <v>1.715809919261587</v>
      </c>
      <c r="S167" s="101">
        <f t="shared" si="58"/>
        <v>0.79033722388103755</v>
      </c>
      <c r="T167" s="101">
        <f t="shared" si="59"/>
        <v>-0.86714113842661034</v>
      </c>
      <c r="U167" s="101">
        <f t="shared" si="60"/>
        <v>-0.52300144620353584</v>
      </c>
      <c r="V167" s="101">
        <f t="shared" si="61"/>
        <v>-3.1104940025107587E-2</v>
      </c>
      <c r="W167" s="101">
        <f t="shared" si="62"/>
        <v>-1.7364178760198252</v>
      </c>
      <c r="X167" s="101">
        <f t="shared" si="63"/>
        <v>0.1946828003043381</v>
      </c>
      <c r="Y167" s="101">
        <f t="shared" si="64"/>
        <v>-1.531127100530816</v>
      </c>
      <c r="Z167" s="101">
        <f t="shared" si="65"/>
        <v>2.9894600741990951</v>
      </c>
      <c r="AQ167" s="101">
        <v>-1.2683021035000113</v>
      </c>
      <c r="AR167" s="101">
        <v>3.9810134284405181</v>
      </c>
      <c r="AS167" s="101">
        <v>-0.82011429394548008</v>
      </c>
      <c r="AT167" s="101">
        <v>0.17744087532979347</v>
      </c>
      <c r="AU167" s="101">
        <v>-2.0385530541393033E-2</v>
      </c>
      <c r="AV167" s="101">
        <v>-0.42381239464827647</v>
      </c>
      <c r="AW167" s="101">
        <v>0.84589871428145946</v>
      </c>
      <c r="AX167" s="101">
        <v>0.24364261023480194</v>
      </c>
      <c r="AY167" s="101">
        <v>0.66322101444862258</v>
      </c>
      <c r="AZ167" s="101">
        <v>1.0201073162234116</v>
      </c>
      <c r="BA167" s="101">
        <v>0.27238204758795503</v>
      </c>
      <c r="BB167" s="101">
        <v>0.1665206296612729</v>
      </c>
    </row>
    <row r="168" spans="2:54">
      <c r="B168">
        <v>1.8337699999999999</v>
      </c>
      <c r="C168">
        <v>19.579999999999998</v>
      </c>
      <c r="D168">
        <v>0.60499999999999998</v>
      </c>
      <c r="E168">
        <v>7.8019999999999996</v>
      </c>
      <c r="F168">
        <v>98.2</v>
      </c>
      <c r="G168">
        <v>2.0407000000000002</v>
      </c>
      <c r="H168">
        <v>5</v>
      </c>
      <c r="I168">
        <v>403</v>
      </c>
      <c r="J168">
        <v>14.7</v>
      </c>
      <c r="K168">
        <v>389.61</v>
      </c>
      <c r="L168">
        <v>1.92</v>
      </c>
      <c r="M168">
        <v>50</v>
      </c>
      <c r="O168" s="101">
        <f t="shared" si="54"/>
        <v>-0.20711567471322354</v>
      </c>
      <c r="P168" s="101">
        <f t="shared" si="55"/>
        <v>1.231944902462234</v>
      </c>
      <c r="Q168" s="101">
        <f t="shared" si="56"/>
        <v>0.43455068166394939</v>
      </c>
      <c r="R168" s="101">
        <f t="shared" si="57"/>
        <v>2.1617280848823985</v>
      </c>
      <c r="S168" s="101">
        <f t="shared" si="58"/>
        <v>1.0534854557788993</v>
      </c>
      <c r="T168" s="101">
        <f t="shared" si="59"/>
        <v>-0.83396037254204425</v>
      </c>
      <c r="U168" s="101">
        <f t="shared" si="60"/>
        <v>-0.52300144620353584</v>
      </c>
      <c r="V168" s="101">
        <f t="shared" si="61"/>
        <v>-3.1104940025107587E-2</v>
      </c>
      <c r="W168" s="101">
        <f t="shared" si="62"/>
        <v>-1.7364178760198252</v>
      </c>
      <c r="X168" s="101">
        <f t="shared" si="63"/>
        <v>0.36112176017771791</v>
      </c>
      <c r="Y168" s="101">
        <f t="shared" si="64"/>
        <v>-1.5044940816899053</v>
      </c>
      <c r="Z168" s="101">
        <f t="shared" si="65"/>
        <v>2.9894600741990951</v>
      </c>
      <c r="AQ168" s="101">
        <v>-1.3072351423707462</v>
      </c>
      <c r="AR168" s="101">
        <v>4.2577122584693594</v>
      </c>
      <c r="AS168" s="101">
        <v>-0.83969571662154796</v>
      </c>
      <c r="AT168" s="101">
        <v>0.33057133757074408</v>
      </c>
      <c r="AU168" s="101">
        <v>-5.9496743985752144E-2</v>
      </c>
      <c r="AV168" s="101">
        <v>-0.18214328954681938</v>
      </c>
      <c r="AW168" s="101">
        <v>0.53283219967528916</v>
      </c>
      <c r="AX168" s="101">
        <v>0.43426918484837529</v>
      </c>
      <c r="AY168" s="101">
        <v>0.68227766127383771</v>
      </c>
      <c r="AZ168" s="101">
        <v>1.0661650496958879</v>
      </c>
      <c r="BA168" s="101">
        <v>0.24551988293077964</v>
      </c>
      <c r="BB168" s="101">
        <v>0.15870376202121816</v>
      </c>
    </row>
    <row r="169" spans="2:54">
      <c r="B169">
        <v>1.51902</v>
      </c>
      <c r="C169">
        <v>19.579999999999998</v>
      </c>
      <c r="D169">
        <v>0.60499999999999998</v>
      </c>
      <c r="E169">
        <v>8.375</v>
      </c>
      <c r="F169">
        <v>93.9</v>
      </c>
      <c r="G169">
        <v>2.1619999999999999</v>
      </c>
      <c r="H169">
        <v>5</v>
      </c>
      <c r="I169">
        <v>403</v>
      </c>
      <c r="J169">
        <v>14.7</v>
      </c>
      <c r="K169">
        <v>388.45</v>
      </c>
      <c r="L169">
        <v>3.32</v>
      </c>
      <c r="M169">
        <v>50</v>
      </c>
      <c r="O169" s="101">
        <f t="shared" si="54"/>
        <v>-0.24374414967715907</v>
      </c>
      <c r="P169" s="101">
        <f t="shared" si="55"/>
        <v>1.231944902462234</v>
      </c>
      <c r="Q169" s="101">
        <f t="shared" si="56"/>
        <v>0.43455068166394939</v>
      </c>
      <c r="R169" s="101">
        <f t="shared" si="57"/>
        <v>2.9780575062904671</v>
      </c>
      <c r="S169" s="101">
        <f t="shared" si="58"/>
        <v>0.90057499670311503</v>
      </c>
      <c r="T169" s="101">
        <f t="shared" si="59"/>
        <v>-0.77629809601198907</v>
      </c>
      <c r="U169" s="101">
        <f t="shared" si="60"/>
        <v>-0.52300144620353584</v>
      </c>
      <c r="V169" s="101">
        <f t="shared" si="61"/>
        <v>-3.1104940025107587E-2</v>
      </c>
      <c r="W169" s="101">
        <f t="shared" si="62"/>
        <v>-1.7364178760198252</v>
      </c>
      <c r="X169" s="101">
        <f t="shared" si="63"/>
        <v>0.34840310448251866</v>
      </c>
      <c r="Y169" s="101">
        <f t="shared" si="64"/>
        <v>-1.308250784967405</v>
      </c>
      <c r="Z169" s="101">
        <f t="shared" si="65"/>
        <v>2.9894600741990951</v>
      </c>
      <c r="AQ169" s="101">
        <v>-1.4835617777092969</v>
      </c>
      <c r="AR169" s="101">
        <v>4.6078189866048636</v>
      </c>
      <c r="AS169" s="101">
        <v>-0.61308729550078489</v>
      </c>
      <c r="AT169" s="101">
        <v>0.34761789312747721</v>
      </c>
      <c r="AU169" s="101">
        <v>6.4176936887069408E-2</v>
      </c>
      <c r="AV169" s="101">
        <v>-1.2294690557112242E-2</v>
      </c>
      <c r="AW169" s="101">
        <v>0.13538728001183165</v>
      </c>
      <c r="AX169" s="101">
        <v>0.83889417080808215</v>
      </c>
      <c r="AY169" s="101">
        <v>0.89973287412164804</v>
      </c>
      <c r="AZ169" s="101">
        <v>0.72985232025813107</v>
      </c>
      <c r="BA169" s="101">
        <v>0.28323178848051511</v>
      </c>
      <c r="BB169" s="101">
        <v>0.17153216937081894</v>
      </c>
    </row>
    <row r="170" spans="2:54">
      <c r="B170">
        <v>2.2423600000000001</v>
      </c>
      <c r="C170">
        <v>19.579999999999998</v>
      </c>
      <c r="D170">
        <v>0.60499999999999998</v>
      </c>
      <c r="E170">
        <v>5.8540000000000001</v>
      </c>
      <c r="F170">
        <v>91.8</v>
      </c>
      <c r="G170">
        <v>2.4220000000000002</v>
      </c>
      <c r="H170">
        <v>5</v>
      </c>
      <c r="I170">
        <v>403</v>
      </c>
      <c r="J170">
        <v>14.7</v>
      </c>
      <c r="K170">
        <v>395.11</v>
      </c>
      <c r="L170">
        <v>11.64</v>
      </c>
      <c r="M170">
        <v>22.7</v>
      </c>
      <c r="O170" s="101">
        <f t="shared" si="54"/>
        <v>-0.15956673560118403</v>
      </c>
      <c r="P170" s="101">
        <f t="shared" si="55"/>
        <v>1.231944902462234</v>
      </c>
      <c r="Q170" s="101">
        <f t="shared" si="56"/>
        <v>0.43455068166394939</v>
      </c>
      <c r="R170" s="101">
        <f t="shared" si="57"/>
        <v>-0.61350701616981118</v>
      </c>
      <c r="S170" s="101">
        <f t="shared" si="58"/>
        <v>0.82589779575912692</v>
      </c>
      <c r="T170" s="101">
        <f t="shared" si="59"/>
        <v>-0.65270211993767413</v>
      </c>
      <c r="U170" s="101">
        <f t="shared" si="60"/>
        <v>-0.52300144620353584</v>
      </c>
      <c r="V170" s="101">
        <f t="shared" si="61"/>
        <v>-3.1104940025107587E-2</v>
      </c>
      <c r="W170" s="101">
        <f t="shared" si="62"/>
        <v>-1.7364178760198252</v>
      </c>
      <c r="X170" s="101">
        <f t="shared" si="63"/>
        <v>0.4214257311463338</v>
      </c>
      <c r="Y170" s="101">
        <f t="shared" si="64"/>
        <v>-0.14200490730226034</v>
      </c>
      <c r="Z170" s="101">
        <f t="shared" si="65"/>
        <v>1.8196937940856712E-2</v>
      </c>
      <c r="AQ170" s="101">
        <v>0.40884848007925029</v>
      </c>
      <c r="AR170" s="101">
        <v>0.80152181943527889</v>
      </c>
      <c r="AS170" s="101">
        <v>-1.8039618889918807</v>
      </c>
      <c r="AT170" s="101">
        <v>-0.60702031312308968</v>
      </c>
      <c r="AU170" s="101">
        <v>-0.68399930816401688</v>
      </c>
      <c r="AV170" s="101">
        <v>-0.76578229250878305</v>
      </c>
      <c r="AW170" s="101">
        <v>0.43075395868758298</v>
      </c>
      <c r="AX170" s="101">
        <v>0.38873428637030721</v>
      </c>
      <c r="AY170" s="101">
        <v>0.1250755086894994</v>
      </c>
      <c r="AZ170" s="101">
        <v>0.77197739677293464</v>
      </c>
      <c r="BA170" s="101">
        <v>-0.50799307161321339</v>
      </c>
      <c r="BB170" s="101">
        <v>-0.10633016956055019</v>
      </c>
    </row>
    <row r="171" spans="2:54">
      <c r="B171">
        <v>2.9239999999999999</v>
      </c>
      <c r="C171">
        <v>19.579999999999998</v>
      </c>
      <c r="D171">
        <v>0.60499999999999998</v>
      </c>
      <c r="E171">
        <v>6.101</v>
      </c>
      <c r="F171">
        <v>93</v>
      </c>
      <c r="G171">
        <v>2.2833999999999999</v>
      </c>
      <c r="H171">
        <v>5</v>
      </c>
      <c r="I171">
        <v>403</v>
      </c>
      <c r="J171">
        <v>14.7</v>
      </c>
      <c r="K171">
        <v>240.16</v>
      </c>
      <c r="L171">
        <v>9.81</v>
      </c>
      <c r="M171">
        <v>25</v>
      </c>
      <c r="O171" s="101">
        <f t="shared" si="54"/>
        <v>-8.0242085325037821E-2</v>
      </c>
      <c r="P171" s="101">
        <f t="shared" si="55"/>
        <v>1.231944902462234</v>
      </c>
      <c r="Q171" s="101">
        <f t="shared" si="56"/>
        <v>0.43455068166394939</v>
      </c>
      <c r="R171" s="101">
        <f t="shared" si="57"/>
        <v>-0.26161632317191819</v>
      </c>
      <c r="S171" s="101">
        <f t="shared" si="58"/>
        <v>0.86857048201283438</v>
      </c>
      <c r="T171" s="101">
        <f t="shared" si="59"/>
        <v>-0.71858828256805896</v>
      </c>
      <c r="U171" s="101">
        <f t="shared" si="60"/>
        <v>-0.52300144620353584</v>
      </c>
      <c r="V171" s="101">
        <f t="shared" si="61"/>
        <v>-3.1104940025107587E-2</v>
      </c>
      <c r="W171" s="101">
        <f t="shared" si="62"/>
        <v>-1.7364178760198252</v>
      </c>
      <c r="X171" s="101">
        <f t="shared" si="63"/>
        <v>-1.2775015964149441</v>
      </c>
      <c r="Y171" s="101">
        <f t="shared" si="64"/>
        <v>-0.39852293087524288</v>
      </c>
      <c r="Z171" s="101">
        <f t="shared" si="65"/>
        <v>0.26852313623367541</v>
      </c>
      <c r="AQ171" s="101">
        <v>0.59048971368368464</v>
      </c>
      <c r="AR171" s="101">
        <v>1.3539907567038494</v>
      </c>
      <c r="AS171" s="101">
        <v>-1.0836515530417341</v>
      </c>
      <c r="AT171" s="101">
        <v>-1.6523259293826096</v>
      </c>
      <c r="AU171" s="101">
        <v>0.31613958684997417</v>
      </c>
      <c r="AV171" s="101">
        <v>-0.52185067205793834</v>
      </c>
      <c r="AW171" s="101">
        <v>0.74131258103277831</v>
      </c>
      <c r="AX171" s="101">
        <v>0.28214728456945243</v>
      </c>
      <c r="AY171" s="101">
        <v>0.10263223568420947</v>
      </c>
      <c r="AZ171" s="101">
        <v>0.94293058619205694</v>
      </c>
      <c r="BA171" s="101">
        <v>-0.46190195612032275</v>
      </c>
      <c r="BB171" s="101">
        <v>-6.236519548583852E-2</v>
      </c>
    </row>
    <row r="172" spans="2:54">
      <c r="B172">
        <v>2.0101900000000001</v>
      </c>
      <c r="C172">
        <v>19.579999999999998</v>
      </c>
      <c r="D172">
        <v>0.60499999999999998</v>
      </c>
      <c r="E172">
        <v>7.9290000000000003</v>
      </c>
      <c r="F172">
        <v>96.2</v>
      </c>
      <c r="G172">
        <v>2.0459000000000001</v>
      </c>
      <c r="H172">
        <v>5</v>
      </c>
      <c r="I172">
        <v>403</v>
      </c>
      <c r="J172">
        <v>14.7</v>
      </c>
      <c r="K172">
        <v>369.3</v>
      </c>
      <c r="L172">
        <v>3.7</v>
      </c>
      <c r="M172">
        <v>50</v>
      </c>
      <c r="O172" s="101">
        <f t="shared" si="54"/>
        <v>-0.18658510901620204</v>
      </c>
      <c r="P172" s="101">
        <f t="shared" si="55"/>
        <v>1.231944902462234</v>
      </c>
      <c r="Q172" s="101">
        <f t="shared" si="56"/>
        <v>0.43455068166394939</v>
      </c>
      <c r="R172" s="101">
        <f t="shared" si="57"/>
        <v>2.3426597367477129</v>
      </c>
      <c r="S172" s="101">
        <f t="shared" si="58"/>
        <v>0.98236431202272056</v>
      </c>
      <c r="T172" s="101">
        <f t="shared" si="59"/>
        <v>-0.83148845302055796</v>
      </c>
      <c r="U172" s="101">
        <f t="shared" si="60"/>
        <v>-0.52300144620353584</v>
      </c>
      <c r="V172" s="101">
        <f t="shared" si="61"/>
        <v>-3.1104940025107587E-2</v>
      </c>
      <c r="W172" s="101">
        <f t="shared" si="62"/>
        <v>-1.7364178760198252</v>
      </c>
      <c r="X172" s="101">
        <f t="shared" si="63"/>
        <v>0.13843564192815644</v>
      </c>
      <c r="Y172" s="101">
        <f t="shared" si="64"/>
        <v>-1.2549847472855833</v>
      </c>
      <c r="Z172" s="101">
        <f t="shared" si="65"/>
        <v>2.9894600741990951</v>
      </c>
      <c r="AQ172" s="101">
        <v>-1.2347384556384391</v>
      </c>
      <c r="AR172" s="101">
        <v>4.298131743566926</v>
      </c>
      <c r="AS172" s="101">
        <v>-0.73280260289207622</v>
      </c>
      <c r="AT172" s="101">
        <v>0.13766955207666254</v>
      </c>
      <c r="AU172" s="101">
        <v>4.899350490863693E-2</v>
      </c>
      <c r="AV172" s="101">
        <v>-0.10070448377014315</v>
      </c>
      <c r="AW172" s="101">
        <v>0.42228740983458729</v>
      </c>
      <c r="AX172" s="101">
        <v>0.49253456422821884</v>
      </c>
      <c r="AY172" s="101">
        <v>0.86466272253481935</v>
      </c>
      <c r="AZ172" s="101">
        <v>0.91678685304220298</v>
      </c>
      <c r="BA172" s="101">
        <v>0.31180168837270683</v>
      </c>
      <c r="BB172" s="101">
        <v>0.18216684722932758</v>
      </c>
    </row>
    <row r="173" spans="2:54">
      <c r="B173">
        <v>1.8002800000000001</v>
      </c>
      <c r="C173">
        <v>19.579999999999998</v>
      </c>
      <c r="D173">
        <v>0.60499999999999998</v>
      </c>
      <c r="E173">
        <v>5.8769999999999998</v>
      </c>
      <c r="F173">
        <v>79.2</v>
      </c>
      <c r="G173">
        <v>2.4258999999999999</v>
      </c>
      <c r="H173">
        <v>5</v>
      </c>
      <c r="I173">
        <v>403</v>
      </c>
      <c r="J173">
        <v>14.7</v>
      </c>
      <c r="K173">
        <v>227.61</v>
      </c>
      <c r="L173">
        <v>12.14</v>
      </c>
      <c r="M173">
        <v>23.8</v>
      </c>
      <c r="O173" s="101">
        <f t="shared" si="54"/>
        <v>-0.21101301427332581</v>
      </c>
      <c r="P173" s="101">
        <f t="shared" si="55"/>
        <v>1.231944902462234</v>
      </c>
      <c r="Q173" s="101">
        <f t="shared" si="56"/>
        <v>0.43455068166394939</v>
      </c>
      <c r="R173" s="101">
        <f t="shared" si="57"/>
        <v>-0.58073986661940058</v>
      </c>
      <c r="S173" s="101">
        <f t="shared" si="58"/>
        <v>0.37783459009520065</v>
      </c>
      <c r="T173" s="101">
        <f t="shared" si="59"/>
        <v>-0.65084818029655955</v>
      </c>
      <c r="U173" s="101">
        <f t="shared" si="60"/>
        <v>-0.52300144620353584</v>
      </c>
      <c r="V173" s="101">
        <f t="shared" si="61"/>
        <v>-3.1104940025107587E-2</v>
      </c>
      <c r="W173" s="101">
        <f t="shared" si="62"/>
        <v>-1.7364178760198252</v>
      </c>
      <c r="X173" s="101">
        <f t="shared" si="63"/>
        <v>-1.4151042938069673</v>
      </c>
      <c r="Y173" s="101">
        <f t="shared" si="64"/>
        <v>-7.1918015615653086E-2</v>
      </c>
      <c r="Z173" s="101">
        <f t="shared" si="65"/>
        <v>0.13791816321133535</v>
      </c>
      <c r="AQ173" s="101">
        <v>0.62642887328339514</v>
      </c>
      <c r="AR173" s="101">
        <v>0.90482475038556565</v>
      </c>
      <c r="AS173" s="101">
        <v>-1.0381536636057536</v>
      </c>
      <c r="AT173" s="101">
        <v>-1.87279650787024</v>
      </c>
      <c r="AU173" s="101">
        <v>0.35640920947832799</v>
      </c>
      <c r="AV173" s="101">
        <v>-0.82812246273408163</v>
      </c>
      <c r="AW173" s="101">
        <v>0.83568344156512864</v>
      </c>
      <c r="AX173" s="101">
        <v>0.23092045832319741</v>
      </c>
      <c r="AY173" s="101">
        <v>0.29250373716439099</v>
      </c>
      <c r="AZ173" s="101">
        <v>0.62775210994896413</v>
      </c>
      <c r="BA173" s="101">
        <v>-0.35830802573612425</v>
      </c>
      <c r="BB173" s="101">
        <v>-4.7508484670815664E-2</v>
      </c>
    </row>
    <row r="174" spans="2:54">
      <c r="B174">
        <v>2.3003999999999998</v>
      </c>
      <c r="C174">
        <v>19.579999999999998</v>
      </c>
      <c r="D174">
        <v>0.60499999999999998</v>
      </c>
      <c r="E174">
        <v>6.319</v>
      </c>
      <c r="F174">
        <v>96.1</v>
      </c>
      <c r="G174">
        <v>2.1</v>
      </c>
      <c r="H174">
        <v>5</v>
      </c>
      <c r="I174">
        <v>403</v>
      </c>
      <c r="J174">
        <v>14.7</v>
      </c>
      <c r="K174">
        <v>297.08999999999997</v>
      </c>
      <c r="L174">
        <v>11.1</v>
      </c>
      <c r="M174">
        <v>23.8</v>
      </c>
      <c r="O174" s="101">
        <f t="shared" si="54"/>
        <v>-0.1528124331805111</v>
      </c>
      <c r="P174" s="101">
        <f t="shared" si="55"/>
        <v>1.231944902462234</v>
      </c>
      <c r="Q174" s="101">
        <f t="shared" si="56"/>
        <v>0.43455068166394939</v>
      </c>
      <c r="R174" s="101">
        <f t="shared" si="57"/>
        <v>4.8959268218934919E-2</v>
      </c>
      <c r="S174" s="101">
        <f t="shared" si="58"/>
        <v>0.9788082548349113</v>
      </c>
      <c r="T174" s="101">
        <f t="shared" si="59"/>
        <v>-0.80577098261432556</v>
      </c>
      <c r="U174" s="101">
        <f t="shared" si="60"/>
        <v>-0.52300144620353584</v>
      </c>
      <c r="V174" s="101">
        <f t="shared" si="61"/>
        <v>-3.1104940025107587E-2</v>
      </c>
      <c r="W174" s="101">
        <f t="shared" si="62"/>
        <v>-1.7364178760198252</v>
      </c>
      <c r="X174" s="101">
        <f t="shared" si="63"/>
        <v>-0.65330067509798051</v>
      </c>
      <c r="Y174" s="101">
        <f t="shared" si="64"/>
        <v>-0.21769875032379629</v>
      </c>
      <c r="Z174" s="101">
        <f t="shared" si="65"/>
        <v>0.13791816321133535</v>
      </c>
      <c r="AQ174" s="101">
        <v>0.53032217631198719</v>
      </c>
      <c r="AR174" s="101">
        <v>1.4181064427631849</v>
      </c>
      <c r="AS174" s="101">
        <v>-1.3552638678880762</v>
      </c>
      <c r="AT174" s="101">
        <v>-1.2271020689059065</v>
      </c>
      <c r="AU174" s="101">
        <v>5.1551807294491075E-2</v>
      </c>
      <c r="AV174" s="101">
        <v>-0.41791467736890886</v>
      </c>
      <c r="AW174" s="101">
        <v>0.38964337581957909</v>
      </c>
      <c r="AX174" s="101">
        <v>0.48411770574402113</v>
      </c>
      <c r="AY174" s="101">
        <v>0.17943831180634062</v>
      </c>
      <c r="AZ174" s="101">
        <v>0.75229556470967873</v>
      </c>
      <c r="BA174" s="101">
        <v>-0.56512967606415432</v>
      </c>
      <c r="BB174" s="101">
        <v>-8.1590953191853444E-2</v>
      </c>
    </row>
    <row r="175" spans="2:54">
      <c r="B175">
        <v>2.4495300000000002</v>
      </c>
      <c r="C175">
        <v>19.579999999999998</v>
      </c>
      <c r="D175">
        <v>0.60499999999999998</v>
      </c>
      <c r="E175">
        <v>6.4020000000000001</v>
      </c>
      <c r="F175">
        <v>95.2</v>
      </c>
      <c r="G175">
        <v>2.2625000000000002</v>
      </c>
      <c r="H175">
        <v>5</v>
      </c>
      <c r="I175">
        <v>403</v>
      </c>
      <c r="J175">
        <v>14.7</v>
      </c>
      <c r="K175">
        <v>330.04</v>
      </c>
      <c r="L175">
        <v>11.32</v>
      </c>
      <c r="M175">
        <v>22.3</v>
      </c>
      <c r="O175" s="101">
        <f t="shared" si="54"/>
        <v>-0.13545769300141111</v>
      </c>
      <c r="P175" s="101">
        <f t="shared" si="55"/>
        <v>1.231944902462234</v>
      </c>
      <c r="Q175" s="101">
        <f t="shared" si="56"/>
        <v>0.43455068166394939</v>
      </c>
      <c r="R175" s="101">
        <f t="shared" si="57"/>
        <v>0.16720593833563616</v>
      </c>
      <c r="S175" s="101">
        <f t="shared" si="58"/>
        <v>0.9468037401446312</v>
      </c>
      <c r="T175" s="101">
        <f t="shared" si="59"/>
        <v>-0.72852349756787871</v>
      </c>
      <c r="U175" s="101">
        <f t="shared" si="60"/>
        <v>-0.52300144620353584</v>
      </c>
      <c r="V175" s="101">
        <f t="shared" si="61"/>
        <v>-3.1104940025107587E-2</v>
      </c>
      <c r="W175" s="101">
        <f t="shared" si="62"/>
        <v>-1.7364178760198252</v>
      </c>
      <c r="X175" s="101">
        <f t="shared" si="63"/>
        <v>-0.29202506720418137</v>
      </c>
      <c r="Y175" s="101">
        <f t="shared" si="64"/>
        <v>-0.18686051798168901</v>
      </c>
      <c r="Z175" s="101">
        <f t="shared" si="65"/>
        <v>-2.5338053066589851E-2</v>
      </c>
      <c r="AQ175" s="101">
        <v>0.45742222044101138</v>
      </c>
      <c r="AR175" s="101">
        <v>1.3344907488379723</v>
      </c>
      <c r="AS175" s="101">
        <v>-1.4209102842106049</v>
      </c>
      <c r="AT175" s="101">
        <v>-1.0107432795222251</v>
      </c>
      <c r="AU175" s="101">
        <v>-0.15279646189185239</v>
      </c>
      <c r="AV175" s="101">
        <v>-0.41935526643778165</v>
      </c>
      <c r="AW175" s="101">
        <v>0.21809041641478105</v>
      </c>
      <c r="AX175" s="101">
        <v>0.67230792586535582</v>
      </c>
      <c r="AY175" s="101">
        <v>0.14375485045939107</v>
      </c>
      <c r="AZ175" s="101">
        <v>0.67735748073827717</v>
      </c>
      <c r="BA175" s="101">
        <v>-0.60856353319271161</v>
      </c>
      <c r="BB175" s="101">
        <v>-0.10588539500354612</v>
      </c>
    </row>
    <row r="176" spans="2:54">
      <c r="B176">
        <v>1.2074199999999999</v>
      </c>
      <c r="C176">
        <v>19.579999999999998</v>
      </c>
      <c r="D176">
        <v>0.60499999999999998</v>
      </c>
      <c r="E176">
        <v>5.875</v>
      </c>
      <c r="F176">
        <v>94.6</v>
      </c>
      <c r="G176">
        <v>2.4258999999999999</v>
      </c>
      <c r="H176">
        <v>5</v>
      </c>
      <c r="I176">
        <v>403</v>
      </c>
      <c r="J176">
        <v>14.7</v>
      </c>
      <c r="K176">
        <v>292.29000000000002</v>
      </c>
      <c r="L176">
        <v>14.43</v>
      </c>
      <c r="M176">
        <v>17.399999999999999</v>
      </c>
      <c r="O176" s="101">
        <f t="shared" si="54"/>
        <v>-0.28000604895837372</v>
      </c>
      <c r="P176" s="101">
        <f t="shared" si="55"/>
        <v>1.231944902462234</v>
      </c>
      <c r="Q176" s="101">
        <f t="shared" si="56"/>
        <v>0.43455068166394939</v>
      </c>
      <c r="R176" s="101">
        <f t="shared" si="57"/>
        <v>-0.58358918397160986</v>
      </c>
      <c r="S176" s="101">
        <f t="shared" si="58"/>
        <v>0.92546739701777725</v>
      </c>
      <c r="T176" s="101">
        <f t="shared" si="59"/>
        <v>-0.65084818029655955</v>
      </c>
      <c r="U176" s="101">
        <f t="shared" si="60"/>
        <v>-0.52300144620353584</v>
      </c>
      <c r="V176" s="101">
        <f t="shared" si="61"/>
        <v>-3.1104940025107587E-2</v>
      </c>
      <c r="W176" s="101">
        <f t="shared" si="62"/>
        <v>-1.7364178760198252</v>
      </c>
      <c r="X176" s="101">
        <f t="shared" si="63"/>
        <v>-0.70592959521604481</v>
      </c>
      <c r="Y176" s="101">
        <f t="shared" si="64"/>
        <v>0.24907994830900798</v>
      </c>
      <c r="Z176" s="101">
        <f t="shared" si="65"/>
        <v>-0.5586416929078124</v>
      </c>
      <c r="AQ176" s="101">
        <v>0.92137372215396141</v>
      </c>
      <c r="AR176" s="101">
        <v>0.54255530008585562</v>
      </c>
      <c r="AS176" s="101">
        <v>-1.6022120838251965</v>
      </c>
      <c r="AT176" s="101">
        <v>-1.5111243866681308</v>
      </c>
      <c r="AU176" s="101">
        <v>1.1243227729635609E-2</v>
      </c>
      <c r="AV176" s="101">
        <v>-0.60735971153325907</v>
      </c>
      <c r="AW176" s="101">
        <v>0.22105301894583584</v>
      </c>
      <c r="AX176" s="101">
        <v>0.46221603423697821</v>
      </c>
      <c r="AY176" s="101">
        <v>0.1418582531024902</v>
      </c>
      <c r="AZ176" s="101">
        <v>0.67567641746312634</v>
      </c>
      <c r="BA176" s="101">
        <v>-0.66741001286303581</v>
      </c>
      <c r="BB176" s="101">
        <v>-0.14213880712520158</v>
      </c>
    </row>
    <row r="177" spans="2:54">
      <c r="B177">
        <v>2.3138999999999998</v>
      </c>
      <c r="C177">
        <v>19.579999999999998</v>
      </c>
      <c r="D177">
        <v>0.60499999999999998</v>
      </c>
      <c r="E177">
        <v>5.88</v>
      </c>
      <c r="F177">
        <v>97.3</v>
      </c>
      <c r="G177">
        <v>2.3887</v>
      </c>
      <c r="H177">
        <v>5</v>
      </c>
      <c r="I177">
        <v>403</v>
      </c>
      <c r="J177">
        <v>14.7</v>
      </c>
      <c r="K177">
        <v>348.13</v>
      </c>
      <c r="L177">
        <v>12.03</v>
      </c>
      <c r="M177">
        <v>19.100000000000001</v>
      </c>
      <c r="O177" s="101">
        <f t="shared" si="54"/>
        <v>-0.15124139454027874</v>
      </c>
      <c r="P177" s="101">
        <f t="shared" si="55"/>
        <v>1.231944902462234</v>
      </c>
      <c r="Q177" s="101">
        <f t="shared" si="56"/>
        <v>0.43455068166394939</v>
      </c>
      <c r="R177" s="101">
        <f t="shared" si="57"/>
        <v>-0.57646589059108588</v>
      </c>
      <c r="S177" s="101">
        <f t="shared" si="58"/>
        <v>1.0214809410886188</v>
      </c>
      <c r="T177" s="101">
        <f t="shared" si="59"/>
        <v>-0.66853191225796138</v>
      </c>
      <c r="U177" s="101">
        <f t="shared" si="60"/>
        <v>-0.52300144620353584</v>
      </c>
      <c r="V177" s="101">
        <f t="shared" si="61"/>
        <v>-3.1104940025107587E-2</v>
      </c>
      <c r="W177" s="101">
        <f t="shared" si="62"/>
        <v>-1.7364178760198252</v>
      </c>
      <c r="X177" s="101">
        <f t="shared" si="63"/>
        <v>-9.3679824509225143E-2</v>
      </c>
      <c r="Y177" s="101">
        <f t="shared" si="64"/>
        <v>-8.7337131786706851E-2</v>
      </c>
      <c r="Z177" s="101">
        <f t="shared" si="65"/>
        <v>-0.37361798112616351</v>
      </c>
      <c r="AQ177" s="101">
        <v>0.69975812408978855</v>
      </c>
      <c r="AR177" s="101">
        <v>0.70551961653873674</v>
      </c>
      <c r="AS177" s="101">
        <v>-1.7235103014198772</v>
      </c>
      <c r="AT177" s="101">
        <v>-1.01084912869595</v>
      </c>
      <c r="AU177" s="101">
        <v>-0.3755544320569113</v>
      </c>
      <c r="AV177" s="101">
        <v>-0.60400629172926767</v>
      </c>
      <c r="AW177" s="101">
        <v>0.31730543298221664</v>
      </c>
      <c r="AX177" s="101">
        <v>0.47865694339754372</v>
      </c>
      <c r="AY177" s="101">
        <v>-1.3876052364529906E-2</v>
      </c>
      <c r="AZ177" s="101">
        <v>0.83051475711455769</v>
      </c>
      <c r="BA177" s="101">
        <v>-0.68592320921024108</v>
      </c>
      <c r="BB177" s="101">
        <v>-0.14793858378484315</v>
      </c>
    </row>
    <row r="178" spans="2:54">
      <c r="B178">
        <v>0.13914000000000001</v>
      </c>
      <c r="C178">
        <v>4.05</v>
      </c>
      <c r="D178">
        <v>0.51</v>
      </c>
      <c r="E178">
        <v>5.5720000000000001</v>
      </c>
      <c r="F178">
        <v>88.5</v>
      </c>
      <c r="G178">
        <v>2.5960999999999999</v>
      </c>
      <c r="H178">
        <v>5</v>
      </c>
      <c r="I178">
        <v>296</v>
      </c>
      <c r="J178">
        <v>16.600000000000001</v>
      </c>
      <c r="K178">
        <v>396.9</v>
      </c>
      <c r="L178">
        <v>14.69</v>
      </c>
      <c r="M178">
        <v>23.1</v>
      </c>
      <c r="O178" s="101">
        <f t="shared" si="54"/>
        <v>-0.40432524589077429</v>
      </c>
      <c r="P178" s="101">
        <f t="shared" si="55"/>
        <v>-1.0340272373207626</v>
      </c>
      <c r="Q178" s="101">
        <f t="shared" si="56"/>
        <v>-0.38609067431857302</v>
      </c>
      <c r="R178" s="101">
        <f t="shared" si="57"/>
        <v>-1.0152607628313737</v>
      </c>
      <c r="S178" s="101">
        <f t="shared" si="58"/>
        <v>0.70854790856143202</v>
      </c>
      <c r="T178" s="101">
        <f t="shared" si="59"/>
        <v>-0.56994035288175804</v>
      </c>
      <c r="U178" s="101">
        <f t="shared" si="60"/>
        <v>-0.52300144620353584</v>
      </c>
      <c r="V178" s="101">
        <f t="shared" si="61"/>
        <v>-0.66660820902109852</v>
      </c>
      <c r="W178" s="101">
        <f t="shared" si="62"/>
        <v>-0.85792913950166927</v>
      </c>
      <c r="X178" s="101">
        <f t="shared" si="63"/>
        <v>0.44105193260702835</v>
      </c>
      <c r="Y178" s="101">
        <f t="shared" si="64"/>
        <v>0.28552513198604373</v>
      </c>
      <c r="Z178" s="101">
        <f t="shared" si="65"/>
        <v>6.1731928948303663E-2</v>
      </c>
      <c r="AQ178" s="101">
        <v>-0.58312934165406904</v>
      </c>
      <c r="AR178" s="101">
        <v>-0.3883424954452922</v>
      </c>
      <c r="AS178" s="101">
        <v>-1.4222716801888087</v>
      </c>
      <c r="AT178" s="101">
        <v>-0.49773822476814755</v>
      </c>
      <c r="AU178" s="101">
        <v>-0.5099183110969151</v>
      </c>
      <c r="AV178" s="101">
        <v>0.40844323207593053</v>
      </c>
      <c r="AW178" s="101">
        <v>-4.3728622271188983E-2</v>
      </c>
      <c r="AX178" s="101">
        <v>-1.2259094369688233</v>
      </c>
      <c r="AY178" s="101">
        <v>-0.15100393996886829</v>
      </c>
      <c r="AZ178" s="101">
        <v>4.9968063644982394E-2</v>
      </c>
      <c r="BA178" s="101">
        <v>-0.50461853609288732</v>
      </c>
      <c r="BB178" s="101">
        <v>1.3715284459246951E-2</v>
      </c>
    </row>
    <row r="179" spans="2:54">
      <c r="B179">
        <v>9.178E-2</v>
      </c>
      <c r="C179">
        <v>4.05</v>
      </c>
      <c r="D179">
        <v>0.51</v>
      </c>
      <c r="E179">
        <v>6.4160000000000004</v>
      </c>
      <c r="F179">
        <v>84.1</v>
      </c>
      <c r="G179">
        <v>2.6463000000000001</v>
      </c>
      <c r="H179">
        <v>5</v>
      </c>
      <c r="I179">
        <v>296</v>
      </c>
      <c r="J179">
        <v>16.600000000000001</v>
      </c>
      <c r="K179">
        <v>395.5</v>
      </c>
      <c r="L179">
        <v>9.0399999999999991</v>
      </c>
      <c r="M179">
        <v>23.6</v>
      </c>
      <c r="O179" s="101">
        <f t="shared" si="54"/>
        <v>-0.40983668218717451</v>
      </c>
      <c r="P179" s="101">
        <f t="shared" si="55"/>
        <v>-1.0340272373207626</v>
      </c>
      <c r="Q179" s="101">
        <f t="shared" si="56"/>
        <v>-0.38609067431857302</v>
      </c>
      <c r="R179" s="101">
        <f t="shared" si="57"/>
        <v>0.18715115980110411</v>
      </c>
      <c r="S179" s="101">
        <f t="shared" si="58"/>
        <v>0.55208139229783848</v>
      </c>
      <c r="T179" s="101">
        <f t="shared" si="59"/>
        <v>-0.54607682211664033</v>
      </c>
      <c r="U179" s="101">
        <f t="shared" si="60"/>
        <v>-0.52300144620353584</v>
      </c>
      <c r="V179" s="101">
        <f t="shared" si="61"/>
        <v>-0.66660820902109852</v>
      </c>
      <c r="W179" s="101">
        <f t="shared" si="62"/>
        <v>-0.85792913950166927</v>
      </c>
      <c r="X179" s="101">
        <f t="shared" si="63"/>
        <v>0.42570183090592639</v>
      </c>
      <c r="Y179" s="101">
        <f t="shared" si="64"/>
        <v>-0.5064567440726182</v>
      </c>
      <c r="Z179" s="101">
        <f t="shared" si="65"/>
        <v>0.11615066770761207</v>
      </c>
      <c r="AQ179" s="101">
        <v>-1.1561908574041937</v>
      </c>
      <c r="AR179" s="101">
        <v>0.46021835028664348</v>
      </c>
      <c r="AS179" s="101">
        <v>-0.90460984652346343</v>
      </c>
      <c r="AT179" s="101">
        <v>-0.24362748055615743</v>
      </c>
      <c r="AU179" s="101">
        <v>-0.23035102222183051</v>
      </c>
      <c r="AV179" s="101">
        <v>0.56830086554737969</v>
      </c>
      <c r="AW179" s="101">
        <v>-0.17143378751684279</v>
      </c>
      <c r="AX179" s="101">
        <v>-0.57575780765256446</v>
      </c>
      <c r="AY179" s="101">
        <v>-0.48972692997874367</v>
      </c>
      <c r="AZ179" s="101">
        <v>-6.5930894752341471E-2</v>
      </c>
      <c r="BA179" s="101">
        <v>-0.72174136492769847</v>
      </c>
      <c r="BB179" s="101">
        <v>-3.4045279239621459E-2</v>
      </c>
    </row>
    <row r="180" spans="2:54">
      <c r="B180">
        <v>8.4470000000000003E-2</v>
      </c>
      <c r="C180">
        <v>4.05</v>
      </c>
      <c r="D180">
        <v>0.51</v>
      </c>
      <c r="E180">
        <v>5.859</v>
      </c>
      <c r="F180">
        <v>68.7</v>
      </c>
      <c r="G180">
        <v>2.7019000000000002</v>
      </c>
      <c r="H180">
        <v>5</v>
      </c>
      <c r="I180">
        <v>296</v>
      </c>
      <c r="J180">
        <v>16.600000000000001</v>
      </c>
      <c r="K180">
        <v>393.23</v>
      </c>
      <c r="L180">
        <v>9.64</v>
      </c>
      <c r="M180">
        <v>22.6</v>
      </c>
      <c r="O180" s="101">
        <f t="shared" si="54"/>
        <v>-0.41068737051755216</v>
      </c>
      <c r="P180" s="101">
        <f t="shared" si="55"/>
        <v>-1.0340272373207626</v>
      </c>
      <c r="Q180" s="101">
        <f t="shared" si="56"/>
        <v>-0.38609067431857302</v>
      </c>
      <c r="R180" s="101">
        <f t="shared" si="57"/>
        <v>-0.60638372278928721</v>
      </c>
      <c r="S180" s="101">
        <f t="shared" si="58"/>
        <v>4.4485853752618838E-3</v>
      </c>
      <c r="T180" s="101">
        <f t="shared" si="59"/>
        <v>-0.51964629800228679</v>
      </c>
      <c r="U180" s="101">
        <f t="shared" si="60"/>
        <v>-0.52300144620353584</v>
      </c>
      <c r="V180" s="101">
        <f t="shared" si="61"/>
        <v>-0.66660820902109852</v>
      </c>
      <c r="W180" s="101">
        <f t="shared" si="62"/>
        <v>-0.85792913950166927</v>
      </c>
      <c r="X180" s="101">
        <f t="shared" si="63"/>
        <v>0.40081273743342516</v>
      </c>
      <c r="Y180" s="101">
        <f t="shared" si="64"/>
        <v>-0.42235247404868931</v>
      </c>
      <c r="Z180" s="101">
        <f t="shared" si="65"/>
        <v>7.3131901889952663E-3</v>
      </c>
      <c r="AQ180" s="101">
        <v>-1.1005445656056656</v>
      </c>
      <c r="AR180" s="101">
        <v>-0.18310592811983792</v>
      </c>
      <c r="AS180" s="101">
        <v>-0.90783673184999736</v>
      </c>
      <c r="AT180" s="101">
        <v>-0.39641276696109817</v>
      </c>
      <c r="AU180" s="101">
        <v>-0.38633474828616343</v>
      </c>
      <c r="AV180" s="101">
        <v>0.12592179866552014</v>
      </c>
      <c r="AW180" s="101">
        <v>0.28120893010373327</v>
      </c>
      <c r="AX180" s="101">
        <v>-0.8041871095056311</v>
      </c>
      <c r="AY180" s="101">
        <v>-0.48140519672724091</v>
      </c>
      <c r="AZ180" s="101">
        <v>-0.22842800380266898</v>
      </c>
      <c r="BA180" s="101">
        <v>-0.64516313508725953</v>
      </c>
      <c r="BB180" s="101">
        <v>-2.4746287714504482E-2</v>
      </c>
    </row>
    <row r="181" spans="2:54">
      <c r="B181">
        <v>6.6640000000000005E-2</v>
      </c>
      <c r="C181">
        <v>4.05</v>
      </c>
      <c r="D181">
        <v>0.51</v>
      </c>
      <c r="E181">
        <v>6.5460000000000003</v>
      </c>
      <c r="F181">
        <v>33.1</v>
      </c>
      <c r="G181">
        <v>3.1322999999999999</v>
      </c>
      <c r="H181">
        <v>5</v>
      </c>
      <c r="I181">
        <v>296</v>
      </c>
      <c r="J181">
        <v>16.600000000000001</v>
      </c>
      <c r="K181">
        <v>390.96</v>
      </c>
      <c r="L181">
        <v>5.33</v>
      </c>
      <c r="M181">
        <v>29.4</v>
      </c>
      <c r="O181" s="101">
        <f t="shared" si="54"/>
        <v>-0.41276230525498497</v>
      </c>
      <c r="P181" s="101">
        <f t="shared" si="55"/>
        <v>-1.0340272373207626</v>
      </c>
      <c r="Q181" s="101">
        <f t="shared" si="56"/>
        <v>-0.38609067431857302</v>
      </c>
      <c r="R181" s="101">
        <f t="shared" si="57"/>
        <v>0.37235678769473196</v>
      </c>
      <c r="S181" s="101">
        <f t="shared" si="58"/>
        <v>-1.2615077734847211</v>
      </c>
      <c r="T181" s="101">
        <f t="shared" si="59"/>
        <v>-0.31504742068542119</v>
      </c>
      <c r="U181" s="101">
        <f t="shared" si="60"/>
        <v>-0.52300144620353584</v>
      </c>
      <c r="V181" s="101">
        <f t="shared" si="61"/>
        <v>-0.66660820902109852</v>
      </c>
      <c r="W181" s="101">
        <f t="shared" si="62"/>
        <v>-0.85792913950166927</v>
      </c>
      <c r="X181" s="101">
        <f t="shared" si="63"/>
        <v>0.37592364396092326</v>
      </c>
      <c r="Y181" s="101">
        <f t="shared" si="64"/>
        <v>-1.0265014803872439</v>
      </c>
      <c r="Z181" s="101">
        <f t="shared" si="65"/>
        <v>0.74740803731558914</v>
      </c>
      <c r="AQ181" s="101">
        <v>-2.1387037290437374</v>
      </c>
      <c r="AR181" s="101">
        <v>0.52613483394645277</v>
      </c>
      <c r="AS181" s="101">
        <v>1.5877483195302369E-2</v>
      </c>
      <c r="AT181" s="101">
        <v>-0.18838394688291704</v>
      </c>
      <c r="AU181" s="101">
        <v>-0.25814169833866646</v>
      </c>
      <c r="AV181" s="101">
        <v>-0.27829306825374872</v>
      </c>
      <c r="AW181" s="101">
        <v>0.65196766091918423</v>
      </c>
      <c r="AX181" s="101">
        <v>-0.324059702831209</v>
      </c>
      <c r="AY181" s="101">
        <v>-0.31308938757577004</v>
      </c>
      <c r="AZ181" s="101">
        <v>-0.81621835521510155</v>
      </c>
      <c r="BA181" s="101">
        <v>-0.3124744536448516</v>
      </c>
      <c r="BB181" s="101">
        <v>5.3749389054878652E-2</v>
      </c>
    </row>
    <row r="182" spans="2:54">
      <c r="B182">
        <v>7.0220000000000005E-2</v>
      </c>
      <c r="C182">
        <v>4.05</v>
      </c>
      <c r="D182">
        <v>0.51</v>
      </c>
      <c r="E182">
        <v>6.02</v>
      </c>
      <c r="F182">
        <v>47.2</v>
      </c>
      <c r="G182">
        <v>3.5548999999999999</v>
      </c>
      <c r="H182">
        <v>5</v>
      </c>
      <c r="I182">
        <v>296</v>
      </c>
      <c r="J182">
        <v>16.600000000000001</v>
      </c>
      <c r="K182">
        <v>393.23</v>
      </c>
      <c r="L182">
        <v>10.11</v>
      </c>
      <c r="M182">
        <v>23.2</v>
      </c>
      <c r="O182" s="101">
        <f t="shared" si="54"/>
        <v>-0.4123456890822419</v>
      </c>
      <c r="P182" s="101">
        <f t="shared" si="55"/>
        <v>-1.0340272373207626</v>
      </c>
      <c r="Q182" s="101">
        <f t="shared" si="56"/>
        <v>-0.38609067431857302</v>
      </c>
      <c r="R182" s="101">
        <f t="shared" si="57"/>
        <v>-0.37701367593641005</v>
      </c>
      <c r="S182" s="101">
        <f t="shared" si="58"/>
        <v>-0.76010371000366039</v>
      </c>
      <c r="T182" s="101">
        <f t="shared" si="59"/>
        <v>-0.11415642265078489</v>
      </c>
      <c r="U182" s="101">
        <f t="shared" si="60"/>
        <v>-0.52300144620353584</v>
      </c>
      <c r="V182" s="101">
        <f t="shared" si="61"/>
        <v>-0.66660820902109852</v>
      </c>
      <c r="W182" s="101">
        <f t="shared" si="62"/>
        <v>-0.85792913950166927</v>
      </c>
      <c r="X182" s="101">
        <f t="shared" si="63"/>
        <v>0.40081273743342516</v>
      </c>
      <c r="Y182" s="101">
        <f t="shared" si="64"/>
        <v>-0.35647079586327868</v>
      </c>
      <c r="Z182" s="101">
        <f t="shared" si="65"/>
        <v>7.261567670016511E-2</v>
      </c>
      <c r="AQ182" s="101">
        <v>-1.4946637990287064</v>
      </c>
      <c r="AR182" s="101">
        <v>-0.34672047555140306</v>
      </c>
      <c r="AS182" s="101">
        <v>-0.46014515893909419</v>
      </c>
      <c r="AT182" s="101">
        <v>-0.4610634541628188</v>
      </c>
      <c r="AU182" s="101">
        <v>-0.43192659936079031</v>
      </c>
      <c r="AV182" s="101">
        <v>-0.19950431512568118</v>
      </c>
      <c r="AW182" s="101">
        <v>0.27250744515087316</v>
      </c>
      <c r="AX182" s="101">
        <v>-0.49621956436462067</v>
      </c>
      <c r="AY182" s="101">
        <v>-0.30724167228320987</v>
      </c>
      <c r="AZ182" s="101">
        <v>-0.56158518277268066</v>
      </c>
      <c r="BA182" s="101">
        <v>-0.36467788243572397</v>
      </c>
      <c r="BB182" s="101">
        <v>-7.8442758129627053E-4</v>
      </c>
    </row>
    <row r="183" spans="2:54">
      <c r="B183">
        <v>5.425E-2</v>
      </c>
      <c r="C183">
        <v>4.05</v>
      </c>
      <c r="D183">
        <v>0.51</v>
      </c>
      <c r="E183">
        <v>6.3150000000000004</v>
      </c>
      <c r="F183">
        <v>73.400000000000006</v>
      </c>
      <c r="G183">
        <v>3.3174999999999999</v>
      </c>
      <c r="H183">
        <v>5</v>
      </c>
      <c r="I183">
        <v>296</v>
      </c>
      <c r="J183">
        <v>16.600000000000001</v>
      </c>
      <c r="K183">
        <v>395.6</v>
      </c>
      <c r="L183">
        <v>6.29</v>
      </c>
      <c r="M183">
        <v>24.6</v>
      </c>
      <c r="O183" s="101">
        <f t="shared" si="54"/>
        <v>-0.41420416960702044</v>
      </c>
      <c r="P183" s="101">
        <f t="shared" si="55"/>
        <v>-1.0340272373207626</v>
      </c>
      <c r="Q183" s="101">
        <f t="shared" si="56"/>
        <v>-0.38609067431857302</v>
      </c>
      <c r="R183" s="101">
        <f t="shared" si="57"/>
        <v>4.3260633514516228E-2</v>
      </c>
      <c r="S183" s="101">
        <f t="shared" si="58"/>
        <v>0.1715832732022822</v>
      </c>
      <c r="T183" s="101">
        <f t="shared" si="59"/>
        <v>-0.22700905618940925</v>
      </c>
      <c r="U183" s="101">
        <f t="shared" si="60"/>
        <v>-0.52300144620353584</v>
      </c>
      <c r="V183" s="101">
        <f t="shared" si="61"/>
        <v>-0.66660820902109852</v>
      </c>
      <c r="W183" s="101">
        <f t="shared" si="62"/>
        <v>-0.85792913950166927</v>
      </c>
      <c r="X183" s="101">
        <f t="shared" si="63"/>
        <v>0.42679826674171967</v>
      </c>
      <c r="Y183" s="101">
        <f t="shared" si="64"/>
        <v>-0.89193464834895797</v>
      </c>
      <c r="Z183" s="101">
        <f t="shared" si="65"/>
        <v>0.22498814522622887</v>
      </c>
      <c r="AQ183" s="101">
        <v>-1.490560505651864</v>
      </c>
      <c r="AR183" s="101">
        <v>0.33727473746070008</v>
      </c>
      <c r="AS183" s="101">
        <v>-0.62713115789093932</v>
      </c>
      <c r="AT183" s="101">
        <v>-0.21496754041753408</v>
      </c>
      <c r="AU183" s="101">
        <v>-0.25261699349661937</v>
      </c>
      <c r="AV183" s="101">
        <v>0.24755526562038796</v>
      </c>
      <c r="AW183" s="101">
        <v>6.6292314559001253E-2</v>
      </c>
      <c r="AX183" s="101">
        <v>-0.51702494444944247</v>
      </c>
      <c r="AY183" s="101">
        <v>-0.66197415248053704</v>
      </c>
      <c r="AZ183" s="101">
        <v>3.9071566117537773E-2</v>
      </c>
      <c r="BA183" s="101">
        <v>-0.58432968137878105</v>
      </c>
      <c r="BB183" s="101">
        <v>-4.4008508652419606E-2</v>
      </c>
    </row>
    <row r="184" spans="2:54">
      <c r="B184">
        <v>6.6420000000000007E-2</v>
      </c>
      <c r="C184">
        <v>4.05</v>
      </c>
      <c r="D184">
        <v>0.51</v>
      </c>
      <c r="E184">
        <v>6.86</v>
      </c>
      <c r="F184">
        <v>74.400000000000006</v>
      </c>
      <c r="G184">
        <v>2.9152999999999998</v>
      </c>
      <c r="H184">
        <v>5</v>
      </c>
      <c r="I184">
        <v>296</v>
      </c>
      <c r="J184">
        <v>16.600000000000001</v>
      </c>
      <c r="K184">
        <v>391.27</v>
      </c>
      <c r="L184">
        <v>6.92</v>
      </c>
      <c r="M184">
        <v>29.9</v>
      </c>
      <c r="O184" s="101">
        <f t="shared" si="54"/>
        <v>-0.41278790736615917</v>
      </c>
      <c r="P184" s="101">
        <f t="shared" si="55"/>
        <v>-1.0340272373207626</v>
      </c>
      <c r="Q184" s="101">
        <f t="shared" si="56"/>
        <v>-0.38609067431857302</v>
      </c>
      <c r="R184" s="101">
        <f t="shared" si="57"/>
        <v>0.81969961199164898</v>
      </c>
      <c r="S184" s="101">
        <f t="shared" si="58"/>
        <v>0.20714384508037159</v>
      </c>
      <c r="T184" s="101">
        <f t="shared" si="59"/>
        <v>-0.41820252379359935</v>
      </c>
      <c r="U184" s="101">
        <f t="shared" si="60"/>
        <v>-0.52300144620353584</v>
      </c>
      <c r="V184" s="101">
        <f t="shared" si="61"/>
        <v>-0.66660820902109852</v>
      </c>
      <c r="W184" s="101">
        <f t="shared" si="62"/>
        <v>-0.85792913950166927</v>
      </c>
      <c r="X184" s="101">
        <f t="shared" si="63"/>
        <v>0.37932259505188165</v>
      </c>
      <c r="Y184" s="101">
        <f t="shared" si="64"/>
        <v>-0.80362516482383284</v>
      </c>
      <c r="Z184" s="101">
        <f t="shared" si="65"/>
        <v>0.80182677607489761</v>
      </c>
      <c r="AQ184" s="101">
        <v>-1.7054851580222079</v>
      </c>
      <c r="AR184" s="101">
        <v>1.1065470905936676</v>
      </c>
      <c r="AS184" s="101">
        <v>-0.47735411904052422</v>
      </c>
      <c r="AT184" s="101">
        <v>-9.3118556703185931E-2</v>
      </c>
      <c r="AU184" s="101">
        <v>-0.11230115465240183</v>
      </c>
      <c r="AV184" s="101">
        <v>0.5108251312080393</v>
      </c>
      <c r="AW184" s="101">
        <v>-7.6433541828330287E-2</v>
      </c>
      <c r="AX184" s="101">
        <v>-0.45985202425578109</v>
      </c>
      <c r="AY184" s="101">
        <v>-0.30470219879030308</v>
      </c>
      <c r="AZ184" s="101">
        <v>-0.15593207170256257</v>
      </c>
      <c r="BA184" s="101">
        <v>-0.43120628186774113</v>
      </c>
      <c r="BB184" s="101">
        <v>3.6402879095497817E-2</v>
      </c>
    </row>
    <row r="185" spans="2:54">
      <c r="B185">
        <v>5.7799999999999997E-2</v>
      </c>
      <c r="C185">
        <v>2.46</v>
      </c>
      <c r="D185">
        <v>0.48799999999999999</v>
      </c>
      <c r="E185">
        <v>6.98</v>
      </c>
      <c r="F185">
        <v>58.4</v>
      </c>
      <c r="G185">
        <v>2.8290000000000002</v>
      </c>
      <c r="H185">
        <v>3</v>
      </c>
      <c r="I185">
        <v>193</v>
      </c>
      <c r="J185">
        <v>17.8</v>
      </c>
      <c r="K185">
        <v>396.9</v>
      </c>
      <c r="L185">
        <v>5.04</v>
      </c>
      <c r="M185">
        <v>37.200000000000003</v>
      </c>
      <c r="O185" s="101">
        <f t="shared" si="54"/>
        <v>-0.41379104463125566</v>
      </c>
      <c r="P185" s="101">
        <f t="shared" si="55"/>
        <v>-1.2660230970924926</v>
      </c>
      <c r="Q185" s="101">
        <f t="shared" si="56"/>
        <v>-0.57613393570399951</v>
      </c>
      <c r="R185" s="101">
        <f t="shared" si="57"/>
        <v>0.99065865312422885</v>
      </c>
      <c r="S185" s="101">
        <f t="shared" si="58"/>
        <v>-0.36182530496905912</v>
      </c>
      <c r="T185" s="101">
        <f t="shared" si="59"/>
        <v>-0.45922688046749671</v>
      </c>
      <c r="U185" s="101">
        <f t="shared" si="60"/>
        <v>-0.75292215148502073</v>
      </c>
      <c r="V185" s="101">
        <f t="shared" si="61"/>
        <v>-1.2783543464658376</v>
      </c>
      <c r="W185" s="101">
        <f t="shared" si="62"/>
        <v>-0.30309414801651907</v>
      </c>
      <c r="X185" s="101">
        <f t="shared" si="63"/>
        <v>0.44105193260702835</v>
      </c>
      <c r="Y185" s="101">
        <f t="shared" si="64"/>
        <v>-1.067151877565476</v>
      </c>
      <c r="Z185" s="101">
        <f t="shared" si="65"/>
        <v>1.5963403619608005</v>
      </c>
      <c r="AQ185" s="101">
        <v>-2.5244327854723139</v>
      </c>
      <c r="AR185" s="101">
        <v>1.185118313287477</v>
      </c>
      <c r="AS185" s="101">
        <v>-0.22183498615699437</v>
      </c>
      <c r="AT185" s="101">
        <v>0.27469056684414594</v>
      </c>
      <c r="AU185" s="101">
        <v>0.13449615223917924</v>
      </c>
      <c r="AV185" s="101">
        <v>0.86097862866694652</v>
      </c>
      <c r="AW185" s="101">
        <v>0.53870502344940374</v>
      </c>
      <c r="AX185" s="101">
        <v>-0.64732595615522548</v>
      </c>
      <c r="AY185" s="101">
        <v>-9.8203059331093079E-2</v>
      </c>
      <c r="AZ185" s="101">
        <v>-0.46191016742218155</v>
      </c>
      <c r="BA185" s="101">
        <v>8.3004065239480895E-2</v>
      </c>
      <c r="BB185" s="101">
        <v>-5.7753955434154042E-2</v>
      </c>
    </row>
    <row r="186" spans="2:54">
      <c r="B186">
        <v>6.5879999999999994E-2</v>
      </c>
      <c r="C186">
        <v>2.46</v>
      </c>
      <c r="D186">
        <v>0.48799999999999999</v>
      </c>
      <c r="E186">
        <v>7.7649999999999997</v>
      </c>
      <c r="F186">
        <v>83.3</v>
      </c>
      <c r="G186">
        <v>2.7410000000000001</v>
      </c>
      <c r="H186">
        <v>3</v>
      </c>
      <c r="I186">
        <v>193</v>
      </c>
      <c r="J186">
        <v>17.8</v>
      </c>
      <c r="K186">
        <v>395.56</v>
      </c>
      <c r="L186">
        <v>7.56</v>
      </c>
      <c r="M186">
        <v>39.799999999999997</v>
      </c>
      <c r="O186" s="101">
        <f t="shared" si="54"/>
        <v>-0.41285074891176843</v>
      </c>
      <c r="P186" s="101">
        <f t="shared" si="55"/>
        <v>-1.2660230970924926</v>
      </c>
      <c r="Q186" s="101">
        <f t="shared" si="56"/>
        <v>-0.57613393570399951</v>
      </c>
      <c r="R186" s="101">
        <f t="shared" si="57"/>
        <v>2.10901571386652</v>
      </c>
      <c r="S186" s="101">
        <f t="shared" si="58"/>
        <v>0.52363293479536699</v>
      </c>
      <c r="T186" s="101">
        <f t="shared" si="59"/>
        <v>-0.50105936467726486</v>
      </c>
      <c r="U186" s="101">
        <f t="shared" si="60"/>
        <v>-0.75292215148502073</v>
      </c>
      <c r="V186" s="101">
        <f t="shared" si="61"/>
        <v>-1.2783543464658376</v>
      </c>
      <c r="W186" s="101">
        <f t="shared" si="62"/>
        <v>-0.30309414801651907</v>
      </c>
      <c r="X186" s="101">
        <f t="shared" si="63"/>
        <v>0.42635969240740224</v>
      </c>
      <c r="Y186" s="101">
        <f t="shared" si="64"/>
        <v>-0.71391394346497561</v>
      </c>
      <c r="Z186" s="101">
        <f t="shared" si="65"/>
        <v>1.8793178035092037</v>
      </c>
      <c r="AQ186" s="101">
        <v>-2.440765407382985</v>
      </c>
      <c r="AR186" s="101">
        <v>2.0692851367697305</v>
      </c>
      <c r="AS186" s="101">
        <v>-0.32645200339259922</v>
      </c>
      <c r="AT186" s="101">
        <v>0.3864592625129385</v>
      </c>
      <c r="AU186" s="101">
        <v>0.33415886469510037</v>
      </c>
      <c r="AV186" s="101">
        <v>1.595839998591877</v>
      </c>
      <c r="AW186" s="101">
        <v>-0.28474137176362346</v>
      </c>
      <c r="AX186" s="101">
        <v>-0.45178628556144496</v>
      </c>
      <c r="AY186" s="101">
        <v>0.21959537871768442</v>
      </c>
      <c r="AZ186" s="101">
        <v>-0.29537733064953281</v>
      </c>
      <c r="BA186" s="101">
        <v>0.1408015906257567</v>
      </c>
      <c r="BB186" s="101">
        <v>-2.4066090168357868E-2</v>
      </c>
    </row>
    <row r="187" spans="2:54">
      <c r="B187">
        <v>6.8879999999999997E-2</v>
      </c>
      <c r="C187">
        <v>2.46</v>
      </c>
      <c r="D187">
        <v>0.48799999999999999</v>
      </c>
      <c r="E187">
        <v>6.1440000000000001</v>
      </c>
      <c r="F187">
        <v>62.2</v>
      </c>
      <c r="G187">
        <v>2.5979000000000001</v>
      </c>
      <c r="H187">
        <v>3</v>
      </c>
      <c r="I187">
        <v>193</v>
      </c>
      <c r="J187">
        <v>17.8</v>
      </c>
      <c r="K187">
        <v>396.9</v>
      </c>
      <c r="L187">
        <v>9.4499999999999993</v>
      </c>
      <c r="M187">
        <v>36.200000000000003</v>
      </c>
      <c r="O187" s="101">
        <f t="shared" si="54"/>
        <v>-0.41250162921393901</v>
      </c>
      <c r="P187" s="101">
        <f t="shared" si="55"/>
        <v>-1.2660230970924926</v>
      </c>
      <c r="Q187" s="101">
        <f t="shared" si="56"/>
        <v>-0.57613393570399951</v>
      </c>
      <c r="R187" s="101">
        <f t="shared" si="57"/>
        <v>-0.20035600009941024</v>
      </c>
      <c r="S187" s="101">
        <f t="shared" si="58"/>
        <v>-0.22669513183231926</v>
      </c>
      <c r="T187" s="101">
        <f t="shared" si="59"/>
        <v>-0.56908468843201276</v>
      </c>
      <c r="U187" s="101">
        <f t="shared" si="60"/>
        <v>-0.75292215148502073</v>
      </c>
      <c r="V187" s="101">
        <f t="shared" si="61"/>
        <v>-1.2783543464658376</v>
      </c>
      <c r="W187" s="101">
        <f t="shared" si="62"/>
        <v>-0.30309414801651907</v>
      </c>
      <c r="X187" s="101">
        <f t="shared" si="63"/>
        <v>0.44105193260702835</v>
      </c>
      <c r="Y187" s="101">
        <f t="shared" si="64"/>
        <v>-0.44898549288960027</v>
      </c>
      <c r="Z187" s="101">
        <f t="shared" si="65"/>
        <v>1.4875028844421838</v>
      </c>
      <c r="AQ187" s="101">
        <v>-1.9735511032579662</v>
      </c>
      <c r="AR187" s="101">
        <v>0.38450318529344835</v>
      </c>
      <c r="AS187" s="101">
        <v>-0.72146720222050087</v>
      </c>
      <c r="AT187" s="101">
        <v>4.6266348157838783E-2</v>
      </c>
      <c r="AU187" s="101">
        <v>-0.10744626897072142</v>
      </c>
      <c r="AV187" s="101">
        <v>0.68936377241726832</v>
      </c>
      <c r="AW187" s="101">
        <v>0.76133620982916239</v>
      </c>
      <c r="AX187" s="101">
        <v>-1.2694422020142757</v>
      </c>
      <c r="AY187" s="101">
        <v>0.11874976845728713</v>
      </c>
      <c r="AZ187" s="101">
        <v>-0.35498510231127983</v>
      </c>
      <c r="BA187" s="101">
        <v>0.19474545171253888</v>
      </c>
      <c r="BB187" s="101">
        <v>-2.6323730195364409E-2</v>
      </c>
    </row>
    <row r="188" spans="2:54">
      <c r="B188">
        <v>9.103E-2</v>
      </c>
      <c r="C188">
        <v>2.46</v>
      </c>
      <c r="D188">
        <v>0.48799999999999999</v>
      </c>
      <c r="E188">
        <v>7.1550000000000002</v>
      </c>
      <c r="F188">
        <v>92.2</v>
      </c>
      <c r="G188">
        <v>2.7006000000000001</v>
      </c>
      <c r="H188">
        <v>3</v>
      </c>
      <c r="I188">
        <v>193</v>
      </c>
      <c r="J188">
        <v>17.8</v>
      </c>
      <c r="K188">
        <v>394.12</v>
      </c>
      <c r="L188">
        <v>4.82</v>
      </c>
      <c r="M188">
        <v>37.9</v>
      </c>
      <c r="O188" s="101">
        <f t="shared" si="54"/>
        <v>-0.4099239621116319</v>
      </c>
      <c r="P188" s="101">
        <f t="shared" si="55"/>
        <v>-1.2660230970924926</v>
      </c>
      <c r="Q188" s="101">
        <f t="shared" si="56"/>
        <v>-0.57613393570399951</v>
      </c>
      <c r="R188" s="101">
        <f t="shared" si="57"/>
        <v>1.239973921442574</v>
      </c>
      <c r="S188" s="101">
        <f t="shared" si="58"/>
        <v>0.84012202451036289</v>
      </c>
      <c r="T188" s="101">
        <f t="shared" si="59"/>
        <v>-0.52026427788265839</v>
      </c>
      <c r="U188" s="101">
        <f t="shared" si="60"/>
        <v>-0.75292215148502073</v>
      </c>
      <c r="V188" s="101">
        <f t="shared" si="61"/>
        <v>-1.2783543464658376</v>
      </c>
      <c r="W188" s="101">
        <f t="shared" si="62"/>
        <v>-0.30309414801651907</v>
      </c>
      <c r="X188" s="101">
        <f t="shared" si="63"/>
        <v>0.41057101637198284</v>
      </c>
      <c r="Y188" s="101">
        <f t="shared" si="64"/>
        <v>-1.0979901099075833</v>
      </c>
      <c r="Z188" s="101">
        <f t="shared" si="65"/>
        <v>1.6725265962238318</v>
      </c>
      <c r="AQ188" s="101">
        <v>-2.2221102050712522</v>
      </c>
      <c r="AR188" s="101">
        <v>1.658789568814655</v>
      </c>
      <c r="AS188" s="101">
        <v>-0.59185029759451746</v>
      </c>
      <c r="AT188" s="101">
        <v>0.3636460591620867</v>
      </c>
      <c r="AU188" s="101">
        <v>0.27417716715322554</v>
      </c>
      <c r="AV188" s="101">
        <v>1.4422930205796263</v>
      </c>
      <c r="AW188" s="101">
        <v>7.9997361880119133E-2</v>
      </c>
      <c r="AX188" s="101">
        <v>-0.80677902257975054</v>
      </c>
      <c r="AY188" s="101">
        <v>-0.22325985639710377</v>
      </c>
      <c r="AZ188" s="101">
        <v>0.19716113419155584</v>
      </c>
      <c r="BA188" s="101">
        <v>-3.4370368023491804E-2</v>
      </c>
      <c r="BB188" s="101">
        <v>-8.2380565247376275E-2</v>
      </c>
    </row>
    <row r="189" spans="2:54">
      <c r="B189">
        <v>0.10008</v>
      </c>
      <c r="C189">
        <v>2.46</v>
      </c>
      <c r="D189">
        <v>0.48799999999999999</v>
      </c>
      <c r="E189">
        <v>6.5629999999999997</v>
      </c>
      <c r="F189">
        <v>95.6</v>
      </c>
      <c r="G189">
        <v>2.847</v>
      </c>
      <c r="H189">
        <v>3</v>
      </c>
      <c r="I189">
        <v>193</v>
      </c>
      <c r="J189">
        <v>17.8</v>
      </c>
      <c r="K189">
        <v>396.9</v>
      </c>
      <c r="L189">
        <v>5.68</v>
      </c>
      <c r="M189">
        <v>32.5</v>
      </c>
      <c r="O189" s="101">
        <f t="shared" si="54"/>
        <v>-0.40887078435651314</v>
      </c>
      <c r="P189" s="101">
        <f t="shared" si="55"/>
        <v>-1.2660230970924926</v>
      </c>
      <c r="Q189" s="101">
        <f t="shared" si="56"/>
        <v>-0.57613393570399951</v>
      </c>
      <c r="R189" s="101">
        <f t="shared" si="57"/>
        <v>0.39657598518851334</v>
      </c>
      <c r="S189" s="101">
        <f t="shared" si="58"/>
        <v>0.96102796889586661</v>
      </c>
      <c r="T189" s="101">
        <f t="shared" si="59"/>
        <v>-0.45067023597004424</v>
      </c>
      <c r="U189" s="101">
        <f t="shared" si="60"/>
        <v>-0.75292215148502073</v>
      </c>
      <c r="V189" s="101">
        <f t="shared" si="61"/>
        <v>-1.2783543464658376</v>
      </c>
      <c r="W189" s="101">
        <f t="shared" si="62"/>
        <v>-0.30309414801651907</v>
      </c>
      <c r="X189" s="101">
        <f t="shared" si="63"/>
        <v>0.44105193260702835</v>
      </c>
      <c r="Y189" s="101">
        <f t="shared" si="64"/>
        <v>-0.97744065620661891</v>
      </c>
      <c r="Z189" s="101">
        <f t="shared" si="65"/>
        <v>1.0848042176233015</v>
      </c>
      <c r="AQ189" s="101">
        <v>-1.8357668355839942</v>
      </c>
      <c r="AR189" s="101">
        <v>0.8724065868705162</v>
      </c>
      <c r="AS189" s="101">
        <v>-0.88585056815897933</v>
      </c>
      <c r="AT189" s="101">
        <v>0.2009762613554833</v>
      </c>
      <c r="AU189" s="101">
        <v>0.12509896551349339</v>
      </c>
      <c r="AV189" s="101">
        <v>1.2800760688065398</v>
      </c>
      <c r="AW189" s="101">
        <v>0.16446643261885713</v>
      </c>
      <c r="AX189" s="101">
        <v>-0.96683418739735272</v>
      </c>
      <c r="AY189" s="101">
        <v>-0.47715237187103288</v>
      </c>
      <c r="AZ189" s="101">
        <v>0.37584119639661628</v>
      </c>
      <c r="BA189" s="101">
        <v>-0.20400902180827518</v>
      </c>
      <c r="BB189" s="101">
        <v>-0.15055699501448069</v>
      </c>
    </row>
    <row r="190" spans="2:54">
      <c r="B190">
        <v>8.3080000000000001E-2</v>
      </c>
      <c r="C190">
        <v>2.46</v>
      </c>
      <c r="D190">
        <v>0.48799999999999999</v>
      </c>
      <c r="E190">
        <v>5.6040000000000001</v>
      </c>
      <c r="F190">
        <v>89.8</v>
      </c>
      <c r="G190">
        <v>2.9878999999999998</v>
      </c>
      <c r="H190">
        <v>3</v>
      </c>
      <c r="I190">
        <v>193</v>
      </c>
      <c r="J190">
        <v>17.8</v>
      </c>
      <c r="K190">
        <v>391</v>
      </c>
      <c r="L190">
        <v>13.98</v>
      </c>
      <c r="M190">
        <v>26.4</v>
      </c>
      <c r="O190" s="101">
        <f t="shared" si="54"/>
        <v>-0.41084912931087986</v>
      </c>
      <c r="P190" s="101">
        <f t="shared" si="55"/>
        <v>-1.2660230970924926</v>
      </c>
      <c r="Q190" s="101">
        <f t="shared" si="56"/>
        <v>-0.57613393570399951</v>
      </c>
      <c r="R190" s="101">
        <f t="shared" si="57"/>
        <v>-0.96967168519601898</v>
      </c>
      <c r="S190" s="101">
        <f t="shared" si="58"/>
        <v>0.75477665200294819</v>
      </c>
      <c r="T190" s="101">
        <f t="shared" si="59"/>
        <v>-0.38369072432054069</v>
      </c>
      <c r="U190" s="101">
        <f t="shared" si="60"/>
        <v>-0.75292215148502073</v>
      </c>
      <c r="V190" s="101">
        <f t="shared" si="61"/>
        <v>-1.2783543464658376</v>
      </c>
      <c r="W190" s="101">
        <f t="shared" si="62"/>
        <v>-0.30309414801651907</v>
      </c>
      <c r="X190" s="101">
        <f t="shared" si="63"/>
        <v>0.37636221829524069</v>
      </c>
      <c r="Y190" s="101">
        <f t="shared" si="64"/>
        <v>0.18600174579106157</v>
      </c>
      <c r="Z190" s="101">
        <f t="shared" si="65"/>
        <v>0.42089560475973875</v>
      </c>
      <c r="AQ190" s="101">
        <v>-1.0611362529838553</v>
      </c>
      <c r="AR190" s="101">
        <v>-0.56475424050041623</v>
      </c>
      <c r="AS190" s="101">
        <v>-1.3636823917887297</v>
      </c>
      <c r="AT190" s="101">
        <v>-0.31030888140276758</v>
      </c>
      <c r="AU190" s="101">
        <v>-0.18966255006436605</v>
      </c>
      <c r="AV190" s="101">
        <v>0.98574832732016771</v>
      </c>
      <c r="AW190" s="101">
        <v>0.16226515647101891</v>
      </c>
      <c r="AX190" s="101">
        <v>-1.3821323124512122</v>
      </c>
      <c r="AY190" s="101">
        <v>-0.11633941705889547</v>
      </c>
      <c r="AZ190" s="101">
        <v>0.14010302663097185</v>
      </c>
      <c r="BA190" s="101">
        <v>-8.9932780491618985E-2</v>
      </c>
      <c r="BB190" s="101">
        <v>-0.14365075533115138</v>
      </c>
    </row>
    <row r="191" spans="2:54">
      <c r="B191">
        <v>6.0470000000000003E-2</v>
      </c>
      <c r="C191">
        <v>2.46</v>
      </c>
      <c r="D191">
        <v>0.48799999999999999</v>
      </c>
      <c r="E191">
        <v>6.1529999999999996</v>
      </c>
      <c r="F191">
        <v>68.8</v>
      </c>
      <c r="G191">
        <v>3.2797000000000001</v>
      </c>
      <c r="H191">
        <v>3</v>
      </c>
      <c r="I191">
        <v>193</v>
      </c>
      <c r="J191">
        <v>17.8</v>
      </c>
      <c r="K191">
        <v>387.11</v>
      </c>
      <c r="L191">
        <v>13.15</v>
      </c>
      <c r="M191">
        <v>29.6</v>
      </c>
      <c r="O191" s="101">
        <f t="shared" si="54"/>
        <v>-0.41348032810018748</v>
      </c>
      <c r="P191" s="101">
        <f t="shared" si="55"/>
        <v>-1.2660230970924926</v>
      </c>
      <c r="Q191" s="101">
        <f t="shared" si="56"/>
        <v>-0.57613393570399951</v>
      </c>
      <c r="R191" s="101">
        <f t="shared" si="57"/>
        <v>-0.18753407201446753</v>
      </c>
      <c r="S191" s="101">
        <f t="shared" si="58"/>
        <v>8.0046425630706224E-3</v>
      </c>
      <c r="T191" s="101">
        <f t="shared" si="59"/>
        <v>-0.24497800963405958</v>
      </c>
      <c r="U191" s="101">
        <f t="shared" si="60"/>
        <v>-0.75292215148502073</v>
      </c>
      <c r="V191" s="101">
        <f t="shared" si="61"/>
        <v>-1.2783543464658376</v>
      </c>
      <c r="W191" s="101">
        <f t="shared" si="62"/>
        <v>-0.30309414801651907</v>
      </c>
      <c r="X191" s="101">
        <f t="shared" si="63"/>
        <v>0.33371086428289254</v>
      </c>
      <c r="Y191" s="101">
        <f t="shared" si="64"/>
        <v>6.9657505591293523E-2</v>
      </c>
      <c r="Z191" s="101">
        <f t="shared" si="65"/>
        <v>0.76917553281931283</v>
      </c>
      <c r="AQ191" s="101">
        <v>-1.6142236153078042</v>
      </c>
      <c r="AR191" s="101">
        <v>-0.13977947558083675</v>
      </c>
      <c r="AS191" s="101">
        <v>-0.8043866663832695</v>
      </c>
      <c r="AT191" s="101">
        <v>-0.25031210749361416</v>
      </c>
      <c r="AU191" s="101">
        <v>-9.1594413192488899E-2</v>
      </c>
      <c r="AV191" s="101">
        <v>0.84089846287629955</v>
      </c>
      <c r="AW191" s="101">
        <v>0.17539842905759873</v>
      </c>
      <c r="AX191" s="101">
        <v>-0.9836557621749149</v>
      </c>
      <c r="AY191" s="101">
        <v>0.11611244877754159</v>
      </c>
      <c r="AZ191" s="101">
        <v>-0.34052558451804193</v>
      </c>
      <c r="BA191" s="101">
        <v>0.12255058839970864</v>
      </c>
      <c r="BB191" s="101">
        <v>-9.2196446002206972E-2</v>
      </c>
    </row>
    <row r="192" spans="2:54">
      <c r="B192">
        <v>5.602E-2</v>
      </c>
      <c r="C192">
        <v>2.46</v>
      </c>
      <c r="D192">
        <v>0.48799999999999999</v>
      </c>
      <c r="E192">
        <v>7.8310000000000004</v>
      </c>
      <c r="F192">
        <v>53.6</v>
      </c>
      <c r="G192">
        <v>3.1991999999999998</v>
      </c>
      <c r="H192">
        <v>3</v>
      </c>
      <c r="I192">
        <v>193</v>
      </c>
      <c r="J192">
        <v>17.8</v>
      </c>
      <c r="K192">
        <v>392.63</v>
      </c>
      <c r="L192">
        <v>4.45</v>
      </c>
      <c r="M192">
        <v>50</v>
      </c>
      <c r="O192" s="101">
        <f t="shared" si="54"/>
        <v>-0.41399818898530105</v>
      </c>
      <c r="P192" s="101">
        <f t="shared" si="55"/>
        <v>-1.2660230970924926</v>
      </c>
      <c r="Q192" s="101">
        <f t="shared" si="56"/>
        <v>-0.57613393570399951</v>
      </c>
      <c r="R192" s="101">
        <f t="shared" si="57"/>
        <v>2.20304318648944</v>
      </c>
      <c r="S192" s="101">
        <f t="shared" si="58"/>
        <v>-0.53251604998388824</v>
      </c>
      <c r="T192" s="101">
        <f t="shared" si="59"/>
        <v>-0.28324522530322255</v>
      </c>
      <c r="U192" s="101">
        <f t="shared" si="60"/>
        <v>-0.75292215148502073</v>
      </c>
      <c r="V192" s="101">
        <f t="shared" si="61"/>
        <v>-1.2783543464658376</v>
      </c>
      <c r="W192" s="101">
        <f t="shared" si="62"/>
        <v>-0.30309414801651907</v>
      </c>
      <c r="X192" s="101">
        <f t="shared" si="63"/>
        <v>0.39423412241866679</v>
      </c>
      <c r="Y192" s="101">
        <f t="shared" si="64"/>
        <v>-1.1498544097556724</v>
      </c>
      <c r="Z192" s="101">
        <f t="shared" si="65"/>
        <v>2.9894600741990951</v>
      </c>
      <c r="AQ192" s="101">
        <v>-3.2820312502129534</v>
      </c>
      <c r="AR192" s="101">
        <v>2.4711136808780658</v>
      </c>
      <c r="AS192" s="101">
        <v>0.29744712288301428</v>
      </c>
      <c r="AT192" s="101">
        <v>0.53811476353817411</v>
      </c>
      <c r="AU192" s="101">
        <v>0.31284430782454059</v>
      </c>
      <c r="AV192" s="101">
        <v>1.032073704676477</v>
      </c>
      <c r="AW192" s="101">
        <v>0.40075374906031869</v>
      </c>
      <c r="AX192" s="101">
        <v>-0.60654982319274175</v>
      </c>
      <c r="AY192" s="101">
        <v>0.52665415717079389</v>
      </c>
      <c r="AZ192" s="101">
        <v>-0.52062693595237741</v>
      </c>
      <c r="BA192" s="101">
        <v>0.72304824332318074</v>
      </c>
      <c r="BB192" s="101">
        <v>0.10863113961159748</v>
      </c>
    </row>
    <row r="193" spans="2:54">
      <c r="B193">
        <v>7.8750000000000001E-2</v>
      </c>
      <c r="C193">
        <v>3.44</v>
      </c>
      <c r="D193">
        <v>0.437</v>
      </c>
      <c r="E193">
        <v>6.782</v>
      </c>
      <c r="F193">
        <v>41.1</v>
      </c>
      <c r="G193">
        <v>3.7886000000000002</v>
      </c>
      <c r="H193">
        <v>5</v>
      </c>
      <c r="I193">
        <v>398</v>
      </c>
      <c r="J193">
        <v>15.2</v>
      </c>
      <c r="K193">
        <v>393.87</v>
      </c>
      <c r="L193">
        <v>6.68</v>
      </c>
      <c r="M193">
        <v>32</v>
      </c>
      <c r="O193" s="101">
        <f t="shared" si="54"/>
        <v>-0.41135302540808028</v>
      </c>
      <c r="P193" s="101">
        <f t="shared" si="55"/>
        <v>-1.1230319382394767</v>
      </c>
      <c r="Q193" s="101">
        <f t="shared" si="56"/>
        <v>-1.0166887689156694</v>
      </c>
      <c r="R193" s="101">
        <f t="shared" si="57"/>
        <v>0.70857623525547175</v>
      </c>
      <c r="S193" s="101">
        <f t="shared" si="58"/>
        <v>-0.97702319846000574</v>
      </c>
      <c r="T193" s="101">
        <f t="shared" si="59"/>
        <v>-3.0626549255256688E-3</v>
      </c>
      <c r="U193" s="101">
        <f t="shared" si="60"/>
        <v>-0.52300144620353584</v>
      </c>
      <c r="V193" s="101">
        <f t="shared" si="61"/>
        <v>-6.0801354464172584E-2</v>
      </c>
      <c r="W193" s="101">
        <f t="shared" si="62"/>
        <v>-1.5052366295676791</v>
      </c>
      <c r="X193" s="101">
        <f t="shared" si="63"/>
        <v>0.4078299267825003</v>
      </c>
      <c r="Y193" s="101">
        <f t="shared" si="64"/>
        <v>-0.8372668728334044</v>
      </c>
      <c r="Z193" s="101">
        <f t="shared" si="65"/>
        <v>1.030385478863993</v>
      </c>
      <c r="AQ193" s="101">
        <v>-2.4090749338920392</v>
      </c>
      <c r="AR193" s="101">
        <v>0.86866366698174891</v>
      </c>
      <c r="AS193" s="101">
        <v>0.23459908280761668</v>
      </c>
      <c r="AT193" s="101">
        <v>-0.40300953045705407</v>
      </c>
      <c r="AU193" s="101">
        <v>-0.55992266374048738</v>
      </c>
      <c r="AV193" s="101">
        <v>-0.42632441432910517</v>
      </c>
      <c r="AW193" s="101">
        <v>6.7583131365297922E-2</v>
      </c>
      <c r="AX193" s="101">
        <v>-0.44307198283299076</v>
      </c>
      <c r="AY193" s="101">
        <v>0.23710502027727759</v>
      </c>
      <c r="AZ193" s="101">
        <v>-0.34933007913256375</v>
      </c>
      <c r="BA193" s="101">
        <v>-0.75633692283537068</v>
      </c>
      <c r="BB193" s="101">
        <v>0.4130593315371619</v>
      </c>
    </row>
    <row r="194" spans="2:54">
      <c r="B194">
        <v>0.12579000000000001</v>
      </c>
      <c r="C194">
        <v>3.44</v>
      </c>
      <c r="D194">
        <v>0.437</v>
      </c>
      <c r="E194">
        <v>6.556</v>
      </c>
      <c r="F194">
        <v>29.1</v>
      </c>
      <c r="G194">
        <v>4.5667</v>
      </c>
      <c r="H194">
        <v>5</v>
      </c>
      <c r="I194">
        <v>398</v>
      </c>
      <c r="J194">
        <v>15.2</v>
      </c>
      <c r="K194">
        <v>382.84</v>
      </c>
      <c r="L194">
        <v>4.5599999999999996</v>
      </c>
      <c r="M194">
        <v>29.8</v>
      </c>
      <c r="O194" s="101">
        <f t="shared" si="54"/>
        <v>-0.40587882854611512</v>
      </c>
      <c r="P194" s="101">
        <f t="shared" si="55"/>
        <v>-1.1230319382394767</v>
      </c>
      <c r="Q194" s="101">
        <f t="shared" si="56"/>
        <v>-1.0166887689156694</v>
      </c>
      <c r="R194" s="101">
        <f t="shared" si="57"/>
        <v>0.38660337445577997</v>
      </c>
      <c r="S194" s="101">
        <f t="shared" si="58"/>
        <v>-1.4037500609970786</v>
      </c>
      <c r="T194" s="101">
        <f t="shared" si="59"/>
        <v>0.36682207193379862</v>
      </c>
      <c r="U194" s="101">
        <f t="shared" si="60"/>
        <v>-0.52300144620353584</v>
      </c>
      <c r="V194" s="101">
        <f t="shared" si="61"/>
        <v>-6.0801354464172584E-2</v>
      </c>
      <c r="W194" s="101">
        <f t="shared" si="62"/>
        <v>-1.5052366295676791</v>
      </c>
      <c r="X194" s="101">
        <f t="shared" si="63"/>
        <v>0.28689305409453036</v>
      </c>
      <c r="Y194" s="101">
        <f t="shared" si="64"/>
        <v>-1.1344352935846189</v>
      </c>
      <c r="Z194" s="101">
        <f t="shared" si="65"/>
        <v>0.79094302832303609</v>
      </c>
      <c r="AQ194" s="101">
        <v>-2.5826004705668404</v>
      </c>
      <c r="AR194" s="101">
        <v>0.43611819279750497</v>
      </c>
      <c r="AS194" s="101">
        <v>0.51059085031072371</v>
      </c>
      <c r="AT194" s="101">
        <v>-0.54951855531163307</v>
      </c>
      <c r="AU194" s="101">
        <v>-0.55643309966218901</v>
      </c>
      <c r="AV194" s="101">
        <v>-0.78576302563556732</v>
      </c>
      <c r="AW194" s="101">
        <v>0.27583321657308568</v>
      </c>
      <c r="AX194" s="101">
        <v>-0.31621570065226695</v>
      </c>
      <c r="AY194" s="101">
        <v>-2.8988592407825697E-2</v>
      </c>
      <c r="AZ194" s="101">
        <v>-0.27941745865123169</v>
      </c>
      <c r="BA194" s="101">
        <v>-0.71497085547910721</v>
      </c>
      <c r="BB194" s="101">
        <v>0.36881220438964274</v>
      </c>
    </row>
    <row r="195" spans="2:54">
      <c r="B195">
        <v>8.3699999999999997E-2</v>
      </c>
      <c r="C195">
        <v>3.44</v>
      </c>
      <c r="D195">
        <v>0.437</v>
      </c>
      <c r="E195">
        <v>7.1849999999999996</v>
      </c>
      <c r="F195">
        <v>38.9</v>
      </c>
      <c r="G195">
        <v>4.5667</v>
      </c>
      <c r="H195">
        <v>5</v>
      </c>
      <c r="I195">
        <v>398</v>
      </c>
      <c r="J195">
        <v>15.2</v>
      </c>
      <c r="K195">
        <v>396.9</v>
      </c>
      <c r="L195">
        <v>5.39</v>
      </c>
      <c r="M195">
        <v>34.9</v>
      </c>
      <c r="O195" s="101">
        <f t="shared" si="54"/>
        <v>-0.41077697790666173</v>
      </c>
      <c r="P195" s="101">
        <f t="shared" si="55"/>
        <v>-1.1230319382394767</v>
      </c>
      <c r="Q195" s="101">
        <f t="shared" si="56"/>
        <v>-1.0166887689156694</v>
      </c>
      <c r="R195" s="101">
        <f t="shared" si="57"/>
        <v>1.2827136817257179</v>
      </c>
      <c r="S195" s="101">
        <f t="shared" si="58"/>
        <v>-1.0552564565918026</v>
      </c>
      <c r="T195" s="101">
        <f t="shared" si="59"/>
        <v>0.36682207193379862</v>
      </c>
      <c r="U195" s="101">
        <f t="shared" si="60"/>
        <v>-0.52300144620353584</v>
      </c>
      <c r="V195" s="101">
        <f t="shared" si="61"/>
        <v>-6.0801354464172584E-2</v>
      </c>
      <c r="W195" s="101">
        <f t="shared" si="62"/>
        <v>-1.5052366295676791</v>
      </c>
      <c r="X195" s="101">
        <f t="shared" si="63"/>
        <v>0.44105193260702835</v>
      </c>
      <c r="Y195" s="101">
        <f t="shared" si="64"/>
        <v>-1.0180910533848511</v>
      </c>
      <c r="Z195" s="101">
        <f t="shared" si="65"/>
        <v>1.3460141636679814</v>
      </c>
      <c r="AQ195" s="101">
        <v>-2.8140851728458629</v>
      </c>
      <c r="AR195" s="101">
        <v>1.2428065520118721</v>
      </c>
      <c r="AS195" s="101">
        <v>0.55818344502247763</v>
      </c>
      <c r="AT195" s="101">
        <v>-0.28896447813775156</v>
      </c>
      <c r="AU195" s="101">
        <v>-0.50050043641332465</v>
      </c>
      <c r="AV195" s="101">
        <v>-0.40652887019417799</v>
      </c>
      <c r="AW195" s="101">
        <v>-0.15323373839839743</v>
      </c>
      <c r="AX195" s="101">
        <v>-0.19483162773652796</v>
      </c>
      <c r="AY195" s="101">
        <v>0.29719994666847743</v>
      </c>
      <c r="AZ195" s="101">
        <v>-0.25176285642882468</v>
      </c>
      <c r="BA195" s="101">
        <v>-0.51866901598061654</v>
      </c>
      <c r="BB195" s="101">
        <v>0.43148525376178259</v>
      </c>
    </row>
    <row r="196" spans="2:54">
      <c r="B196">
        <v>9.0679999999999997E-2</v>
      </c>
      <c r="C196">
        <v>3.44</v>
      </c>
      <c r="D196">
        <v>0.437</v>
      </c>
      <c r="E196">
        <v>6.9509999999999996</v>
      </c>
      <c r="F196">
        <v>21.5</v>
      </c>
      <c r="G196">
        <v>6.4798</v>
      </c>
      <c r="H196">
        <v>5</v>
      </c>
      <c r="I196">
        <v>398</v>
      </c>
      <c r="J196">
        <v>15.2</v>
      </c>
      <c r="K196">
        <v>377.68</v>
      </c>
      <c r="L196">
        <v>5.0999999999999996</v>
      </c>
      <c r="M196">
        <v>37</v>
      </c>
      <c r="O196" s="101">
        <f t="shared" si="54"/>
        <v>-0.40996469274304531</v>
      </c>
      <c r="P196" s="101">
        <f t="shared" si="55"/>
        <v>-1.1230319382394767</v>
      </c>
      <c r="Q196" s="101">
        <f t="shared" si="56"/>
        <v>-1.0166887689156694</v>
      </c>
      <c r="R196" s="101">
        <f t="shared" si="57"/>
        <v>0.94934355151718752</v>
      </c>
      <c r="S196" s="101">
        <f t="shared" si="58"/>
        <v>-1.6740104072705582</v>
      </c>
      <c r="T196" s="101">
        <f t="shared" si="59"/>
        <v>1.2762507712713818</v>
      </c>
      <c r="U196" s="101">
        <f t="shared" si="60"/>
        <v>-0.52300144620353584</v>
      </c>
      <c r="V196" s="101">
        <f t="shared" si="61"/>
        <v>-6.0801354464172584E-2</v>
      </c>
      <c r="W196" s="101">
        <f t="shared" si="62"/>
        <v>-1.5052366295676791</v>
      </c>
      <c r="X196" s="101">
        <f t="shared" si="63"/>
        <v>0.23031696496761109</v>
      </c>
      <c r="Y196" s="101">
        <f t="shared" si="64"/>
        <v>-1.0587414505630832</v>
      </c>
      <c r="Z196" s="101">
        <f t="shared" si="65"/>
        <v>1.5745728664570771</v>
      </c>
      <c r="AQ196" s="101">
        <v>-3.2317908500036414</v>
      </c>
      <c r="AR196" s="101">
        <v>0.75317130176688596</v>
      </c>
      <c r="AS196" s="101">
        <v>1.0706809736402694</v>
      </c>
      <c r="AT196" s="101">
        <v>-0.54658437816744798</v>
      </c>
      <c r="AU196" s="101">
        <v>-0.52703198941409346</v>
      </c>
      <c r="AV196" s="101">
        <v>-0.93256187111370659</v>
      </c>
      <c r="AW196" s="101">
        <v>-7.2209836358513801E-2</v>
      </c>
      <c r="AX196" s="101">
        <v>-0.15886946960247894</v>
      </c>
      <c r="AY196" s="101">
        <v>0.3777099764997584</v>
      </c>
      <c r="AZ196" s="101">
        <v>-3.2341215178248395E-2</v>
      </c>
      <c r="BA196" s="101">
        <v>6.0579080721718581E-2</v>
      </c>
      <c r="BB196" s="101">
        <v>0.45761503504650636</v>
      </c>
    </row>
    <row r="197" spans="2:54">
      <c r="B197">
        <v>6.9110000000000005E-2</v>
      </c>
      <c r="C197">
        <v>3.44</v>
      </c>
      <c r="D197">
        <v>0.437</v>
      </c>
      <c r="E197">
        <v>6.7389999999999999</v>
      </c>
      <c r="F197">
        <v>30.8</v>
      </c>
      <c r="G197">
        <v>6.4798</v>
      </c>
      <c r="H197">
        <v>5</v>
      </c>
      <c r="I197">
        <v>398</v>
      </c>
      <c r="J197">
        <v>15.2</v>
      </c>
      <c r="K197">
        <v>389.71</v>
      </c>
      <c r="L197">
        <v>4.6900000000000004</v>
      </c>
      <c r="M197">
        <v>30.5</v>
      </c>
      <c r="O197" s="101">
        <f t="shared" si="54"/>
        <v>-0.41247486337043882</v>
      </c>
      <c r="P197" s="101">
        <f t="shared" si="55"/>
        <v>-1.1230319382394767</v>
      </c>
      <c r="Q197" s="101">
        <f t="shared" si="56"/>
        <v>-1.0166887689156694</v>
      </c>
      <c r="R197" s="101">
        <f t="shared" si="57"/>
        <v>0.6473159121829638</v>
      </c>
      <c r="S197" s="101">
        <f t="shared" si="58"/>
        <v>-1.3432970888043267</v>
      </c>
      <c r="T197" s="101">
        <f t="shared" si="59"/>
        <v>1.2762507712713818</v>
      </c>
      <c r="U197" s="101">
        <f t="shared" si="60"/>
        <v>-0.52300144620353584</v>
      </c>
      <c r="V197" s="101">
        <f t="shared" si="61"/>
        <v>-6.0801354464172584E-2</v>
      </c>
      <c r="W197" s="101">
        <f t="shared" si="62"/>
        <v>-1.5052366295676791</v>
      </c>
      <c r="X197" s="101">
        <f t="shared" si="63"/>
        <v>0.36221819601351057</v>
      </c>
      <c r="Y197" s="101">
        <f t="shared" si="64"/>
        <v>-1.1162127017461012</v>
      </c>
      <c r="Z197" s="101">
        <f t="shared" si="65"/>
        <v>0.86712926258606782</v>
      </c>
      <c r="AQ197" s="101">
        <v>-2.9211464023177727</v>
      </c>
      <c r="AR197" s="101">
        <v>0.31415123637582953</v>
      </c>
      <c r="AS197" s="101">
        <v>0.80489803580929375</v>
      </c>
      <c r="AT197" s="101">
        <v>-0.55360844789144503</v>
      </c>
      <c r="AU197" s="101">
        <v>-0.60530448813727344</v>
      </c>
      <c r="AV197" s="101">
        <v>-0.86774557241526917</v>
      </c>
      <c r="AW197" s="101">
        <v>-0.23196108511818464</v>
      </c>
      <c r="AX197" s="101">
        <v>-3.8975760929796266E-2</v>
      </c>
      <c r="AY197" s="101">
        <v>-9.3638544263408008E-3</v>
      </c>
      <c r="AZ197" s="101">
        <v>0.13338564092212987</v>
      </c>
      <c r="BA197" s="101">
        <v>-0.2911796895878816</v>
      </c>
      <c r="BB197" s="101">
        <v>0.35466526420472572</v>
      </c>
    </row>
    <row r="198" spans="2:54">
      <c r="B198">
        <v>8.6639999999999995E-2</v>
      </c>
      <c r="C198">
        <v>3.44</v>
      </c>
      <c r="D198">
        <v>0.437</v>
      </c>
      <c r="E198">
        <v>7.1779999999999999</v>
      </c>
      <c r="F198">
        <v>26.3</v>
      </c>
      <c r="G198">
        <v>6.4798</v>
      </c>
      <c r="H198">
        <v>5</v>
      </c>
      <c r="I198">
        <v>398</v>
      </c>
      <c r="J198">
        <v>15.2</v>
      </c>
      <c r="K198">
        <v>390.49</v>
      </c>
      <c r="L198">
        <v>2.87</v>
      </c>
      <c r="M198">
        <v>36.4</v>
      </c>
      <c r="O198" s="101">
        <f t="shared" ref="O198:O261" si="66">(B198-B$1)/B$2</f>
        <v>-0.4104348406027889</v>
      </c>
      <c r="P198" s="101">
        <f t="shared" ref="P198:P261" si="67">(C198-C$1)/C$2</f>
        <v>-1.1230319382394767</v>
      </c>
      <c r="Q198" s="101">
        <f t="shared" ref="Q198:Q261" si="68">(D198-D$1)/D$2</f>
        <v>-1.0166887689156694</v>
      </c>
      <c r="R198" s="101">
        <f t="shared" ref="R198:R261" si="69">(E198-E$1)/E$2</f>
        <v>1.2727410709929847</v>
      </c>
      <c r="S198" s="101">
        <f t="shared" ref="S198:S261" si="70">(F198-F$1)/F$2</f>
        <v>-1.5033196622557292</v>
      </c>
      <c r="T198" s="101">
        <f t="shared" ref="T198:T261" si="71">(G198-G$1)/G$2</f>
        <v>1.2762507712713818</v>
      </c>
      <c r="U198" s="101">
        <f t="shared" ref="U198:U261" si="72">(H198-H$1)/H$2</f>
        <v>-0.52300144620353584</v>
      </c>
      <c r="V198" s="101">
        <f t="shared" ref="V198:V261" si="73">(I198-I$1)/I$2</f>
        <v>-6.0801354464172584E-2</v>
      </c>
      <c r="W198" s="101">
        <f t="shared" ref="W198:W261" si="74">(J198-J$1)/J$2</f>
        <v>-1.5052366295676791</v>
      </c>
      <c r="X198" s="101">
        <f t="shared" ref="X198:X261" si="75">(K198-K$1)/K$2</f>
        <v>0.37077039553269642</v>
      </c>
      <c r="Y198" s="101">
        <f t="shared" ref="Y198:Y261" si="76">(L198-L$1)/L$2</f>
        <v>-1.3713289874853516</v>
      </c>
      <c r="Z198" s="101">
        <f t="shared" ref="Z198:Z261" si="77">(M198-M$1)/M$2</f>
        <v>1.5092703799459066</v>
      </c>
      <c r="AQ198" s="101">
        <v>-3.3602424780073377</v>
      </c>
      <c r="AR198" s="101">
        <v>1.0047032901677073</v>
      </c>
      <c r="AS198" s="101">
        <v>1.0972713153194558</v>
      </c>
      <c r="AT198" s="101">
        <v>-0.3588041817580524</v>
      </c>
      <c r="AU198" s="101">
        <v>-0.50708139793029805</v>
      </c>
      <c r="AV198" s="101">
        <v>-0.8197841549350191</v>
      </c>
      <c r="AW198" s="101">
        <v>-0.17932009415642913</v>
      </c>
      <c r="AX198" s="101">
        <v>3.2625395566912019E-2</v>
      </c>
      <c r="AY198" s="101">
        <v>0.16394551582245481</v>
      </c>
      <c r="AZ198" s="101">
        <v>6.9996589786177787E-2</v>
      </c>
      <c r="BA198" s="101">
        <v>-8.3751427680833546E-2</v>
      </c>
      <c r="BB198" s="101">
        <v>0.41982417439192715</v>
      </c>
    </row>
    <row r="199" spans="2:54">
      <c r="B199">
        <v>2.1870000000000001E-2</v>
      </c>
      <c r="C199">
        <v>2.93</v>
      </c>
      <c r="D199">
        <v>0.40100000000000002</v>
      </c>
      <c r="E199">
        <v>6.8</v>
      </c>
      <c r="F199">
        <v>9.9</v>
      </c>
      <c r="G199">
        <v>6.2195999999999998</v>
      </c>
      <c r="H199">
        <v>1</v>
      </c>
      <c r="I199">
        <v>265</v>
      </c>
      <c r="J199">
        <v>15.6</v>
      </c>
      <c r="K199">
        <v>393.37</v>
      </c>
      <c r="L199">
        <v>5.03</v>
      </c>
      <c r="M199">
        <v>31.1</v>
      </c>
      <c r="O199" s="101">
        <f t="shared" si="66"/>
        <v>-0.41797233487892588</v>
      </c>
      <c r="P199" s="101">
        <f t="shared" si="67"/>
        <v>-1.1974457045813522</v>
      </c>
      <c r="Q199" s="101">
        <f t="shared" si="68"/>
        <v>-1.3276686511827305</v>
      </c>
      <c r="R199" s="101">
        <f t="shared" si="69"/>
        <v>0.73422009142535838</v>
      </c>
      <c r="S199" s="101">
        <f t="shared" si="70"/>
        <v>-2.0865130410563952</v>
      </c>
      <c r="T199" s="101">
        <f t="shared" si="71"/>
        <v>1.1525597213693175</v>
      </c>
      <c r="U199" s="101">
        <f t="shared" si="72"/>
        <v>-0.98284285676650562</v>
      </c>
      <c r="V199" s="101">
        <f t="shared" si="73"/>
        <v>-0.85072597854330156</v>
      </c>
      <c r="W199" s="101">
        <f t="shared" si="74"/>
        <v>-1.3202916324059621</v>
      </c>
      <c r="X199" s="101">
        <f t="shared" si="75"/>
        <v>0.4023477476035352</v>
      </c>
      <c r="Y199" s="101">
        <f t="shared" si="76"/>
        <v>-1.0685536153992081</v>
      </c>
      <c r="Z199" s="101">
        <f t="shared" si="77"/>
        <v>0.93243174909723803</v>
      </c>
      <c r="AQ199" s="101">
        <v>-3.6438692664501264</v>
      </c>
      <c r="AR199" s="101">
        <v>-4.5126179678093903E-2</v>
      </c>
      <c r="AS199" s="101">
        <v>0.74421244159547484</v>
      </c>
      <c r="AT199" s="101">
        <v>-0.63524474878842307</v>
      </c>
      <c r="AU199" s="101">
        <v>-0.48911775572694449</v>
      </c>
      <c r="AV199" s="101">
        <v>-0.5503346670488396</v>
      </c>
      <c r="AW199" s="101">
        <v>0.30181859896605473</v>
      </c>
      <c r="AX199" s="101">
        <v>0.20406833551777048</v>
      </c>
      <c r="AY199" s="101">
        <v>0.26149198886160635</v>
      </c>
      <c r="AZ199" s="101">
        <v>-0.41456778957541085</v>
      </c>
      <c r="BA199" s="101">
        <v>-0.15795622271069087</v>
      </c>
      <c r="BB199" s="101">
        <v>0.14508625749955645</v>
      </c>
    </row>
    <row r="200" spans="2:54">
      <c r="B200">
        <v>1.439E-2</v>
      </c>
      <c r="C200">
        <v>2.93</v>
      </c>
      <c r="D200">
        <v>0.40100000000000002</v>
      </c>
      <c r="E200">
        <v>6.6040000000000001</v>
      </c>
      <c r="F200">
        <v>18.8</v>
      </c>
      <c r="G200">
        <v>6.2195999999999998</v>
      </c>
      <c r="H200">
        <v>1</v>
      </c>
      <c r="I200">
        <v>265</v>
      </c>
      <c r="J200">
        <v>15.6</v>
      </c>
      <c r="K200">
        <v>376.7</v>
      </c>
      <c r="L200">
        <v>4.38</v>
      </c>
      <c r="M200">
        <v>29.1</v>
      </c>
      <c r="O200" s="101">
        <f t="shared" si="66"/>
        <v>-0.41884280665884716</v>
      </c>
      <c r="P200" s="101">
        <f t="shared" si="67"/>
        <v>-1.1974457045813522</v>
      </c>
      <c r="Q200" s="101">
        <f t="shared" si="68"/>
        <v>-1.3276686511827305</v>
      </c>
      <c r="R200" s="101">
        <f t="shared" si="69"/>
        <v>0.45498699090881189</v>
      </c>
      <c r="S200" s="101">
        <f t="shared" si="70"/>
        <v>-1.7700239513413998</v>
      </c>
      <c r="T200" s="101">
        <f t="shared" si="71"/>
        <v>1.1525597213693175</v>
      </c>
      <c r="U200" s="101">
        <f t="shared" si="72"/>
        <v>-0.98284285676650562</v>
      </c>
      <c r="V200" s="101">
        <f t="shared" si="73"/>
        <v>-0.85072597854330156</v>
      </c>
      <c r="W200" s="101">
        <f t="shared" si="74"/>
        <v>-1.3202916324059621</v>
      </c>
      <c r="X200" s="101">
        <f t="shared" si="75"/>
        <v>0.21957189377683933</v>
      </c>
      <c r="Y200" s="101">
        <f t="shared" si="76"/>
        <v>-1.1596665745917976</v>
      </c>
      <c r="Z200" s="101">
        <f t="shared" si="77"/>
        <v>0.71475679406000447</v>
      </c>
      <c r="AQ200" s="101">
        <v>-3.4223784481012829</v>
      </c>
      <c r="AR200" s="101">
        <v>-0.19988571694416135</v>
      </c>
      <c r="AS200" s="101">
        <v>0.62861309814762745</v>
      </c>
      <c r="AT200" s="101">
        <v>-0.78050144388929898</v>
      </c>
      <c r="AU200" s="101">
        <v>-0.39307086689416237</v>
      </c>
      <c r="AV200" s="101">
        <v>-0.48765824122672435</v>
      </c>
      <c r="AW200" s="101">
        <v>0.31859615372285222</v>
      </c>
      <c r="AX200" s="101">
        <v>9.4025147179353119E-2</v>
      </c>
      <c r="AY200" s="101">
        <v>5.1954693202639346E-2</v>
      </c>
      <c r="AZ200" s="101">
        <v>-0.14588274841162796</v>
      </c>
      <c r="BA200" s="101">
        <v>-0.28685375335926505</v>
      </c>
      <c r="BB200" s="101">
        <v>0.10635188467387538</v>
      </c>
    </row>
    <row r="201" spans="2:54">
      <c r="B201">
        <v>1.3809999999999999E-2</v>
      </c>
      <c r="C201">
        <v>0.46</v>
      </c>
      <c r="D201">
        <v>0.42199999999999999</v>
      </c>
      <c r="E201">
        <v>7.875</v>
      </c>
      <c r="F201">
        <v>32</v>
      </c>
      <c r="G201">
        <v>5.6483999999999996</v>
      </c>
      <c r="H201">
        <v>4</v>
      </c>
      <c r="I201">
        <v>255</v>
      </c>
      <c r="J201">
        <v>14.4</v>
      </c>
      <c r="K201">
        <v>394.23</v>
      </c>
      <c r="L201">
        <v>2.97</v>
      </c>
      <c r="M201">
        <v>50</v>
      </c>
      <c r="O201" s="101">
        <f t="shared" si="66"/>
        <v>-0.41891030313376088</v>
      </c>
      <c r="P201" s="101">
        <f t="shared" si="67"/>
        <v>-1.5578417886292595</v>
      </c>
      <c r="Q201" s="101">
        <f t="shared" si="68"/>
        <v>-1.1462637198602783</v>
      </c>
      <c r="R201" s="101">
        <f t="shared" si="69"/>
        <v>2.2657281682380517</v>
      </c>
      <c r="S201" s="101">
        <f t="shared" si="70"/>
        <v>-1.3006244025506195</v>
      </c>
      <c r="T201" s="101">
        <f t="shared" si="71"/>
        <v>0.88102886931682267</v>
      </c>
      <c r="U201" s="101">
        <f t="shared" si="72"/>
        <v>-0.63796179884427828</v>
      </c>
      <c r="V201" s="101">
        <f t="shared" si="73"/>
        <v>-0.91011880742143147</v>
      </c>
      <c r="W201" s="101">
        <f t="shared" si="74"/>
        <v>-1.8751266238911124</v>
      </c>
      <c r="X201" s="101">
        <f t="shared" si="75"/>
        <v>0.4117770957913553</v>
      </c>
      <c r="Y201" s="101">
        <f t="shared" si="76"/>
        <v>-1.35731160914803</v>
      </c>
      <c r="Z201" s="101">
        <f t="shared" si="77"/>
        <v>2.9894600741990951</v>
      </c>
      <c r="AQ201" s="101">
        <v>-4.3995247531542434</v>
      </c>
      <c r="AR201" s="101">
        <v>2.3859544749501249</v>
      </c>
      <c r="AS201" s="101">
        <v>0.90722589244899043</v>
      </c>
      <c r="AT201" s="101">
        <v>-0.40977722218250995</v>
      </c>
      <c r="AU201" s="101">
        <v>-0.51848739918917108</v>
      </c>
      <c r="AV201" s="101">
        <v>-6.4907021428160128E-2</v>
      </c>
      <c r="AW201" s="101">
        <v>-0.14257406748817636</v>
      </c>
      <c r="AX201" s="101">
        <v>-0.43475777937694471</v>
      </c>
      <c r="AY201" s="101">
        <v>0.70830268040087052</v>
      </c>
      <c r="AZ201" s="101">
        <v>-0.17109024799150602</v>
      </c>
      <c r="BA201" s="101">
        <v>0.37604734077804369</v>
      </c>
      <c r="BB201" s="101">
        <v>0.15310893229911565</v>
      </c>
    </row>
    <row r="202" spans="2:54">
      <c r="B202">
        <v>4.011E-2</v>
      </c>
      <c r="C202">
        <v>1.52</v>
      </c>
      <c r="D202">
        <v>0.40400000000000003</v>
      </c>
      <c r="E202">
        <v>7.2869999999999999</v>
      </c>
      <c r="F202">
        <v>34.1</v>
      </c>
      <c r="G202">
        <v>7.3090000000000002</v>
      </c>
      <c r="H202">
        <v>2</v>
      </c>
      <c r="I202">
        <v>329</v>
      </c>
      <c r="J202">
        <v>12.6</v>
      </c>
      <c r="K202">
        <v>396.9</v>
      </c>
      <c r="L202">
        <v>4.08</v>
      </c>
      <c r="M202">
        <v>33.299999999999997</v>
      </c>
      <c r="O202" s="101">
        <f t="shared" si="66"/>
        <v>-0.41584968711612308</v>
      </c>
      <c r="P202" s="101">
        <f t="shared" si="67"/>
        <v>-1.4031778821147731</v>
      </c>
      <c r="Q202" s="101">
        <f t="shared" si="68"/>
        <v>-1.3017536609938087</v>
      </c>
      <c r="R202" s="101">
        <f t="shared" si="69"/>
        <v>1.4280288666884111</v>
      </c>
      <c r="S202" s="101">
        <f t="shared" si="70"/>
        <v>-1.2259472016066317</v>
      </c>
      <c r="T202" s="101">
        <f t="shared" si="71"/>
        <v>1.6704268611206965</v>
      </c>
      <c r="U202" s="101">
        <f t="shared" si="72"/>
        <v>-0.86788250412576318</v>
      </c>
      <c r="V202" s="101">
        <f t="shared" si="73"/>
        <v>-0.47061187372326957</v>
      </c>
      <c r="W202" s="101">
        <f t="shared" si="74"/>
        <v>-2.7073791111188386</v>
      </c>
      <c r="X202" s="101">
        <f t="shared" si="75"/>
        <v>0.44105193260702835</v>
      </c>
      <c r="Y202" s="101">
        <f t="shared" si="76"/>
        <v>-1.201718709603762</v>
      </c>
      <c r="Z202" s="101">
        <f t="shared" si="77"/>
        <v>1.1718741996381945</v>
      </c>
      <c r="AQ202" s="101">
        <v>-3.9876397546737277</v>
      </c>
      <c r="AR202" s="101">
        <v>0.99954206357455422</v>
      </c>
      <c r="AS202" s="101">
        <v>0.61445143895016474</v>
      </c>
      <c r="AT202" s="101">
        <v>-1.2592983158082389</v>
      </c>
      <c r="AU202" s="101">
        <v>-1.0302822832776473</v>
      </c>
      <c r="AV202" s="101">
        <v>-0.74871708762216183</v>
      </c>
      <c r="AW202" s="101">
        <v>-0.74684470153179228</v>
      </c>
      <c r="AX202" s="101">
        <v>0.23648533836480623</v>
      </c>
      <c r="AY202" s="101">
        <v>0.16980128567905217</v>
      </c>
      <c r="AZ202" s="101">
        <v>0.32487479387345086</v>
      </c>
      <c r="BA202" s="101">
        <v>-0.43374849580735464</v>
      </c>
      <c r="BB202" s="101">
        <v>0.25192979533929061</v>
      </c>
    </row>
    <row r="203" spans="2:54">
      <c r="B203">
        <v>4.666E-2</v>
      </c>
      <c r="C203">
        <v>1.52</v>
      </c>
      <c r="D203">
        <v>0.40400000000000003</v>
      </c>
      <c r="E203">
        <v>7.1070000000000002</v>
      </c>
      <c r="F203">
        <v>36.6</v>
      </c>
      <c r="G203">
        <v>7.3090000000000002</v>
      </c>
      <c r="H203">
        <v>2</v>
      </c>
      <c r="I203">
        <v>329</v>
      </c>
      <c r="J203">
        <v>12.6</v>
      </c>
      <c r="K203">
        <v>354.31</v>
      </c>
      <c r="L203">
        <v>8.61</v>
      </c>
      <c r="M203">
        <v>30.3</v>
      </c>
      <c r="O203" s="101">
        <f t="shared" si="66"/>
        <v>-0.41508744244252882</v>
      </c>
      <c r="P203" s="101">
        <f t="shared" si="67"/>
        <v>-1.4031778821147731</v>
      </c>
      <c r="Q203" s="101">
        <f t="shared" si="68"/>
        <v>-1.3017536609938087</v>
      </c>
      <c r="R203" s="101">
        <f t="shared" si="69"/>
        <v>1.171590304989542</v>
      </c>
      <c r="S203" s="101">
        <f t="shared" si="70"/>
        <v>-1.1370457719114082</v>
      </c>
      <c r="T203" s="101">
        <f t="shared" si="71"/>
        <v>1.6704268611206965</v>
      </c>
      <c r="U203" s="101">
        <f t="shared" si="72"/>
        <v>-0.86788250412576318</v>
      </c>
      <c r="V203" s="101">
        <f t="shared" si="73"/>
        <v>-0.47061187372326957</v>
      </c>
      <c r="W203" s="101">
        <f t="shared" si="74"/>
        <v>-2.7073791111188386</v>
      </c>
      <c r="X203" s="101">
        <f t="shared" si="75"/>
        <v>-2.5920089857216704E-2</v>
      </c>
      <c r="Y203" s="101">
        <f t="shared" si="76"/>
        <v>-0.56673147092310039</v>
      </c>
      <c r="Z203" s="101">
        <f t="shared" si="77"/>
        <v>0.84536176708234456</v>
      </c>
      <c r="AQ203" s="101">
        <v>-3.5150411873987233</v>
      </c>
      <c r="AR203" s="101">
        <v>0.59569028955065273</v>
      </c>
      <c r="AS203" s="101">
        <v>0.53912473411805051</v>
      </c>
      <c r="AT203" s="101">
        <v>-1.769884135483045</v>
      </c>
      <c r="AU203" s="101">
        <v>-0.8661783611344519</v>
      </c>
      <c r="AV203" s="101">
        <v>-0.64778450787221598</v>
      </c>
      <c r="AW203" s="101">
        <v>-0.9315776018461297</v>
      </c>
      <c r="AX203" s="101">
        <v>0.13493174714399353</v>
      </c>
      <c r="AY203" s="101">
        <v>0.40362210244089475</v>
      </c>
      <c r="AZ203" s="101">
        <v>0.2168770633058458</v>
      </c>
      <c r="BA203" s="101">
        <v>-0.40632846096452602</v>
      </c>
      <c r="BB203" s="101">
        <v>0.26113621634872208</v>
      </c>
    </row>
    <row r="204" spans="2:54">
      <c r="B204">
        <v>3.7679999999999998E-2</v>
      </c>
      <c r="C204">
        <v>1.52</v>
      </c>
      <c r="D204">
        <v>0.40400000000000003</v>
      </c>
      <c r="E204">
        <v>7.274</v>
      </c>
      <c r="F204">
        <v>38.299999999999997</v>
      </c>
      <c r="G204">
        <v>7.3090000000000002</v>
      </c>
      <c r="H204">
        <v>2</v>
      </c>
      <c r="I204">
        <v>329</v>
      </c>
      <c r="J204">
        <v>12.6</v>
      </c>
      <c r="K204">
        <v>392.2</v>
      </c>
      <c r="L204">
        <v>6.62</v>
      </c>
      <c r="M204">
        <v>34.6</v>
      </c>
      <c r="O204" s="101">
        <f t="shared" si="66"/>
        <v>-0.41613247407136489</v>
      </c>
      <c r="P204" s="101">
        <f t="shared" si="67"/>
        <v>-1.4031778821147731</v>
      </c>
      <c r="Q204" s="101">
        <f t="shared" si="68"/>
        <v>-1.3017536609938087</v>
      </c>
      <c r="R204" s="101">
        <f t="shared" si="69"/>
        <v>1.4095083038990486</v>
      </c>
      <c r="S204" s="101">
        <f t="shared" si="70"/>
        <v>-1.0765927997186562</v>
      </c>
      <c r="T204" s="101">
        <f t="shared" si="71"/>
        <v>1.6704268611206965</v>
      </c>
      <c r="U204" s="101">
        <f t="shared" si="72"/>
        <v>-0.86788250412576318</v>
      </c>
      <c r="V204" s="101">
        <f t="shared" si="73"/>
        <v>-0.47061187372326957</v>
      </c>
      <c r="W204" s="101">
        <f t="shared" si="74"/>
        <v>-2.7073791111188386</v>
      </c>
      <c r="X204" s="101">
        <f t="shared" si="75"/>
        <v>0.38951944832475677</v>
      </c>
      <c r="Y204" s="101">
        <f t="shared" si="76"/>
        <v>-0.8456772998357972</v>
      </c>
      <c r="Z204" s="101">
        <f t="shared" si="77"/>
        <v>1.3133629204123969</v>
      </c>
      <c r="AQ204" s="101">
        <v>-3.8526292851774904</v>
      </c>
      <c r="AR204" s="101">
        <v>1.0078833843040882</v>
      </c>
      <c r="AS204" s="101">
        <v>0.51257498290260339</v>
      </c>
      <c r="AT204" s="101">
        <v>-1.3394118470890466</v>
      </c>
      <c r="AU204" s="101">
        <v>-1.0372770712249941</v>
      </c>
      <c r="AV204" s="101">
        <v>-0.64497721659185547</v>
      </c>
      <c r="AW204" s="101">
        <v>-0.88988085960134167</v>
      </c>
      <c r="AX204" s="101">
        <v>0.10022222405321735</v>
      </c>
      <c r="AY204" s="101">
        <v>0.42532934064744238</v>
      </c>
      <c r="AZ204" s="101">
        <v>0.33079830596533666</v>
      </c>
      <c r="BA204" s="101">
        <v>-0.29129619186888611</v>
      </c>
      <c r="BB204" s="101">
        <v>0.29111364262338191</v>
      </c>
    </row>
    <row r="205" spans="2:54">
      <c r="B205">
        <v>3.15E-2</v>
      </c>
      <c r="C205">
        <v>1.47</v>
      </c>
      <c r="D205">
        <v>0.40300000000000002</v>
      </c>
      <c r="E205">
        <v>6.9749999999999996</v>
      </c>
      <c r="F205">
        <v>15.3</v>
      </c>
      <c r="G205">
        <v>7.6534000000000004</v>
      </c>
      <c r="H205">
        <v>3</v>
      </c>
      <c r="I205">
        <v>402</v>
      </c>
      <c r="J205">
        <v>17</v>
      </c>
      <c r="K205">
        <v>396.9</v>
      </c>
      <c r="L205">
        <v>4.5599999999999996</v>
      </c>
      <c r="M205">
        <v>34.9</v>
      </c>
      <c r="O205" s="101">
        <f t="shared" si="66"/>
        <v>-0.41685166064889345</v>
      </c>
      <c r="P205" s="101">
        <f t="shared" si="67"/>
        <v>-1.4104733494031922</v>
      </c>
      <c r="Q205" s="101">
        <f t="shared" si="68"/>
        <v>-1.3103919910567825</v>
      </c>
      <c r="R205" s="101">
        <f t="shared" si="69"/>
        <v>0.98353535974370354</v>
      </c>
      <c r="S205" s="101">
        <f t="shared" si="70"/>
        <v>-1.8944859529147127</v>
      </c>
      <c r="T205" s="101">
        <f t="shared" si="71"/>
        <v>1.8341439925052891</v>
      </c>
      <c r="U205" s="101">
        <f t="shared" si="72"/>
        <v>-0.75292215148502073</v>
      </c>
      <c r="V205" s="101">
        <f t="shared" si="73"/>
        <v>-3.7044222912920588E-2</v>
      </c>
      <c r="W205" s="101">
        <f t="shared" si="74"/>
        <v>-0.67298414233995307</v>
      </c>
      <c r="X205" s="101">
        <f t="shared" si="75"/>
        <v>0.44105193260702835</v>
      </c>
      <c r="Y205" s="101">
        <f t="shared" si="76"/>
        <v>-1.1344352935846189</v>
      </c>
      <c r="Z205" s="101">
        <f t="shared" si="77"/>
        <v>1.3460141636679814</v>
      </c>
      <c r="AQ205" s="101">
        <v>-3.5629414412775433</v>
      </c>
      <c r="AR205" s="101">
        <v>1.5165566940155362E-2</v>
      </c>
      <c r="AS205" s="101">
        <v>1.5041633741982599</v>
      </c>
      <c r="AT205" s="101">
        <v>-4.0817467962717291E-2</v>
      </c>
      <c r="AU205" s="101">
        <v>-0.31181781998036323</v>
      </c>
      <c r="AV205" s="101">
        <v>-0.64103924011006352</v>
      </c>
      <c r="AW205" s="101">
        <v>-0.21159237739958953</v>
      </c>
      <c r="AX205" s="101">
        <v>9.0262567851810971E-3</v>
      </c>
      <c r="AY205" s="101">
        <v>0.26372591890274444</v>
      </c>
      <c r="AZ205" s="101">
        <v>1.1772749078930417E-2</v>
      </c>
      <c r="BA205" s="101">
        <v>0.24189956498506227</v>
      </c>
      <c r="BB205" s="101">
        <v>0.68923985217795669</v>
      </c>
    </row>
    <row r="206" spans="2:54">
      <c r="B206">
        <v>1.7780000000000001E-2</v>
      </c>
      <c r="C206">
        <v>1.47</v>
      </c>
      <c r="D206">
        <v>0.40300000000000002</v>
      </c>
      <c r="E206">
        <v>7.1349999999999998</v>
      </c>
      <c r="F206">
        <v>13.9</v>
      </c>
      <c r="G206">
        <v>7.6534000000000004</v>
      </c>
      <c r="H206">
        <v>3</v>
      </c>
      <c r="I206">
        <v>402</v>
      </c>
      <c r="J206">
        <v>17</v>
      </c>
      <c r="K206">
        <v>384.3</v>
      </c>
      <c r="L206">
        <v>4.45</v>
      </c>
      <c r="M206">
        <v>32.9</v>
      </c>
      <c r="O206" s="101">
        <f t="shared" si="66"/>
        <v>-0.41844830140029993</v>
      </c>
      <c r="P206" s="101">
        <f t="shared" si="67"/>
        <v>-1.4104733494031922</v>
      </c>
      <c r="Q206" s="101">
        <f t="shared" si="68"/>
        <v>-1.3103919910567825</v>
      </c>
      <c r="R206" s="101">
        <f t="shared" si="69"/>
        <v>1.2114807479204768</v>
      </c>
      <c r="S206" s="101">
        <f t="shared" si="70"/>
        <v>-1.9442707535440378</v>
      </c>
      <c r="T206" s="101">
        <f t="shared" si="71"/>
        <v>1.8341439925052891</v>
      </c>
      <c r="U206" s="101">
        <f t="shared" si="72"/>
        <v>-0.75292215148502073</v>
      </c>
      <c r="V206" s="101">
        <f t="shared" si="73"/>
        <v>-3.7044222912920588E-2</v>
      </c>
      <c r="W206" s="101">
        <f t="shared" si="74"/>
        <v>-0.67298414233995307</v>
      </c>
      <c r="X206" s="101">
        <f t="shared" si="75"/>
        <v>0.30290101729710878</v>
      </c>
      <c r="Y206" s="101">
        <f t="shared" si="76"/>
        <v>-1.1498544097556724</v>
      </c>
      <c r="Z206" s="101">
        <f t="shared" si="77"/>
        <v>1.128339208630748</v>
      </c>
      <c r="AQ206" s="101">
        <v>-3.5417659116258742</v>
      </c>
      <c r="AR206" s="101">
        <v>3.8026880875242086E-2</v>
      </c>
      <c r="AS206" s="101">
        <v>1.6160879507557318</v>
      </c>
      <c r="AT206" s="101">
        <v>-0.14468416223144917</v>
      </c>
      <c r="AU206" s="101">
        <v>-0.19359669697462317</v>
      </c>
      <c r="AV206" s="101">
        <v>-0.57982685227949771</v>
      </c>
      <c r="AW206" s="101">
        <v>-0.3157156658647991</v>
      </c>
      <c r="AX206" s="101">
        <v>0.20846767172304376</v>
      </c>
      <c r="AY206" s="101">
        <v>0.19753441094527247</v>
      </c>
      <c r="AZ206" s="101">
        <v>-9.6272858020177265E-2</v>
      </c>
      <c r="BA206" s="101">
        <v>0.13317216480490601</v>
      </c>
      <c r="BB206" s="101">
        <v>0.66392190511055582</v>
      </c>
    </row>
    <row r="207" spans="2:54">
      <c r="B207">
        <v>3.4450000000000001E-2</v>
      </c>
      <c r="C207">
        <v>2.0299999999999998</v>
      </c>
      <c r="D207">
        <v>0.41499999999999998</v>
      </c>
      <c r="E207">
        <v>6.1619999999999999</v>
      </c>
      <c r="F207">
        <v>38.4</v>
      </c>
      <c r="G207">
        <v>6.27</v>
      </c>
      <c r="H207">
        <v>2</v>
      </c>
      <c r="I207">
        <v>348</v>
      </c>
      <c r="J207">
        <v>14.7</v>
      </c>
      <c r="K207">
        <v>393.77</v>
      </c>
      <c r="L207">
        <v>7.43</v>
      </c>
      <c r="M207">
        <v>24.1</v>
      </c>
      <c r="O207" s="101">
        <f t="shared" si="66"/>
        <v>-0.41650835961269456</v>
      </c>
      <c r="P207" s="101">
        <f t="shared" si="67"/>
        <v>-1.3287641157728975</v>
      </c>
      <c r="Q207" s="101">
        <f t="shared" si="68"/>
        <v>-1.206732030301096</v>
      </c>
      <c r="R207" s="101">
        <f t="shared" si="69"/>
        <v>-0.17471214392952356</v>
      </c>
      <c r="S207" s="101">
        <f t="shared" si="70"/>
        <v>-1.0730367425308474</v>
      </c>
      <c r="T207" s="101">
        <f t="shared" si="71"/>
        <v>1.1765183259621845</v>
      </c>
      <c r="U207" s="101">
        <f t="shared" si="72"/>
        <v>-0.86788250412576318</v>
      </c>
      <c r="V207" s="101">
        <f t="shared" si="73"/>
        <v>-0.35776549885482256</v>
      </c>
      <c r="W207" s="101">
        <f t="shared" si="74"/>
        <v>-1.7364178760198252</v>
      </c>
      <c r="X207" s="101">
        <f t="shared" si="75"/>
        <v>0.40673349094670702</v>
      </c>
      <c r="Y207" s="101">
        <f t="shared" si="76"/>
        <v>-0.73213653530349354</v>
      </c>
      <c r="Z207" s="101">
        <f t="shared" si="77"/>
        <v>0.17056940646692045</v>
      </c>
      <c r="AQ207" s="101">
        <v>-2.7267497893446468</v>
      </c>
      <c r="AR207" s="101">
        <v>-0.5686042742438685</v>
      </c>
      <c r="AS207" s="101">
        <v>0.13458546903498597</v>
      </c>
      <c r="AT207" s="101">
        <v>-1.0066424775652423</v>
      </c>
      <c r="AU207" s="101">
        <v>-0.83350331283537249</v>
      </c>
      <c r="AV207" s="101">
        <v>-0.66968170769338398</v>
      </c>
      <c r="AW207" s="101">
        <v>-0.22274337837482072</v>
      </c>
      <c r="AX207" s="101">
        <v>-0.23413500845552893</v>
      </c>
      <c r="AY207" s="101">
        <v>-0.1312891972972382</v>
      </c>
      <c r="AZ207" s="101">
        <v>0.20333427946321109</v>
      </c>
      <c r="BA207" s="101">
        <v>-0.62359380300582112</v>
      </c>
      <c r="BB207" s="101">
        <v>0.3214538550750432</v>
      </c>
    </row>
    <row r="208" spans="2:54">
      <c r="B208">
        <v>2.1770000000000001E-2</v>
      </c>
      <c r="C208">
        <v>2.0299999999999998</v>
      </c>
      <c r="D208">
        <v>0.41499999999999998</v>
      </c>
      <c r="E208">
        <v>7.61</v>
      </c>
      <c r="F208">
        <v>15.7</v>
      </c>
      <c r="G208">
        <v>6.27</v>
      </c>
      <c r="H208">
        <v>2</v>
      </c>
      <c r="I208">
        <v>348</v>
      </c>
      <c r="J208">
        <v>14.7</v>
      </c>
      <c r="K208">
        <v>395.38</v>
      </c>
      <c r="L208">
        <v>3.11</v>
      </c>
      <c r="M208">
        <v>42.3</v>
      </c>
      <c r="O208" s="101">
        <f t="shared" si="66"/>
        <v>-0.41798397220218686</v>
      </c>
      <c r="P208" s="101">
        <f t="shared" si="67"/>
        <v>-1.3287641157728975</v>
      </c>
      <c r="Q208" s="101">
        <f t="shared" si="68"/>
        <v>-1.206732030301096</v>
      </c>
      <c r="R208" s="101">
        <f t="shared" si="69"/>
        <v>1.8881936190702722</v>
      </c>
      <c r="S208" s="101">
        <f t="shared" si="70"/>
        <v>-1.8802617241634767</v>
      </c>
      <c r="T208" s="101">
        <f t="shared" si="71"/>
        <v>1.1765183259621845</v>
      </c>
      <c r="U208" s="101">
        <f t="shared" si="72"/>
        <v>-0.86788250412576318</v>
      </c>
      <c r="V208" s="101">
        <f t="shared" si="73"/>
        <v>-0.35776549885482256</v>
      </c>
      <c r="W208" s="101">
        <f t="shared" si="74"/>
        <v>-1.7364178760198252</v>
      </c>
      <c r="X208" s="101">
        <f t="shared" si="75"/>
        <v>0.42438610790297471</v>
      </c>
      <c r="Y208" s="101">
        <f t="shared" si="76"/>
        <v>-1.3376872794757801</v>
      </c>
      <c r="Z208" s="101">
        <f t="shared" si="77"/>
        <v>2.1514114973057459</v>
      </c>
      <c r="AQ208" s="101">
        <v>-4.1445944110175077</v>
      </c>
      <c r="AR208" s="101">
        <v>1.52136447842306</v>
      </c>
      <c r="AS208" s="101">
        <v>1.1479822959642898</v>
      </c>
      <c r="AT208" s="101">
        <v>-0.45173967928901493</v>
      </c>
      <c r="AU208" s="101">
        <v>-0.54106380187200465</v>
      </c>
      <c r="AV208" s="101">
        <v>-0.59238378487168808</v>
      </c>
      <c r="AW208" s="101">
        <v>-8.0163567560191495E-2</v>
      </c>
      <c r="AX208" s="101">
        <v>9.244520042913007E-2</v>
      </c>
      <c r="AY208" s="101">
        <v>0.57105996637250334</v>
      </c>
      <c r="AZ208" s="101">
        <v>-0.27458150991440272</v>
      </c>
      <c r="BA208" s="101">
        <v>8.027458802751497E-2</v>
      </c>
      <c r="BB208" s="101">
        <v>0.54322447338561197</v>
      </c>
    </row>
    <row r="209" spans="2:54">
      <c r="B209">
        <v>3.5099999999999999E-2</v>
      </c>
      <c r="C209">
        <v>2.68</v>
      </c>
      <c r="D209">
        <v>0.41610000000000003</v>
      </c>
      <c r="E209">
        <v>7.8529999999999998</v>
      </c>
      <c r="F209">
        <v>33.200000000000003</v>
      </c>
      <c r="G209">
        <v>5.1180000000000003</v>
      </c>
      <c r="H209">
        <v>4</v>
      </c>
      <c r="I209">
        <v>224</v>
      </c>
      <c r="J209">
        <v>14.7</v>
      </c>
      <c r="K209">
        <v>392.78</v>
      </c>
      <c r="L209">
        <v>3.81</v>
      </c>
      <c r="M209">
        <v>48.5</v>
      </c>
      <c r="O209" s="101">
        <f t="shared" si="66"/>
        <v>-0.4164327170114982</v>
      </c>
      <c r="P209" s="101">
        <f t="shared" si="67"/>
        <v>-1.2339230410234483</v>
      </c>
      <c r="Q209" s="101">
        <f t="shared" si="68"/>
        <v>-1.1972298672318242</v>
      </c>
      <c r="R209" s="101">
        <f t="shared" si="69"/>
        <v>2.2343856773637452</v>
      </c>
      <c r="S209" s="101">
        <f t="shared" si="70"/>
        <v>-1.257951716296912</v>
      </c>
      <c r="T209" s="101">
        <f t="shared" si="71"/>
        <v>0.62889307812522088</v>
      </c>
      <c r="U209" s="101">
        <f t="shared" si="72"/>
        <v>-0.63796179884427828</v>
      </c>
      <c r="V209" s="101">
        <f t="shared" si="73"/>
        <v>-1.0942365769436344</v>
      </c>
      <c r="W209" s="101">
        <f t="shared" si="74"/>
        <v>-1.7364178760198252</v>
      </c>
      <c r="X209" s="101">
        <f t="shared" si="75"/>
        <v>0.39587877617235606</v>
      </c>
      <c r="Y209" s="101">
        <f t="shared" si="76"/>
        <v>-1.2395656311145298</v>
      </c>
      <c r="Z209" s="101">
        <f t="shared" si="77"/>
        <v>2.8262038579211701</v>
      </c>
      <c r="AQ209" s="101">
        <v>-4.159038255259528</v>
      </c>
      <c r="AR209" s="101">
        <v>2.3121967166026338</v>
      </c>
      <c r="AS209" s="101">
        <v>0.72294933178824983</v>
      </c>
      <c r="AT209" s="101">
        <v>-0.34744144483907369</v>
      </c>
      <c r="AU209" s="101">
        <v>-0.39613768732130972</v>
      </c>
      <c r="AV209" s="101">
        <v>5.4647230199849378E-2</v>
      </c>
      <c r="AW209" s="101">
        <v>3.0104095676236065E-2</v>
      </c>
      <c r="AX209" s="101">
        <v>-0.26588628862415564</v>
      </c>
      <c r="AY209" s="101">
        <v>0.86111921652491186</v>
      </c>
      <c r="AZ209" s="101">
        <v>-0.24043591992452568</v>
      </c>
      <c r="BA209" s="101">
        <v>0.28139640880887562</v>
      </c>
      <c r="BB209" s="101">
        <v>-5.1770704848309923E-2</v>
      </c>
    </row>
    <row r="210" spans="2:54">
      <c r="B210">
        <v>2.009E-2</v>
      </c>
      <c r="C210">
        <v>2.68</v>
      </c>
      <c r="D210">
        <v>0.41610000000000003</v>
      </c>
      <c r="E210">
        <v>8.0340000000000007</v>
      </c>
      <c r="F210">
        <v>31.9</v>
      </c>
      <c r="G210">
        <v>5.1180000000000003</v>
      </c>
      <c r="H210">
        <v>4</v>
      </c>
      <c r="I210">
        <v>224</v>
      </c>
      <c r="J210">
        <v>14.7</v>
      </c>
      <c r="K210">
        <v>390.55</v>
      </c>
      <c r="L210">
        <v>2.88</v>
      </c>
      <c r="M210">
        <v>50</v>
      </c>
      <c r="O210" s="101">
        <f t="shared" si="66"/>
        <v>-0.41817947923297127</v>
      </c>
      <c r="P210" s="101">
        <f t="shared" si="67"/>
        <v>-1.2339230410234483</v>
      </c>
      <c r="Q210" s="101">
        <f t="shared" si="68"/>
        <v>-1.1972298672318242</v>
      </c>
      <c r="R210" s="101">
        <f t="shared" si="69"/>
        <v>2.4922488977387207</v>
      </c>
      <c r="S210" s="101">
        <f t="shared" si="70"/>
        <v>-1.3041804597384283</v>
      </c>
      <c r="T210" s="101">
        <f t="shared" si="71"/>
        <v>0.62889307812522088</v>
      </c>
      <c r="U210" s="101">
        <f t="shared" si="72"/>
        <v>-0.63796179884427828</v>
      </c>
      <c r="V210" s="101">
        <f t="shared" si="73"/>
        <v>-1.0942365769436344</v>
      </c>
      <c r="W210" s="101">
        <f t="shared" si="74"/>
        <v>-1.7364178760198252</v>
      </c>
      <c r="X210" s="101">
        <f t="shared" si="75"/>
        <v>0.37142825703417226</v>
      </c>
      <c r="Y210" s="101">
        <f t="shared" si="76"/>
        <v>-1.3699272496516193</v>
      </c>
      <c r="Z210" s="101">
        <f t="shared" si="77"/>
        <v>2.9894600741990951</v>
      </c>
      <c r="AQ210" s="101">
        <v>-4.3090840876542229</v>
      </c>
      <c r="AR210" s="101">
        <v>2.5596402436133765</v>
      </c>
      <c r="AS210" s="101">
        <v>0.84431810165925736</v>
      </c>
      <c r="AT210" s="101">
        <v>-0.29404638336444128</v>
      </c>
      <c r="AU210" s="101">
        <v>-0.33188920400209609</v>
      </c>
      <c r="AV210" s="101">
        <v>8.4608260664968321E-2</v>
      </c>
      <c r="AW210" s="101">
        <v>3.3611227469401928E-2</v>
      </c>
      <c r="AX210" s="101">
        <v>-0.1970471952230739</v>
      </c>
      <c r="AY210" s="101">
        <v>0.87464877024635623</v>
      </c>
      <c r="AZ210" s="101">
        <v>-0.26146443786818502</v>
      </c>
      <c r="BA210" s="101">
        <v>0.31307902705241131</v>
      </c>
      <c r="BB210" s="101">
        <v>-3.9563707646804336E-2</v>
      </c>
    </row>
    <row r="211" spans="2:54">
      <c r="B211">
        <v>0.13642000000000001</v>
      </c>
      <c r="C211">
        <v>10.59</v>
      </c>
      <c r="D211">
        <v>0.48899999999999999</v>
      </c>
      <c r="E211">
        <v>5.891</v>
      </c>
      <c r="F211">
        <v>22.3</v>
      </c>
      <c r="G211">
        <v>3.9453999999999998</v>
      </c>
      <c r="H211">
        <v>4</v>
      </c>
      <c r="I211">
        <v>277</v>
      </c>
      <c r="J211">
        <v>18.600000000000001</v>
      </c>
      <c r="K211">
        <v>396.9</v>
      </c>
      <c r="L211">
        <v>10.87</v>
      </c>
      <c r="M211">
        <v>22.6</v>
      </c>
      <c r="O211" s="101">
        <f t="shared" si="66"/>
        <v>-0.40464178108347287</v>
      </c>
      <c r="P211" s="101">
        <f t="shared" si="67"/>
        <v>-7.9780115995534168E-2</v>
      </c>
      <c r="Q211" s="101">
        <f t="shared" si="68"/>
        <v>-0.56749560564102552</v>
      </c>
      <c r="R211" s="101">
        <f t="shared" si="69"/>
        <v>-0.56079464515393262</v>
      </c>
      <c r="S211" s="101">
        <f t="shared" si="70"/>
        <v>-1.6455619497680867</v>
      </c>
      <c r="T211" s="101">
        <f t="shared" si="71"/>
        <v>7.1475226030060915E-2</v>
      </c>
      <c r="U211" s="101">
        <f t="shared" si="72"/>
        <v>-0.63796179884427828</v>
      </c>
      <c r="V211" s="101">
        <f t="shared" si="73"/>
        <v>-0.77945458388954547</v>
      </c>
      <c r="W211" s="101">
        <f t="shared" si="74"/>
        <v>6.6795846306914944E-2</v>
      </c>
      <c r="X211" s="101">
        <f t="shared" si="75"/>
        <v>0.44105193260702835</v>
      </c>
      <c r="Y211" s="101">
        <f t="shared" si="76"/>
        <v>-0.2499387204996357</v>
      </c>
      <c r="Z211" s="101">
        <f t="shared" si="77"/>
        <v>7.3131901889952663E-3</v>
      </c>
      <c r="AQ211" s="101">
        <v>-1.3475152543129825</v>
      </c>
      <c r="AR211" s="101">
        <v>-1.0409165916088243</v>
      </c>
      <c r="AS211" s="101">
        <v>-0.11252428874379194</v>
      </c>
      <c r="AT211" s="101">
        <v>9.3203329165341478E-2</v>
      </c>
      <c r="AU211" s="101">
        <v>-2.1348875352611141E-2</v>
      </c>
      <c r="AV211" s="101">
        <v>-0.47392554921285968</v>
      </c>
      <c r="AW211" s="101">
        <v>0.98816598670621347</v>
      </c>
      <c r="AX211" s="101">
        <v>0.20204372883765392</v>
      </c>
      <c r="AY211" s="101">
        <v>0.26518551821295666</v>
      </c>
      <c r="AZ211" s="101">
        <v>-0.73435526874060175</v>
      </c>
      <c r="BA211" s="101">
        <v>7.6033813216311264E-3</v>
      </c>
      <c r="BB211" s="101">
        <v>-0.15170238002843681</v>
      </c>
    </row>
    <row r="212" spans="2:54">
      <c r="B212">
        <v>0.22969000000000001</v>
      </c>
      <c r="C212">
        <v>10.59</v>
      </c>
      <c r="D212">
        <v>0.48899999999999999</v>
      </c>
      <c r="E212">
        <v>6.3259999999999996</v>
      </c>
      <c r="F212">
        <v>52.5</v>
      </c>
      <c r="G212">
        <v>4.3548999999999998</v>
      </c>
      <c r="H212">
        <v>4</v>
      </c>
      <c r="I212">
        <v>277</v>
      </c>
      <c r="J212">
        <v>18.600000000000001</v>
      </c>
      <c r="K212">
        <v>394.87</v>
      </c>
      <c r="L212">
        <v>10.97</v>
      </c>
      <c r="M212">
        <v>24.4</v>
      </c>
      <c r="O212" s="101">
        <f t="shared" si="66"/>
        <v>-0.39378764967795654</v>
      </c>
      <c r="P212" s="101">
        <f t="shared" si="67"/>
        <v>-7.9780115995534168E-2</v>
      </c>
      <c r="Q212" s="101">
        <f t="shared" si="68"/>
        <v>-0.56749560564102552</v>
      </c>
      <c r="R212" s="101">
        <f t="shared" si="69"/>
        <v>5.8931878951668272E-2</v>
      </c>
      <c r="S212" s="101">
        <f t="shared" si="70"/>
        <v>-0.57163267904978665</v>
      </c>
      <c r="T212" s="101">
        <f t="shared" si="71"/>
        <v>0.26613888834710669</v>
      </c>
      <c r="U212" s="101">
        <f t="shared" si="72"/>
        <v>-0.63796179884427828</v>
      </c>
      <c r="V212" s="101">
        <f t="shared" si="73"/>
        <v>-0.77945458388954547</v>
      </c>
      <c r="W212" s="101">
        <f t="shared" si="74"/>
        <v>6.6795846306914944E-2</v>
      </c>
      <c r="X212" s="101">
        <f t="shared" si="75"/>
        <v>0.41879428514043043</v>
      </c>
      <c r="Y212" s="101">
        <f t="shared" si="76"/>
        <v>-0.23592134216231403</v>
      </c>
      <c r="Z212" s="101">
        <f t="shared" si="77"/>
        <v>0.2032206497225052</v>
      </c>
      <c r="AQ212" s="101">
        <v>-1.2550177475516056</v>
      </c>
      <c r="AR212" s="101">
        <v>-0.42893626446456018</v>
      </c>
      <c r="AS212" s="101">
        <v>-0.26871685826682978</v>
      </c>
      <c r="AT212" s="101">
        <v>0.19569817365471837</v>
      </c>
      <c r="AU212" s="101">
        <v>0.13703907581624392</v>
      </c>
      <c r="AV212" s="101">
        <v>0.11452842104599463</v>
      </c>
      <c r="AW212" s="101">
        <v>0.32631689803889941</v>
      </c>
      <c r="AX212" s="101">
        <v>0.24341387917046703</v>
      </c>
      <c r="AY212" s="101">
        <v>0.25600795169180579</v>
      </c>
      <c r="AZ212" s="101">
        <v>-0.11599350244133136</v>
      </c>
      <c r="BA212" s="101">
        <v>6.0731114144420825E-2</v>
      </c>
      <c r="BB212" s="101">
        <v>-0.16133650261486501</v>
      </c>
    </row>
    <row r="213" spans="2:54">
      <c r="B213">
        <v>0.25198999999999999</v>
      </c>
      <c r="C213">
        <v>10.59</v>
      </c>
      <c r="D213">
        <v>0.48899999999999999</v>
      </c>
      <c r="E213">
        <v>5.7830000000000004</v>
      </c>
      <c r="F213">
        <v>72.7</v>
      </c>
      <c r="G213">
        <v>4.3548999999999998</v>
      </c>
      <c r="H213">
        <v>4</v>
      </c>
      <c r="I213">
        <v>277</v>
      </c>
      <c r="J213">
        <v>18.600000000000001</v>
      </c>
      <c r="K213">
        <v>389.43</v>
      </c>
      <c r="L213">
        <v>18.059999999999999</v>
      </c>
      <c r="M213">
        <v>22.5</v>
      </c>
      <c r="O213" s="101">
        <f t="shared" si="66"/>
        <v>-0.39119252659075793</v>
      </c>
      <c r="P213" s="101">
        <f t="shared" si="67"/>
        <v>-7.9780115995534168E-2</v>
      </c>
      <c r="Q213" s="101">
        <f t="shared" si="68"/>
        <v>-0.56749560564102552</v>
      </c>
      <c r="R213" s="101">
        <f t="shared" si="69"/>
        <v>-0.71465778217325382</v>
      </c>
      <c r="S213" s="101">
        <f t="shared" si="70"/>
        <v>0.14669087288761951</v>
      </c>
      <c r="T213" s="101">
        <f t="shared" si="71"/>
        <v>0.26613888834710669</v>
      </c>
      <c r="U213" s="101">
        <f t="shared" si="72"/>
        <v>-0.63796179884427828</v>
      </c>
      <c r="V213" s="101">
        <f t="shared" si="73"/>
        <v>-0.77945458388954547</v>
      </c>
      <c r="W213" s="101">
        <f t="shared" si="74"/>
        <v>6.6795846306914944E-2</v>
      </c>
      <c r="X213" s="101">
        <f t="shared" si="75"/>
        <v>0.35914817567329044</v>
      </c>
      <c r="Y213" s="101">
        <f t="shared" si="76"/>
        <v>0.75791078195377648</v>
      </c>
      <c r="Z213" s="101">
        <f t="shared" si="77"/>
        <v>-3.5705575628665683E-3</v>
      </c>
      <c r="AQ213" s="101">
        <v>-0.4880528831145397</v>
      </c>
      <c r="AR213" s="101">
        <v>-1.0422107844094524</v>
      </c>
      <c r="AS213" s="101">
        <v>-0.8987475804070284</v>
      </c>
      <c r="AT213" s="101">
        <v>-0.104461835376678</v>
      </c>
      <c r="AU213" s="101">
        <v>-1.434663426501244E-2</v>
      </c>
      <c r="AV213" s="101">
        <v>0.34623424064520436</v>
      </c>
      <c r="AW213" s="101">
        <v>-3.58659008067806E-2</v>
      </c>
      <c r="AX213" s="101">
        <v>-0.26607001626345073</v>
      </c>
      <c r="AY213" s="101">
        <v>0.62440731511316783</v>
      </c>
      <c r="AZ213" s="101">
        <v>0.15712177565094906</v>
      </c>
      <c r="BA213" s="101">
        <v>0.19752070214336551</v>
      </c>
      <c r="BB213" s="101">
        <v>-0.13475422536499188</v>
      </c>
    </row>
    <row r="214" spans="2:54">
      <c r="B214">
        <v>0.13586999999999999</v>
      </c>
      <c r="C214">
        <v>10.59</v>
      </c>
      <c r="D214">
        <v>0.48899999999999999</v>
      </c>
      <c r="E214">
        <v>6.0640000000000001</v>
      </c>
      <c r="F214">
        <v>59.1</v>
      </c>
      <c r="G214">
        <v>4.2392000000000003</v>
      </c>
      <c r="H214">
        <v>4</v>
      </c>
      <c r="I214">
        <v>277</v>
      </c>
      <c r="J214">
        <v>18.600000000000001</v>
      </c>
      <c r="K214">
        <v>381.32</v>
      </c>
      <c r="L214">
        <v>14.66</v>
      </c>
      <c r="M214">
        <v>24.4</v>
      </c>
      <c r="O214" s="101">
        <f t="shared" si="66"/>
        <v>-0.4047057863614083</v>
      </c>
      <c r="P214" s="101">
        <f t="shared" si="67"/>
        <v>-7.9780115995534168E-2</v>
      </c>
      <c r="Q214" s="101">
        <f t="shared" si="68"/>
        <v>-0.56749560564102552</v>
      </c>
      <c r="R214" s="101">
        <f t="shared" si="69"/>
        <v>-0.3143286941877968</v>
      </c>
      <c r="S214" s="101">
        <f t="shared" si="70"/>
        <v>-0.33693290465439646</v>
      </c>
      <c r="T214" s="101">
        <f t="shared" si="71"/>
        <v>0.21113867899403688</v>
      </c>
      <c r="U214" s="101">
        <f t="shared" si="72"/>
        <v>-0.63796179884427828</v>
      </c>
      <c r="V214" s="101">
        <f t="shared" si="73"/>
        <v>-0.77945458388954547</v>
      </c>
      <c r="W214" s="101">
        <f t="shared" si="74"/>
        <v>6.6795846306914944E-2</v>
      </c>
      <c r="X214" s="101">
        <f t="shared" si="75"/>
        <v>0.27022722939047672</v>
      </c>
      <c r="Y214" s="101">
        <f t="shared" si="76"/>
        <v>0.28131991848484739</v>
      </c>
      <c r="Z214" s="101">
        <f t="shared" si="77"/>
        <v>0.2032206497225052</v>
      </c>
      <c r="AQ214" s="101">
        <v>-0.89569438752734309</v>
      </c>
      <c r="AR214" s="101">
        <v>-0.68235888265598421</v>
      </c>
      <c r="AS214" s="101">
        <v>-0.51532579378839261</v>
      </c>
      <c r="AT214" s="101">
        <v>-2.3246470347563924E-2</v>
      </c>
      <c r="AU214" s="101">
        <v>0.12918930599398049</v>
      </c>
      <c r="AV214" s="101">
        <v>0.19409857856739199</v>
      </c>
      <c r="AW214" s="101">
        <v>0.23696083714303579</v>
      </c>
      <c r="AX214" s="101">
        <v>-5.4040896603338565E-2</v>
      </c>
      <c r="AY214" s="101">
        <v>0.51486172202489755</v>
      </c>
      <c r="AZ214" s="101">
        <v>-6.6183138872915326E-2</v>
      </c>
      <c r="BA214" s="101">
        <v>0.16844660179295984</v>
      </c>
      <c r="BB214" s="101">
        <v>-0.12775847013517752</v>
      </c>
    </row>
    <row r="215" spans="2:54">
      <c r="B215">
        <v>0.43570999999999999</v>
      </c>
      <c r="C215">
        <v>10.59</v>
      </c>
      <c r="D215">
        <v>0.48899999999999999</v>
      </c>
      <c r="E215">
        <v>5.3440000000000003</v>
      </c>
      <c r="F215">
        <v>100</v>
      </c>
      <c r="G215">
        <v>3.875</v>
      </c>
      <c r="H215">
        <v>4</v>
      </c>
      <c r="I215">
        <v>277</v>
      </c>
      <c r="J215">
        <v>18.600000000000001</v>
      </c>
      <c r="K215">
        <v>396.9</v>
      </c>
      <c r="L215">
        <v>23.09</v>
      </c>
      <c r="M215">
        <v>20</v>
      </c>
      <c r="O215" s="101">
        <f t="shared" si="66"/>
        <v>-0.36981243629568494</v>
      </c>
      <c r="P215" s="101">
        <f t="shared" si="67"/>
        <v>-7.9780115995534168E-2</v>
      </c>
      <c r="Q215" s="101">
        <f t="shared" si="68"/>
        <v>-0.56749560564102552</v>
      </c>
      <c r="R215" s="101">
        <f t="shared" si="69"/>
        <v>-1.3400829409832746</v>
      </c>
      <c r="S215" s="101">
        <f t="shared" si="70"/>
        <v>1.1174944851594601</v>
      </c>
      <c r="T215" s="101">
        <f t="shared" si="71"/>
        <v>3.8009238662246543E-2</v>
      </c>
      <c r="U215" s="101">
        <f t="shared" si="72"/>
        <v>-0.63796179884427828</v>
      </c>
      <c r="V215" s="101">
        <f t="shared" si="73"/>
        <v>-0.77945458388954547</v>
      </c>
      <c r="W215" s="101">
        <f t="shared" si="74"/>
        <v>6.6795846306914944E-2</v>
      </c>
      <c r="X215" s="101">
        <f t="shared" si="75"/>
        <v>0.44105193260702835</v>
      </c>
      <c r="Y215" s="101">
        <f t="shared" si="76"/>
        <v>1.4629849123210457</v>
      </c>
      <c r="Z215" s="101">
        <f t="shared" si="77"/>
        <v>-0.27566425135940853</v>
      </c>
      <c r="AQ215" s="101">
        <v>0.29152273309141674</v>
      </c>
      <c r="AR215" s="101">
        <v>-1.411188929845097</v>
      </c>
      <c r="AS215" s="101">
        <v>-1.6424275600186347</v>
      </c>
      <c r="AT215" s="101">
        <v>-0.21241693219924551</v>
      </c>
      <c r="AU215" s="101">
        <v>-0.17064697044413119</v>
      </c>
      <c r="AV215" s="101">
        <v>0.72993091702772583</v>
      </c>
      <c r="AW215" s="101">
        <v>-0.36997138220449954</v>
      </c>
      <c r="AX215" s="101">
        <v>-0.73022632460044479</v>
      </c>
      <c r="AY215" s="101">
        <v>0.77537862233843913</v>
      </c>
      <c r="AZ215" s="101">
        <v>0.50934703427338945</v>
      </c>
      <c r="BA215" s="101">
        <v>9.8574647231310264E-2</v>
      </c>
      <c r="BB215" s="101">
        <v>-0.13987837342801576</v>
      </c>
    </row>
    <row r="216" spans="2:54">
      <c r="B216">
        <v>0.17446</v>
      </c>
      <c r="C216">
        <v>10.59</v>
      </c>
      <c r="D216">
        <v>0.48899999999999999</v>
      </c>
      <c r="E216">
        <v>5.96</v>
      </c>
      <c r="F216">
        <v>92.1</v>
      </c>
      <c r="G216">
        <v>3.8771</v>
      </c>
      <c r="H216">
        <v>4</v>
      </c>
      <c r="I216">
        <v>277</v>
      </c>
      <c r="J216">
        <v>18.600000000000001</v>
      </c>
      <c r="K216">
        <v>393.25</v>
      </c>
      <c r="L216">
        <v>17.27</v>
      </c>
      <c r="M216">
        <v>21.7</v>
      </c>
      <c r="O216" s="101">
        <f t="shared" si="66"/>
        <v>-0.40021494331499602</v>
      </c>
      <c r="P216" s="101">
        <f t="shared" si="67"/>
        <v>-7.9780115995534168E-2</v>
      </c>
      <c r="Q216" s="101">
        <f t="shared" si="68"/>
        <v>-0.56749560564102552</v>
      </c>
      <c r="R216" s="101">
        <f t="shared" si="69"/>
        <v>-0.46249319650269932</v>
      </c>
      <c r="S216" s="101">
        <f t="shared" si="70"/>
        <v>0.83656596732255373</v>
      </c>
      <c r="T216" s="101">
        <f t="shared" si="71"/>
        <v>3.9007513853616005E-2</v>
      </c>
      <c r="U216" s="101">
        <f t="shared" si="72"/>
        <v>-0.63796179884427828</v>
      </c>
      <c r="V216" s="101">
        <f t="shared" si="73"/>
        <v>-0.77945458388954547</v>
      </c>
      <c r="W216" s="101">
        <f t="shared" si="74"/>
        <v>6.6795846306914944E-2</v>
      </c>
      <c r="X216" s="101">
        <f t="shared" si="75"/>
        <v>0.40103202460058357</v>
      </c>
      <c r="Y216" s="101">
        <f t="shared" si="76"/>
        <v>0.64717349308893712</v>
      </c>
      <c r="Z216" s="101">
        <f t="shared" si="77"/>
        <v>-9.0640539577760082E-2</v>
      </c>
      <c r="AQ216" s="101">
        <v>-0.28940568241967313</v>
      </c>
      <c r="AR216" s="101">
        <v>-0.69162143037463897</v>
      </c>
      <c r="AS216" s="101">
        <v>-1.1568841191285963</v>
      </c>
      <c r="AT216" s="101">
        <v>1.7950613271785123E-2</v>
      </c>
      <c r="AU216" s="101">
        <v>8.0720955285222551E-2</v>
      </c>
      <c r="AV216" s="101">
        <v>0.73099450543959343</v>
      </c>
      <c r="AW216" s="101">
        <v>-0.27248400188464528</v>
      </c>
      <c r="AX216" s="101">
        <v>-0.27695870074444823</v>
      </c>
      <c r="AY216" s="101">
        <v>0.46140707215076004</v>
      </c>
      <c r="AZ216" s="101">
        <v>0.41759137620400966</v>
      </c>
      <c r="BA216" s="101">
        <v>-4.7457855418309838E-2</v>
      </c>
      <c r="BB216" s="101">
        <v>-0.16906175563575088</v>
      </c>
    </row>
    <row r="217" spans="2:54">
      <c r="B217">
        <v>0.37578</v>
      </c>
      <c r="C217">
        <v>10.59</v>
      </c>
      <c r="D217">
        <v>0.48899999999999999</v>
      </c>
      <c r="E217">
        <v>5.4039999999999999</v>
      </c>
      <c r="F217">
        <v>88.6</v>
      </c>
      <c r="G217">
        <v>3.665</v>
      </c>
      <c r="H217">
        <v>4</v>
      </c>
      <c r="I217">
        <v>277</v>
      </c>
      <c r="J217">
        <v>18.600000000000001</v>
      </c>
      <c r="K217">
        <v>395.24</v>
      </c>
      <c r="L217">
        <v>23.98</v>
      </c>
      <c r="M217">
        <v>19.3</v>
      </c>
      <c r="O217" s="101">
        <f t="shared" si="66"/>
        <v>-0.37678668412599042</v>
      </c>
      <c r="P217" s="101">
        <f t="shared" si="67"/>
        <v>-7.9780115995534168E-2</v>
      </c>
      <c r="Q217" s="101">
        <f t="shared" si="68"/>
        <v>-0.56749560564102552</v>
      </c>
      <c r="R217" s="101">
        <f t="shared" si="69"/>
        <v>-1.2546034204169854</v>
      </c>
      <c r="S217" s="101">
        <f t="shared" si="70"/>
        <v>0.71210396574924073</v>
      </c>
      <c r="T217" s="101">
        <f t="shared" si="71"/>
        <v>-6.1818280474700005E-2</v>
      </c>
      <c r="U217" s="101">
        <f t="shared" si="72"/>
        <v>-0.63796179884427828</v>
      </c>
      <c r="V217" s="101">
        <f t="shared" si="73"/>
        <v>-0.77945458388954547</v>
      </c>
      <c r="W217" s="101">
        <f t="shared" si="74"/>
        <v>6.6795846306914944E-2</v>
      </c>
      <c r="X217" s="101">
        <f t="shared" si="75"/>
        <v>0.42285109773286467</v>
      </c>
      <c r="Y217" s="101">
        <f t="shared" si="76"/>
        <v>1.5877395795232065</v>
      </c>
      <c r="Z217" s="101">
        <f t="shared" si="77"/>
        <v>-0.35185048562244026</v>
      </c>
      <c r="AQ217" s="101">
        <v>0.24528639688192247</v>
      </c>
      <c r="AR217" s="101">
        <v>-1.4875156395703517</v>
      </c>
      <c r="AS217" s="101">
        <v>-1.5299313007740378</v>
      </c>
      <c r="AT217" s="101">
        <v>-0.26378998934544068</v>
      </c>
      <c r="AU217" s="101">
        <v>-0.17635956942235304</v>
      </c>
      <c r="AV217" s="101">
        <v>0.62269559303262734</v>
      </c>
      <c r="AW217" s="101">
        <v>-0.29105035186241296</v>
      </c>
      <c r="AX217" s="101">
        <v>-0.61349266491284815</v>
      </c>
      <c r="AY217" s="101">
        <v>0.88996080976251202</v>
      </c>
      <c r="AZ217" s="101">
        <v>0.14180401700970358</v>
      </c>
      <c r="BA217" s="101">
        <v>8.0047342891276935E-2</v>
      </c>
      <c r="BB217" s="101">
        <v>-0.12738688666189513</v>
      </c>
    </row>
    <row r="218" spans="2:54">
      <c r="B218">
        <v>0.21718999999999999</v>
      </c>
      <c r="C218">
        <v>10.59</v>
      </c>
      <c r="D218">
        <v>0.48899999999999999</v>
      </c>
      <c r="E218">
        <v>5.8070000000000004</v>
      </c>
      <c r="F218">
        <v>53.8</v>
      </c>
      <c r="G218">
        <v>3.6526000000000001</v>
      </c>
      <c r="H218">
        <v>4</v>
      </c>
      <c r="I218">
        <v>277</v>
      </c>
      <c r="J218">
        <v>18.600000000000001</v>
      </c>
      <c r="K218">
        <v>390.94</v>
      </c>
      <c r="L218">
        <v>16.03</v>
      </c>
      <c r="M218">
        <v>22.4</v>
      </c>
      <c r="O218" s="101">
        <f t="shared" si="66"/>
        <v>-0.39524231508557911</v>
      </c>
      <c r="P218" s="101">
        <f t="shared" si="67"/>
        <v>-7.9780115995534168E-2</v>
      </c>
      <c r="Q218" s="101">
        <f t="shared" si="68"/>
        <v>-0.56749560564102552</v>
      </c>
      <c r="R218" s="101">
        <f t="shared" si="69"/>
        <v>-0.68046597394673791</v>
      </c>
      <c r="S218" s="101">
        <f t="shared" si="70"/>
        <v>-0.52540393560827048</v>
      </c>
      <c r="T218" s="101">
        <f t="shared" si="71"/>
        <v>-6.7712857795167308E-2</v>
      </c>
      <c r="U218" s="101">
        <f t="shared" si="72"/>
        <v>-0.63796179884427828</v>
      </c>
      <c r="V218" s="101">
        <f t="shared" si="73"/>
        <v>-0.77945458388954547</v>
      </c>
      <c r="W218" s="101">
        <f t="shared" si="74"/>
        <v>6.6795846306914944E-2</v>
      </c>
      <c r="X218" s="101">
        <f t="shared" si="75"/>
        <v>0.37570435679376485</v>
      </c>
      <c r="Y218" s="101">
        <f t="shared" si="76"/>
        <v>0.47335800170615139</v>
      </c>
      <c r="Z218" s="101">
        <f t="shared" si="77"/>
        <v>-1.4454305314728402E-2</v>
      </c>
      <c r="AQ218" s="101">
        <v>-0.69060197800449508</v>
      </c>
      <c r="AR218" s="101">
        <v>-0.99616037166264115</v>
      </c>
      <c r="AS218" s="101">
        <v>-0.70333808997537384</v>
      </c>
      <c r="AT218" s="101">
        <v>-3.7154879648832663E-2</v>
      </c>
      <c r="AU218" s="101">
        <v>-8.7501728131884702E-3</v>
      </c>
      <c r="AV218" s="101">
        <v>9.645925225274754E-2</v>
      </c>
      <c r="AW218" s="101">
        <v>0.42762713496537891</v>
      </c>
      <c r="AX218" s="101">
        <v>-0.16012319531633082</v>
      </c>
      <c r="AY218" s="101">
        <v>0.5505284122727605</v>
      </c>
      <c r="AZ218" s="101">
        <v>-0.32976952500049517</v>
      </c>
      <c r="BA218" s="101">
        <v>2.7689762260855618E-2</v>
      </c>
      <c r="BB218" s="101">
        <v>-0.13009488695318824</v>
      </c>
    </row>
    <row r="219" spans="2:54">
      <c r="B219">
        <v>0.14052000000000001</v>
      </c>
      <c r="C219">
        <v>10.59</v>
      </c>
      <c r="D219">
        <v>0.48899999999999999</v>
      </c>
      <c r="E219">
        <v>6.375</v>
      </c>
      <c r="F219">
        <v>32.299999999999997</v>
      </c>
      <c r="G219">
        <v>3.9453999999999998</v>
      </c>
      <c r="H219">
        <v>4</v>
      </c>
      <c r="I219">
        <v>277</v>
      </c>
      <c r="J219">
        <v>18.600000000000001</v>
      </c>
      <c r="K219">
        <v>385.81</v>
      </c>
      <c r="L219">
        <v>9.3800000000000008</v>
      </c>
      <c r="M219">
        <v>28.1</v>
      </c>
      <c r="O219" s="101">
        <f t="shared" si="66"/>
        <v>-0.40416465082977271</v>
      </c>
      <c r="P219" s="101">
        <f t="shared" si="67"/>
        <v>-7.9780115995534168E-2</v>
      </c>
      <c r="Q219" s="101">
        <f t="shared" si="68"/>
        <v>-0.56749560564102552</v>
      </c>
      <c r="R219" s="101">
        <f t="shared" si="69"/>
        <v>0.12874015408080552</v>
      </c>
      <c r="S219" s="101">
        <f t="shared" si="70"/>
        <v>-1.2899562309871928</v>
      </c>
      <c r="T219" s="101">
        <f t="shared" si="71"/>
        <v>7.1475226030060915E-2</v>
      </c>
      <c r="U219" s="101">
        <f t="shared" si="72"/>
        <v>-0.63796179884427828</v>
      </c>
      <c r="V219" s="101">
        <f t="shared" si="73"/>
        <v>-0.77945458388954547</v>
      </c>
      <c r="W219" s="101">
        <f t="shared" si="74"/>
        <v>6.6795846306914944E-2</v>
      </c>
      <c r="X219" s="101">
        <f t="shared" si="75"/>
        <v>0.31945719841758319</v>
      </c>
      <c r="Y219" s="101">
        <f t="shared" si="76"/>
        <v>-0.45879765772572506</v>
      </c>
      <c r="Z219" s="101">
        <f t="shared" si="77"/>
        <v>0.60591931654138764</v>
      </c>
      <c r="AQ219" s="101">
        <v>-1.5919437036479209</v>
      </c>
      <c r="AR219" s="101">
        <v>-0.22292289674341431</v>
      </c>
      <c r="AS219" s="101">
        <v>4.1645855540893152E-2</v>
      </c>
      <c r="AT219" s="101">
        <v>0.217549021953408</v>
      </c>
      <c r="AU219" s="101">
        <v>0.19179493339232523</v>
      </c>
      <c r="AV219" s="101">
        <v>-0.17500681845679489</v>
      </c>
      <c r="AW219" s="101">
        <v>0.82556064772685245</v>
      </c>
      <c r="AX219" s="101">
        <v>0.20559301795630996</v>
      </c>
      <c r="AY219" s="101">
        <v>0.38768934878517269</v>
      </c>
      <c r="AZ219" s="101">
        <v>-0.51501199793421981</v>
      </c>
      <c r="BA219" s="101">
        <v>0.16143091992305048</v>
      </c>
      <c r="BB219" s="101">
        <v>-0.10126497036568788</v>
      </c>
    </row>
    <row r="220" spans="2:54">
      <c r="B220">
        <v>0.28954999999999997</v>
      </c>
      <c r="C220">
        <v>10.59</v>
      </c>
      <c r="D220">
        <v>0.48899999999999999</v>
      </c>
      <c r="E220">
        <v>5.4119999999999999</v>
      </c>
      <c r="F220">
        <v>9.8000000000000007</v>
      </c>
      <c r="G220">
        <v>3.5874999999999999</v>
      </c>
      <c r="H220">
        <v>4</v>
      </c>
      <c r="I220">
        <v>277</v>
      </c>
      <c r="J220">
        <v>18.600000000000001</v>
      </c>
      <c r="K220">
        <v>348.93</v>
      </c>
      <c r="L220">
        <v>29.55</v>
      </c>
      <c r="M220">
        <v>23.7</v>
      </c>
      <c r="O220" s="101">
        <f t="shared" si="66"/>
        <v>-0.38682154797393381</v>
      </c>
      <c r="P220" s="101">
        <f t="shared" si="67"/>
        <v>-7.9780115995534168E-2</v>
      </c>
      <c r="Q220" s="101">
        <f t="shared" si="68"/>
        <v>-0.56749560564102552</v>
      </c>
      <c r="R220" s="101">
        <f t="shared" si="69"/>
        <v>-1.2432061510081467</v>
      </c>
      <c r="S220" s="101">
        <f t="shared" si="70"/>
        <v>-2.0900690982442045</v>
      </c>
      <c r="T220" s="101">
        <f t="shared" si="71"/>
        <v>-9.8659388727620825E-2</v>
      </c>
      <c r="U220" s="101">
        <f t="shared" si="72"/>
        <v>-0.63796179884427828</v>
      </c>
      <c r="V220" s="101">
        <f t="shared" si="73"/>
        <v>-0.77945458388954547</v>
      </c>
      <c r="W220" s="101">
        <f t="shared" si="74"/>
        <v>6.6795846306914944E-2</v>
      </c>
      <c r="X220" s="101">
        <f t="shared" si="75"/>
        <v>-8.4908337822880889E-2</v>
      </c>
      <c r="Y220" s="101">
        <f t="shared" si="76"/>
        <v>2.368507552912011</v>
      </c>
      <c r="Z220" s="101">
        <f t="shared" si="77"/>
        <v>0.1270344154594735</v>
      </c>
      <c r="AQ220" s="101">
        <v>-0.3620895087383007</v>
      </c>
      <c r="AR220" s="101">
        <v>-2.0091039819579883</v>
      </c>
      <c r="AS220" s="101">
        <v>-0.48162551566681971</v>
      </c>
      <c r="AT220" s="101">
        <v>-0.84469378791748184</v>
      </c>
      <c r="AU220" s="101">
        <v>-0.16295320212452197</v>
      </c>
      <c r="AV220" s="101">
        <v>-0.41873373843408412</v>
      </c>
      <c r="AW220" s="101">
        <v>0.57252548767053746</v>
      </c>
      <c r="AX220" s="101">
        <v>-0.40830958461910699</v>
      </c>
      <c r="AY220" s="101">
        <v>1.9467197806969856</v>
      </c>
      <c r="AZ220" s="101">
        <v>-1.7081004305347285</v>
      </c>
      <c r="BA220" s="101">
        <v>0.7292182242254196</v>
      </c>
      <c r="BB220" s="101">
        <v>7.3186546868251129E-2</v>
      </c>
    </row>
    <row r="221" spans="2:54">
      <c r="B221">
        <v>0.19802</v>
      </c>
      <c r="C221">
        <v>10.59</v>
      </c>
      <c r="D221">
        <v>0.48899999999999999</v>
      </c>
      <c r="E221">
        <v>6.1820000000000004</v>
      </c>
      <c r="F221">
        <v>42.4</v>
      </c>
      <c r="G221">
        <v>3.9453999999999998</v>
      </c>
      <c r="H221">
        <v>4</v>
      </c>
      <c r="I221">
        <v>277</v>
      </c>
      <c r="J221">
        <v>18.600000000000001</v>
      </c>
      <c r="K221">
        <v>393.63</v>
      </c>
      <c r="L221">
        <v>9.4700000000000006</v>
      </c>
      <c r="M221">
        <v>25</v>
      </c>
      <c r="O221" s="101">
        <f t="shared" si="66"/>
        <v>-0.39747318995470904</v>
      </c>
      <c r="P221" s="101">
        <f t="shared" si="67"/>
        <v>-7.9780115995534168E-2</v>
      </c>
      <c r="Q221" s="101">
        <f t="shared" si="68"/>
        <v>-0.56749560564102552</v>
      </c>
      <c r="R221" s="101">
        <f t="shared" si="69"/>
        <v>-0.14621897040742629</v>
      </c>
      <c r="S221" s="101">
        <f t="shared" si="70"/>
        <v>-0.93079445501848967</v>
      </c>
      <c r="T221" s="101">
        <f t="shared" si="71"/>
        <v>7.1475226030060915E-2</v>
      </c>
      <c r="U221" s="101">
        <f t="shared" si="72"/>
        <v>-0.63796179884427828</v>
      </c>
      <c r="V221" s="101">
        <f t="shared" si="73"/>
        <v>-0.77945458388954547</v>
      </c>
      <c r="W221" s="101">
        <f t="shared" si="74"/>
        <v>6.6795846306914944E-2</v>
      </c>
      <c r="X221" s="101">
        <f t="shared" si="75"/>
        <v>0.40519848077659698</v>
      </c>
      <c r="Y221" s="101">
        <f t="shared" si="76"/>
        <v>-0.4461820172221358</v>
      </c>
      <c r="Z221" s="101">
        <f t="shared" si="77"/>
        <v>0.26852313623367541</v>
      </c>
      <c r="AQ221" s="101">
        <v>-1.3460490749115015</v>
      </c>
      <c r="AR221" s="101">
        <v>-0.47157753351438791</v>
      </c>
      <c r="AS221" s="101">
        <v>-0.20249187104907573</v>
      </c>
      <c r="AT221" s="101">
        <v>0.21969779238352755</v>
      </c>
      <c r="AU221" s="101">
        <v>0.12462656757039491</v>
      </c>
      <c r="AV221" s="101">
        <v>-8.9881238786222228E-2</v>
      </c>
      <c r="AW221" s="101">
        <v>0.71703212153605578</v>
      </c>
      <c r="AX221" s="101">
        <v>0.16193017544388788</v>
      </c>
      <c r="AY221" s="101">
        <v>0.18830383286166458</v>
      </c>
      <c r="AZ221" s="101">
        <v>-0.29551622758395085</v>
      </c>
      <c r="BA221" s="101">
        <v>-6.0759947359118188E-3</v>
      </c>
      <c r="BB221" s="101">
        <v>-0.15279996598929771</v>
      </c>
    </row>
    <row r="222" spans="2:54">
      <c r="B222">
        <v>4.5600000000000002E-2</v>
      </c>
      <c r="C222">
        <v>13.89</v>
      </c>
      <c r="D222">
        <v>0.55000000000000004</v>
      </c>
      <c r="E222">
        <v>5.8879999999999999</v>
      </c>
      <c r="F222">
        <v>56</v>
      </c>
      <c r="G222">
        <v>3.1120999999999999</v>
      </c>
      <c r="H222">
        <v>5</v>
      </c>
      <c r="I222">
        <v>276</v>
      </c>
      <c r="J222">
        <v>16.399999999999999</v>
      </c>
      <c r="K222">
        <v>392.8</v>
      </c>
      <c r="L222">
        <v>13.51</v>
      </c>
      <c r="M222">
        <v>23.3</v>
      </c>
      <c r="O222" s="101">
        <f t="shared" si="66"/>
        <v>-0.41521079806909528</v>
      </c>
      <c r="P222" s="101">
        <f t="shared" si="67"/>
        <v>0.40172072504013173</v>
      </c>
      <c r="Q222" s="101">
        <f t="shared" si="68"/>
        <v>-4.0557471799615809E-2</v>
      </c>
      <c r="R222" s="101">
        <f t="shared" si="69"/>
        <v>-0.56506862118224721</v>
      </c>
      <c r="S222" s="101">
        <f t="shared" si="70"/>
        <v>-0.44717067747647365</v>
      </c>
      <c r="T222" s="101">
        <f t="shared" si="71"/>
        <v>-0.32464987728811795</v>
      </c>
      <c r="U222" s="101">
        <f t="shared" si="72"/>
        <v>-0.52300144620353584</v>
      </c>
      <c r="V222" s="101">
        <f t="shared" si="73"/>
        <v>-0.78539386677735856</v>
      </c>
      <c r="W222" s="101">
        <f t="shared" si="74"/>
        <v>-0.95040163808252898</v>
      </c>
      <c r="X222" s="101">
        <f t="shared" si="75"/>
        <v>0.39609806333951508</v>
      </c>
      <c r="Y222" s="101">
        <f t="shared" si="76"/>
        <v>0.12012006760565067</v>
      </c>
      <c r="Z222" s="101">
        <f t="shared" si="77"/>
        <v>8.3499424452026946E-2</v>
      </c>
      <c r="AQ222" s="101">
        <v>-0.60583803640994194</v>
      </c>
      <c r="AR222" s="101">
        <v>-0.15936573463366657</v>
      </c>
      <c r="AS222" s="101">
        <v>-1.1455070231984295</v>
      </c>
      <c r="AT222" s="101">
        <v>-0.4561617386412859</v>
      </c>
      <c r="AU222" s="101">
        <v>-0.34089852647610758</v>
      </c>
      <c r="AV222" s="101">
        <v>-0.50109900034216659</v>
      </c>
      <c r="AW222" s="101">
        <v>0.57234872821641536</v>
      </c>
      <c r="AX222" s="101">
        <v>0.12850482830174592</v>
      </c>
      <c r="AY222" s="101">
        <v>0.33451952551574565</v>
      </c>
      <c r="AZ222" s="101">
        <v>-0.22773268496192645</v>
      </c>
      <c r="BA222" s="101">
        <v>-9.027032806360058E-2</v>
      </c>
      <c r="BB222" s="101">
        <v>-0.36876592239769806</v>
      </c>
    </row>
    <row r="223" spans="2:54">
      <c r="B223">
        <v>7.0129999999999998E-2</v>
      </c>
      <c r="C223">
        <v>13.89</v>
      </c>
      <c r="D223">
        <v>0.55000000000000004</v>
      </c>
      <c r="E223">
        <v>6.6420000000000003</v>
      </c>
      <c r="F223">
        <v>85.1</v>
      </c>
      <c r="G223">
        <v>3.4211</v>
      </c>
      <c r="H223">
        <v>5</v>
      </c>
      <c r="I223">
        <v>276</v>
      </c>
      <c r="J223">
        <v>16.399999999999999</v>
      </c>
      <c r="K223">
        <v>392.78</v>
      </c>
      <c r="L223">
        <v>9.69</v>
      </c>
      <c r="M223">
        <v>28.7</v>
      </c>
      <c r="O223" s="101">
        <f t="shared" si="66"/>
        <v>-0.41235616267317676</v>
      </c>
      <c r="P223" s="101">
        <f t="shared" si="67"/>
        <v>0.40172072504013173</v>
      </c>
      <c r="Q223" s="101">
        <f t="shared" si="68"/>
        <v>-4.0557471799615809E-2</v>
      </c>
      <c r="R223" s="101">
        <f t="shared" si="69"/>
        <v>0.50912402060079587</v>
      </c>
      <c r="S223" s="101">
        <f t="shared" si="70"/>
        <v>0.58764196417592784</v>
      </c>
      <c r="T223" s="101">
        <f t="shared" si="71"/>
        <v>-0.17776081341518224</v>
      </c>
      <c r="U223" s="101">
        <f t="shared" si="72"/>
        <v>-0.52300144620353584</v>
      </c>
      <c r="V223" s="101">
        <f t="shared" si="73"/>
        <v>-0.78539386677735856</v>
      </c>
      <c r="W223" s="101">
        <f t="shared" si="74"/>
        <v>-0.95040163808252898</v>
      </c>
      <c r="X223" s="101">
        <f t="shared" si="75"/>
        <v>0.39587877617235606</v>
      </c>
      <c r="Y223" s="101">
        <f t="shared" si="76"/>
        <v>-0.41534378488002877</v>
      </c>
      <c r="Z223" s="101">
        <f t="shared" si="77"/>
        <v>0.67122180305255752</v>
      </c>
      <c r="AQ223" s="101">
        <v>-0.89768254201261322</v>
      </c>
      <c r="AR223" s="101">
        <v>1.039490220922999</v>
      </c>
      <c r="AS223" s="101">
        <v>-1.0751890478353678</v>
      </c>
      <c r="AT223" s="101">
        <v>-0.12863571373350297</v>
      </c>
      <c r="AU223" s="101">
        <v>-6.3145512137667989E-2</v>
      </c>
      <c r="AV223" s="101">
        <v>0.11106738619470535</v>
      </c>
      <c r="AW223" s="101">
        <v>6.259267541073138E-2</v>
      </c>
      <c r="AX223" s="101">
        <v>0.26171750558294843</v>
      </c>
      <c r="AY223" s="101">
        <v>0.18722402840943306</v>
      </c>
      <c r="AZ223" s="101">
        <v>0.47235979319979504</v>
      </c>
      <c r="BA223" s="101">
        <v>-4.0411992833833232E-2</v>
      </c>
      <c r="BB223" s="101">
        <v>-0.36755725659033556</v>
      </c>
    </row>
    <row r="224" spans="2:54">
      <c r="B224">
        <v>0.11069</v>
      </c>
      <c r="C224">
        <v>13.89</v>
      </c>
      <c r="D224">
        <v>0.55000000000000004</v>
      </c>
      <c r="E224">
        <v>5.9509999999999996</v>
      </c>
      <c r="F224">
        <v>93.8</v>
      </c>
      <c r="G224">
        <v>2.8893</v>
      </c>
      <c r="H224">
        <v>5</v>
      </c>
      <c r="I224">
        <v>276</v>
      </c>
      <c r="J224">
        <v>16.399999999999999</v>
      </c>
      <c r="K224">
        <v>396.9</v>
      </c>
      <c r="L224">
        <v>17.920000000000002</v>
      </c>
      <c r="M224">
        <v>21.5</v>
      </c>
      <c r="O224" s="101">
        <f t="shared" si="66"/>
        <v>-0.40763606435852318</v>
      </c>
      <c r="P224" s="101">
        <f t="shared" si="67"/>
        <v>0.40172072504013173</v>
      </c>
      <c r="Q224" s="101">
        <f t="shared" si="68"/>
        <v>-4.0557471799615809E-2</v>
      </c>
      <c r="R224" s="101">
        <f t="shared" si="69"/>
        <v>-0.4753151245876433</v>
      </c>
      <c r="S224" s="101">
        <f t="shared" si="70"/>
        <v>0.89701893951530576</v>
      </c>
      <c r="T224" s="101">
        <f t="shared" si="71"/>
        <v>-0.43056212140103073</v>
      </c>
      <c r="U224" s="101">
        <f t="shared" si="72"/>
        <v>-0.52300144620353584</v>
      </c>
      <c r="V224" s="101">
        <f t="shared" si="73"/>
        <v>-0.78539386677735856</v>
      </c>
      <c r="W224" s="101">
        <f t="shared" si="74"/>
        <v>-0.95040163808252898</v>
      </c>
      <c r="X224" s="101">
        <f t="shared" si="75"/>
        <v>0.44105193260702835</v>
      </c>
      <c r="Y224" s="101">
        <f t="shared" si="76"/>
        <v>0.73828645228152689</v>
      </c>
      <c r="Z224" s="101">
        <f t="shared" si="77"/>
        <v>-0.11240803508148337</v>
      </c>
      <c r="AQ224" s="101">
        <v>5.5385490909493545E-2</v>
      </c>
      <c r="AR224" s="101">
        <v>-2.8461464030897637E-2</v>
      </c>
      <c r="AS224" s="101">
        <v>-1.7825759531999958</v>
      </c>
      <c r="AT224" s="101">
        <v>-0.48670123218966915</v>
      </c>
      <c r="AU224" s="101">
        <v>-0.32820789667864469</v>
      </c>
      <c r="AV224" s="101">
        <v>0.2006872182883313</v>
      </c>
      <c r="AW224" s="101">
        <v>-0.18485658755033157</v>
      </c>
      <c r="AX224" s="101">
        <v>-7.3776954946691051E-2</v>
      </c>
      <c r="AY224" s="101">
        <v>0.47342353748645033</v>
      </c>
      <c r="AZ224" s="101">
        <v>0.27231070169541982</v>
      </c>
      <c r="BA224" s="101">
        <v>-0.19515190456252579</v>
      </c>
      <c r="BB224" s="101">
        <v>-0.38561461590933427</v>
      </c>
    </row>
    <row r="225" spans="2:54">
      <c r="B225">
        <v>0.11425</v>
      </c>
      <c r="C225">
        <v>13.89</v>
      </c>
      <c r="D225">
        <v>0.55000000000000004</v>
      </c>
      <c r="E225">
        <v>6.3730000000000002</v>
      </c>
      <c r="F225">
        <v>92.4</v>
      </c>
      <c r="G225">
        <v>3.3633000000000002</v>
      </c>
      <c r="H225">
        <v>5</v>
      </c>
      <c r="I225">
        <v>276</v>
      </c>
      <c r="J225">
        <v>16.399999999999999</v>
      </c>
      <c r="K225">
        <v>393.74</v>
      </c>
      <c r="L225">
        <v>10.5</v>
      </c>
      <c r="M225">
        <v>23</v>
      </c>
      <c r="O225" s="101">
        <f t="shared" si="66"/>
        <v>-0.40722177565043222</v>
      </c>
      <c r="P225" s="101">
        <f t="shared" si="67"/>
        <v>0.40172072504013173</v>
      </c>
      <c r="Q225" s="101">
        <f t="shared" si="68"/>
        <v>-4.0557471799615809E-2</v>
      </c>
      <c r="R225" s="101">
        <f t="shared" si="69"/>
        <v>0.12589083672859616</v>
      </c>
      <c r="S225" s="101">
        <f t="shared" si="70"/>
        <v>0.84723413888598087</v>
      </c>
      <c r="T225" s="101">
        <f t="shared" si="71"/>
        <v>-0.20523714963477982</v>
      </c>
      <c r="U225" s="101">
        <f t="shared" si="72"/>
        <v>-0.52300144620353584</v>
      </c>
      <c r="V225" s="101">
        <f t="shared" si="73"/>
        <v>-0.78539386677735856</v>
      </c>
      <c r="W225" s="101">
        <f t="shared" si="74"/>
        <v>-0.95040163808252898</v>
      </c>
      <c r="X225" s="101">
        <f t="shared" si="75"/>
        <v>0.40640456019596943</v>
      </c>
      <c r="Y225" s="101">
        <f t="shared" si="76"/>
        <v>-0.30180302034772494</v>
      </c>
      <c r="Z225" s="101">
        <f t="shared" si="77"/>
        <v>5.0848181196441827E-2</v>
      </c>
      <c r="AQ225" s="101">
        <v>-0.52488259150382222</v>
      </c>
      <c r="AR225" s="101">
        <v>0.55934065684825862</v>
      </c>
      <c r="AS225" s="101">
        <v>-1.3277252489375986</v>
      </c>
      <c r="AT225" s="101">
        <v>-0.25011682052940903</v>
      </c>
      <c r="AU225" s="101">
        <v>-0.11464240485674793</v>
      </c>
      <c r="AV225" s="101">
        <v>0.16027992493414708</v>
      </c>
      <c r="AW225" s="101">
        <v>-5.3183961380299689E-2</v>
      </c>
      <c r="AX225" s="101">
        <v>0.28637249511341206</v>
      </c>
      <c r="AY225" s="101">
        <v>-5.5585937238807961E-2</v>
      </c>
      <c r="AZ225" s="101">
        <v>0.57097409183471937</v>
      </c>
      <c r="BA225" s="101">
        <v>-0.30772036884698906</v>
      </c>
      <c r="BB225" s="101">
        <v>-0.44256446283061457</v>
      </c>
    </row>
    <row r="226" spans="2:54">
      <c r="B226">
        <v>0.35809000000000002</v>
      </c>
      <c r="C226">
        <v>6.2</v>
      </c>
      <c r="D226">
        <v>0.50700000000000001</v>
      </c>
      <c r="E226">
        <v>6.9509999999999996</v>
      </c>
      <c r="F226">
        <v>88.5</v>
      </c>
      <c r="G226">
        <v>2.8616999999999999</v>
      </c>
      <c r="H226">
        <v>8</v>
      </c>
      <c r="I226">
        <v>307</v>
      </c>
      <c r="J226">
        <v>17.399999999999999</v>
      </c>
      <c r="K226">
        <v>391.7</v>
      </c>
      <c r="L226">
        <v>9.7100000000000009</v>
      </c>
      <c r="M226">
        <v>26.7</v>
      </c>
      <c r="O226" s="101">
        <f t="shared" si="66"/>
        <v>-0.37884532661085785</v>
      </c>
      <c r="P226" s="101">
        <f t="shared" si="67"/>
        <v>-0.72032214391873794</v>
      </c>
      <c r="Q226" s="101">
        <f t="shared" si="68"/>
        <v>-0.41200566450749482</v>
      </c>
      <c r="R226" s="101">
        <f t="shared" si="69"/>
        <v>0.94934355151718752</v>
      </c>
      <c r="S226" s="101">
        <f t="shared" si="70"/>
        <v>0.70854790856143202</v>
      </c>
      <c r="T226" s="101">
        <f t="shared" si="71"/>
        <v>-0.44368230963045802</v>
      </c>
      <c r="U226" s="101">
        <f t="shared" si="72"/>
        <v>-0.17812038828130847</v>
      </c>
      <c r="V226" s="101">
        <f t="shared" si="73"/>
        <v>-0.60127609725515552</v>
      </c>
      <c r="W226" s="101">
        <f t="shared" si="74"/>
        <v>-0.48803914517823693</v>
      </c>
      <c r="X226" s="101">
        <f t="shared" si="75"/>
        <v>0.38403726914579167</v>
      </c>
      <c r="Y226" s="101">
        <f t="shared" si="76"/>
        <v>-0.41254030921256429</v>
      </c>
      <c r="Z226" s="101">
        <f t="shared" si="77"/>
        <v>0.45354684801532391</v>
      </c>
      <c r="AQ226" s="101">
        <v>-1.0365393900413158</v>
      </c>
      <c r="AR226" s="101">
        <v>0.9954126578626028</v>
      </c>
      <c r="AS226" s="101">
        <v>-0.5029218340519106</v>
      </c>
      <c r="AT226" s="101">
        <v>0.15044347744824826</v>
      </c>
      <c r="AU226" s="101">
        <v>4.2937046036339591E-2</v>
      </c>
      <c r="AV226" s="101">
        <v>0.77848748155396108</v>
      </c>
      <c r="AW226" s="101">
        <v>-0.47074608255918604</v>
      </c>
      <c r="AX226" s="101">
        <v>-0.32607955119387422</v>
      </c>
      <c r="AY226" s="101">
        <v>-0.13658142429523984</v>
      </c>
      <c r="AZ226" s="101">
        <v>-2.2721252707502609E-2</v>
      </c>
      <c r="BA226" s="101">
        <v>-0.49390492242864148</v>
      </c>
      <c r="BB226" s="101">
        <v>-0.2176048279454485</v>
      </c>
    </row>
    <row r="227" spans="2:54">
      <c r="B227">
        <v>0.40771000000000002</v>
      </c>
      <c r="C227">
        <v>6.2</v>
      </c>
      <c r="D227">
        <v>0.50700000000000001</v>
      </c>
      <c r="E227">
        <v>6.1639999999999997</v>
      </c>
      <c r="F227">
        <v>91.3</v>
      </c>
      <c r="G227">
        <v>3.048</v>
      </c>
      <c r="H227">
        <v>8</v>
      </c>
      <c r="I227">
        <v>307</v>
      </c>
      <c r="J227">
        <v>17.399999999999999</v>
      </c>
      <c r="K227">
        <v>395.24</v>
      </c>
      <c r="L227">
        <v>21.46</v>
      </c>
      <c r="M227">
        <v>21.7</v>
      </c>
      <c r="O227" s="101">
        <f t="shared" si="66"/>
        <v>-0.37307088680875938</v>
      </c>
      <c r="P227" s="101">
        <f t="shared" si="67"/>
        <v>-0.72032214391873794</v>
      </c>
      <c r="Q227" s="101">
        <f t="shared" si="68"/>
        <v>-0.41200566450749482</v>
      </c>
      <c r="R227" s="101">
        <f t="shared" si="69"/>
        <v>-0.17186282657731422</v>
      </c>
      <c r="S227" s="101">
        <f t="shared" si="70"/>
        <v>0.80811750982008224</v>
      </c>
      <c r="T227" s="101">
        <f t="shared" si="71"/>
        <v>-0.35512103908182396</v>
      </c>
      <c r="U227" s="101">
        <f t="shared" si="72"/>
        <v>-0.17812038828130847</v>
      </c>
      <c r="V227" s="101">
        <f t="shared" si="73"/>
        <v>-0.60127609725515552</v>
      </c>
      <c r="W227" s="101">
        <f t="shared" si="74"/>
        <v>-0.48803914517823693</v>
      </c>
      <c r="X227" s="101">
        <f t="shared" si="75"/>
        <v>0.42285109773286467</v>
      </c>
      <c r="Y227" s="101">
        <f t="shared" si="76"/>
        <v>1.234501645422706</v>
      </c>
      <c r="Z227" s="101">
        <f t="shared" si="77"/>
        <v>-9.0640539577760082E-2</v>
      </c>
      <c r="AQ227" s="101">
        <v>-0.12442595537343577</v>
      </c>
      <c r="AR227" s="101">
        <v>-0.31407529172811244</v>
      </c>
      <c r="AS227" s="101">
        <v>-1.1425215842359429</v>
      </c>
      <c r="AT227" s="101">
        <v>-0.33475098860303726</v>
      </c>
      <c r="AU227" s="101">
        <v>-0.33531173798717939</v>
      </c>
      <c r="AV227" s="101">
        <v>0.73526021605820313</v>
      </c>
      <c r="AW227" s="101">
        <v>-0.86573421645159998</v>
      </c>
      <c r="AX227" s="101">
        <v>-0.76213861250739401</v>
      </c>
      <c r="AY227" s="101">
        <v>0.55192227637321056</v>
      </c>
      <c r="AZ227" s="101">
        <v>-0.27023781965068278</v>
      </c>
      <c r="BA227" s="101">
        <v>-0.23763369157941028</v>
      </c>
      <c r="BB227" s="101">
        <v>-0.17292610388199836</v>
      </c>
    </row>
    <row r="228" spans="2:54">
      <c r="B228">
        <v>0.62356</v>
      </c>
      <c r="C228">
        <v>6.2</v>
      </c>
      <c r="D228">
        <v>0.50700000000000001</v>
      </c>
      <c r="E228">
        <v>6.8789999999999996</v>
      </c>
      <c r="F228">
        <v>77.7</v>
      </c>
      <c r="G228">
        <v>3.2721</v>
      </c>
      <c r="H228">
        <v>8</v>
      </c>
      <c r="I228">
        <v>307</v>
      </c>
      <c r="J228">
        <v>17.399999999999999</v>
      </c>
      <c r="K228">
        <v>390.39</v>
      </c>
      <c r="L228">
        <v>9.93</v>
      </c>
      <c r="M228">
        <v>27.5</v>
      </c>
      <c r="O228" s="101">
        <f t="shared" si="66"/>
        <v>-0.34795172454993339</v>
      </c>
      <c r="P228" s="101">
        <f t="shared" si="67"/>
        <v>-0.72032214391873794</v>
      </c>
      <c r="Q228" s="101">
        <f t="shared" si="68"/>
        <v>-0.41200566450749482</v>
      </c>
      <c r="R228" s="101">
        <f t="shared" si="69"/>
        <v>0.84676812683763969</v>
      </c>
      <c r="S228" s="101">
        <f t="shared" si="70"/>
        <v>0.32449373227806655</v>
      </c>
      <c r="T228" s="101">
        <f t="shared" si="71"/>
        <v>-0.24859081508853956</v>
      </c>
      <c r="U228" s="101">
        <f t="shared" si="72"/>
        <v>-0.17812038828130847</v>
      </c>
      <c r="V228" s="101">
        <f t="shared" si="73"/>
        <v>-0.60127609725515552</v>
      </c>
      <c r="W228" s="101">
        <f t="shared" si="74"/>
        <v>-0.48803914517823693</v>
      </c>
      <c r="X228" s="101">
        <f t="shared" si="75"/>
        <v>0.36967395969690314</v>
      </c>
      <c r="Y228" s="101">
        <f t="shared" si="76"/>
        <v>-0.38170207687045726</v>
      </c>
      <c r="Z228" s="101">
        <f t="shared" si="77"/>
        <v>0.54061683003021743</v>
      </c>
      <c r="AQ228" s="101">
        <v>-1.1911739859082746</v>
      </c>
      <c r="AR228" s="101">
        <v>0.82515743620033721</v>
      </c>
      <c r="AS228" s="101">
        <v>-0.31375634269845376</v>
      </c>
      <c r="AT228" s="101">
        <v>9.2781058832361998E-2</v>
      </c>
      <c r="AU228" s="101">
        <v>-2.6838969560474456E-2</v>
      </c>
      <c r="AV228" s="101">
        <v>0.56698293821625323</v>
      </c>
      <c r="AW228" s="101">
        <v>-0.35495803072764276</v>
      </c>
      <c r="AX228" s="101">
        <v>-0.29623856121846293</v>
      </c>
      <c r="AY228" s="101">
        <v>-4.9934088202046034E-2</v>
      </c>
      <c r="AZ228" s="101">
        <v>-0.12531508797680119</v>
      </c>
      <c r="BA228" s="101">
        <v>-0.31676143300685955</v>
      </c>
      <c r="BB228" s="101">
        <v>-0.19633543651595206</v>
      </c>
    </row>
    <row r="229" spans="2:54">
      <c r="B229">
        <v>0.61470000000000002</v>
      </c>
      <c r="C229">
        <v>6.2</v>
      </c>
      <c r="D229">
        <v>0.50700000000000001</v>
      </c>
      <c r="E229">
        <v>6.6180000000000003</v>
      </c>
      <c r="F229">
        <v>80.8</v>
      </c>
      <c r="G229">
        <v>3.2721</v>
      </c>
      <c r="H229">
        <v>8</v>
      </c>
      <c r="I229">
        <v>307</v>
      </c>
      <c r="J229">
        <v>17.399999999999999</v>
      </c>
      <c r="K229">
        <v>396.9</v>
      </c>
      <c r="L229">
        <v>7.6</v>
      </c>
      <c r="M229">
        <v>30.1</v>
      </c>
      <c r="O229" s="101">
        <f t="shared" si="66"/>
        <v>-0.34898279139085625</v>
      </c>
      <c r="P229" s="101">
        <f t="shared" si="67"/>
        <v>-0.72032214391873794</v>
      </c>
      <c r="Q229" s="101">
        <f t="shared" si="68"/>
        <v>-0.41200566450749482</v>
      </c>
      <c r="R229" s="101">
        <f t="shared" si="69"/>
        <v>0.47493221237427991</v>
      </c>
      <c r="S229" s="101">
        <f t="shared" si="70"/>
        <v>0.43473150510014352</v>
      </c>
      <c r="T229" s="101">
        <f t="shared" si="71"/>
        <v>-0.24859081508853956</v>
      </c>
      <c r="U229" s="101">
        <f t="shared" si="72"/>
        <v>-0.17812038828130847</v>
      </c>
      <c r="V229" s="101">
        <f t="shared" si="73"/>
        <v>-0.60127609725515552</v>
      </c>
      <c r="W229" s="101">
        <f t="shared" si="74"/>
        <v>-0.48803914517823693</v>
      </c>
      <c r="X229" s="101">
        <f t="shared" si="75"/>
        <v>0.44105193260702835</v>
      </c>
      <c r="Y229" s="101">
        <f t="shared" si="76"/>
        <v>-0.708306992130047</v>
      </c>
      <c r="Z229" s="101">
        <f t="shared" si="77"/>
        <v>0.8235942715786212</v>
      </c>
      <c r="AQ229" s="101">
        <v>-1.2794362903815379</v>
      </c>
      <c r="AR229" s="101">
        <v>0.85816044759392796</v>
      </c>
      <c r="AS229" s="101">
        <v>-0.39255661810609249</v>
      </c>
      <c r="AT229" s="101">
        <v>0.21937032001035298</v>
      </c>
      <c r="AU229" s="101">
        <v>-8.6433457326101734E-2</v>
      </c>
      <c r="AV229" s="101">
        <v>0.44345746383565027</v>
      </c>
      <c r="AW229" s="101">
        <v>-5.1065961039488655E-2</v>
      </c>
      <c r="AX229" s="101">
        <v>-0.58144341711189407</v>
      </c>
      <c r="AY229" s="101">
        <v>-0.19181950090217831</v>
      </c>
      <c r="AZ229" s="101">
        <v>0.18301878527115964</v>
      </c>
      <c r="BA229" s="101">
        <v>-0.25884208948075499</v>
      </c>
      <c r="BB229" s="101">
        <v>-0.18709997599319828</v>
      </c>
    </row>
    <row r="230" spans="2:54">
      <c r="B230">
        <v>0.31533</v>
      </c>
      <c r="C230">
        <v>6.2</v>
      </c>
      <c r="D230">
        <v>0.504</v>
      </c>
      <c r="E230">
        <v>8.266</v>
      </c>
      <c r="F230">
        <v>78.3</v>
      </c>
      <c r="G230">
        <v>2.8944000000000001</v>
      </c>
      <c r="H230">
        <v>8</v>
      </c>
      <c r="I230">
        <v>307</v>
      </c>
      <c r="J230">
        <v>17.399999999999999</v>
      </c>
      <c r="K230">
        <v>385.05</v>
      </c>
      <c r="L230">
        <v>4.1399999999999997</v>
      </c>
      <c r="M230">
        <v>44.8</v>
      </c>
      <c r="O230" s="101">
        <f t="shared" si="66"/>
        <v>-0.38382144603725304</v>
      </c>
      <c r="P230" s="101">
        <f t="shared" si="67"/>
        <v>-0.72032214391873794</v>
      </c>
      <c r="Q230" s="101">
        <f t="shared" si="68"/>
        <v>-0.43792065469641661</v>
      </c>
      <c r="R230" s="101">
        <f t="shared" si="69"/>
        <v>2.8227697105950407</v>
      </c>
      <c r="S230" s="101">
        <f t="shared" si="70"/>
        <v>0.34583007540492</v>
      </c>
      <c r="T230" s="101">
        <f t="shared" si="71"/>
        <v>-0.42813773879341915</v>
      </c>
      <c r="U230" s="101">
        <f t="shared" si="72"/>
        <v>-0.17812038828130847</v>
      </c>
      <c r="V230" s="101">
        <f t="shared" si="73"/>
        <v>-0.60127609725515552</v>
      </c>
      <c r="W230" s="101">
        <f t="shared" si="74"/>
        <v>-0.48803914517823693</v>
      </c>
      <c r="X230" s="101">
        <f t="shared" si="75"/>
        <v>0.31112428606555637</v>
      </c>
      <c r="Y230" s="101">
        <f t="shared" si="76"/>
        <v>-1.1933082826013692</v>
      </c>
      <c r="Z230" s="101">
        <f t="shared" si="77"/>
        <v>2.4235051911022878</v>
      </c>
      <c r="AQ230" s="101">
        <v>-2.3306605973862564</v>
      </c>
      <c r="AR230" s="101">
        <v>3.1123556357026652</v>
      </c>
      <c r="AS230" s="101">
        <v>0.37621707876534566</v>
      </c>
      <c r="AT230" s="101">
        <v>0.68464385226447533</v>
      </c>
      <c r="AU230" s="101">
        <v>0.40873450701487346</v>
      </c>
      <c r="AV230" s="101">
        <v>0.97119185199429181</v>
      </c>
      <c r="AW230" s="101">
        <v>-0.32950635538341211</v>
      </c>
      <c r="AX230" s="101">
        <v>-0.16508718201318773</v>
      </c>
      <c r="AY230" s="101">
        <v>0.38851053619860487</v>
      </c>
      <c r="AZ230" s="101">
        <v>-0.10845647159994992</v>
      </c>
      <c r="BA230" s="101">
        <v>0.12706691693799455</v>
      </c>
      <c r="BB230" s="101">
        <v>-2.2828116047589608E-2</v>
      </c>
    </row>
    <row r="231" spans="2:54">
      <c r="B231">
        <v>0.52693000000000001</v>
      </c>
      <c r="C231">
        <v>6.2</v>
      </c>
      <c r="D231">
        <v>0.504</v>
      </c>
      <c r="E231">
        <v>8.7249999999999996</v>
      </c>
      <c r="F231">
        <v>83</v>
      </c>
      <c r="G231">
        <v>2.8944000000000001</v>
      </c>
      <c r="H231">
        <v>8</v>
      </c>
      <c r="I231">
        <v>307</v>
      </c>
      <c r="J231">
        <v>17.399999999999999</v>
      </c>
      <c r="K231">
        <v>382</v>
      </c>
      <c r="L231">
        <v>4.63</v>
      </c>
      <c r="M231">
        <v>50</v>
      </c>
      <c r="O231" s="101">
        <f t="shared" si="66"/>
        <v>-0.35919687001701867</v>
      </c>
      <c r="P231" s="101">
        <f t="shared" si="67"/>
        <v>-0.72032214391873794</v>
      </c>
      <c r="Q231" s="101">
        <f t="shared" si="68"/>
        <v>-0.43792065469641661</v>
      </c>
      <c r="R231" s="101">
        <f t="shared" si="69"/>
        <v>3.4766880429271576</v>
      </c>
      <c r="S231" s="101">
        <f t="shared" si="70"/>
        <v>0.51296476323194029</v>
      </c>
      <c r="T231" s="101">
        <f t="shared" si="71"/>
        <v>-0.42813773879341915</v>
      </c>
      <c r="U231" s="101">
        <f t="shared" si="72"/>
        <v>-0.17812038828130847</v>
      </c>
      <c r="V231" s="101">
        <f t="shared" si="73"/>
        <v>-0.60127609725515552</v>
      </c>
      <c r="W231" s="101">
        <f t="shared" si="74"/>
        <v>-0.48803914517823693</v>
      </c>
      <c r="X231" s="101">
        <f t="shared" si="75"/>
        <v>0.27768299307386929</v>
      </c>
      <c r="Y231" s="101">
        <f t="shared" si="76"/>
        <v>-1.124623128748494</v>
      </c>
      <c r="Z231" s="101">
        <f t="shared" si="77"/>
        <v>2.9894600741990951</v>
      </c>
      <c r="AQ231" s="101">
        <v>-2.5376833970650812</v>
      </c>
      <c r="AR231" s="101">
        <v>3.7778182762188233</v>
      </c>
      <c r="AS231" s="101">
        <v>0.51453772024273103</v>
      </c>
      <c r="AT231" s="101">
        <v>0.79210550461730111</v>
      </c>
      <c r="AU231" s="101">
        <v>0.50718344846223318</v>
      </c>
      <c r="AV231" s="101">
        <v>1.225363980731659</v>
      </c>
      <c r="AW231" s="101">
        <v>-0.53593510685269652</v>
      </c>
      <c r="AX231" s="101">
        <v>-0.13898192186047975</v>
      </c>
      <c r="AY231" s="101">
        <v>0.69155099532679354</v>
      </c>
      <c r="AZ231" s="101">
        <v>-9.447048380438533E-2</v>
      </c>
      <c r="BA231" s="101">
        <v>0.35348902463087062</v>
      </c>
      <c r="BB231" s="101">
        <v>4.8057773290581529E-2</v>
      </c>
    </row>
    <row r="232" spans="2:54">
      <c r="B232">
        <v>0.38213999999999998</v>
      </c>
      <c r="C232">
        <v>6.2</v>
      </c>
      <c r="D232">
        <v>0.504</v>
      </c>
      <c r="E232">
        <v>8.0399999999999991</v>
      </c>
      <c r="F232">
        <v>86.5</v>
      </c>
      <c r="G232">
        <v>3.2157</v>
      </c>
      <c r="H232">
        <v>8</v>
      </c>
      <c r="I232">
        <v>307</v>
      </c>
      <c r="J232">
        <v>17.399999999999999</v>
      </c>
      <c r="K232">
        <v>387.38</v>
      </c>
      <c r="L232">
        <v>3.13</v>
      </c>
      <c r="M232">
        <v>37.6</v>
      </c>
      <c r="O232" s="101">
        <f t="shared" si="66"/>
        <v>-0.37604655036659207</v>
      </c>
      <c r="P232" s="101">
        <f t="shared" si="67"/>
        <v>-0.72032214391873794</v>
      </c>
      <c r="Q232" s="101">
        <f t="shared" si="68"/>
        <v>-0.43792065469641661</v>
      </c>
      <c r="R232" s="101">
        <f t="shared" si="69"/>
        <v>2.5007968497953477</v>
      </c>
      <c r="S232" s="101">
        <f t="shared" si="70"/>
        <v>0.63742676480525318</v>
      </c>
      <c r="T232" s="101">
        <f t="shared" si="71"/>
        <v>-0.27540163451389094</v>
      </c>
      <c r="U232" s="101">
        <f t="shared" si="72"/>
        <v>-0.17812038828130847</v>
      </c>
      <c r="V232" s="101">
        <f t="shared" si="73"/>
        <v>-0.60127609725515552</v>
      </c>
      <c r="W232" s="101">
        <f t="shared" si="74"/>
        <v>-0.48803914517823693</v>
      </c>
      <c r="X232" s="101">
        <f t="shared" si="75"/>
        <v>0.3366712410395335</v>
      </c>
      <c r="Y232" s="101">
        <f t="shared" si="76"/>
        <v>-1.3348838038083157</v>
      </c>
      <c r="Z232" s="101">
        <f t="shared" si="77"/>
        <v>1.6398753529682473</v>
      </c>
      <c r="AQ232" s="101">
        <v>-2.0541547388920707</v>
      </c>
      <c r="AR232" s="101">
        <v>2.594302914906474</v>
      </c>
      <c r="AS232" s="101">
        <v>0.21878346732837212</v>
      </c>
      <c r="AT232" s="101">
        <v>0.590449382237767</v>
      </c>
      <c r="AU232" s="101">
        <v>0.3809004019926544</v>
      </c>
      <c r="AV232" s="101">
        <v>0.98917006484859149</v>
      </c>
      <c r="AW232" s="101">
        <v>-0.49658902247193409</v>
      </c>
      <c r="AX232" s="101">
        <v>1.6561963364234433E-2</v>
      </c>
      <c r="AY232" s="101">
        <v>-8.3279267101652343E-2</v>
      </c>
      <c r="AZ232" s="101">
        <v>0.13691983342207537</v>
      </c>
      <c r="BA232" s="101">
        <v>-0.20386806971556604</v>
      </c>
      <c r="BB232" s="101">
        <v>-0.14131764127414934</v>
      </c>
    </row>
    <row r="233" spans="2:54">
      <c r="B233">
        <v>0.41238000000000002</v>
      </c>
      <c r="C233">
        <v>6.2</v>
      </c>
      <c r="D233">
        <v>0.504</v>
      </c>
      <c r="E233">
        <v>7.1630000000000003</v>
      </c>
      <c r="F233">
        <v>79.900000000000006</v>
      </c>
      <c r="G233">
        <v>3.2157</v>
      </c>
      <c r="H233">
        <v>8</v>
      </c>
      <c r="I233">
        <v>307</v>
      </c>
      <c r="J233">
        <v>17.399999999999999</v>
      </c>
      <c r="K233">
        <v>372.08</v>
      </c>
      <c r="L233">
        <v>6.36</v>
      </c>
      <c r="M233">
        <v>31.6</v>
      </c>
      <c r="O233" s="101">
        <f t="shared" si="66"/>
        <v>-0.37252742381247161</v>
      </c>
      <c r="P233" s="101">
        <f t="shared" si="67"/>
        <v>-0.72032214391873794</v>
      </c>
      <c r="Q233" s="101">
        <f t="shared" si="68"/>
        <v>-0.43792065469641661</v>
      </c>
      <c r="R233" s="101">
        <f t="shared" si="69"/>
        <v>1.2513711908514127</v>
      </c>
      <c r="S233" s="101">
        <f t="shared" si="70"/>
        <v>0.40272699040986332</v>
      </c>
      <c r="T233" s="101">
        <f t="shared" si="71"/>
        <v>-0.27540163451389094</v>
      </c>
      <c r="U233" s="101">
        <f t="shared" si="72"/>
        <v>-0.17812038828130847</v>
      </c>
      <c r="V233" s="101">
        <f t="shared" si="73"/>
        <v>-0.60127609725515552</v>
      </c>
      <c r="W233" s="101">
        <f t="shared" si="74"/>
        <v>-0.48803914517823693</v>
      </c>
      <c r="X233" s="101">
        <f t="shared" si="75"/>
        <v>0.16891655816320197</v>
      </c>
      <c r="Y233" s="101">
        <f t="shared" si="76"/>
        <v>-0.88212248351283296</v>
      </c>
      <c r="Z233" s="101">
        <f t="shared" si="77"/>
        <v>0.98685048785654639</v>
      </c>
      <c r="AQ233" s="101">
        <v>-1.501889530281407</v>
      </c>
      <c r="AR233" s="101">
        <v>1.4284020353444826</v>
      </c>
      <c r="AS233" s="101">
        <v>-6.6955384476511948E-2</v>
      </c>
      <c r="AT233" s="101">
        <v>0.16738210499141815</v>
      </c>
      <c r="AU233" s="101">
        <v>0.22238135444672108</v>
      </c>
      <c r="AV233" s="101">
        <v>0.64016255970528779</v>
      </c>
      <c r="AW233" s="101">
        <v>-0.20800770355472661</v>
      </c>
      <c r="AX233" s="101">
        <v>-0.30382734903966224</v>
      </c>
      <c r="AY233" s="101">
        <v>-0.14214591765440432</v>
      </c>
      <c r="AZ233" s="101">
        <v>6.5027105380288386E-2</v>
      </c>
      <c r="BA233" s="101">
        <v>-0.29270737439801658</v>
      </c>
      <c r="BB233" s="101">
        <v>-0.17864253301828931</v>
      </c>
    </row>
    <row r="234" spans="2:54">
      <c r="B234">
        <v>0.29819000000000001</v>
      </c>
      <c r="C234">
        <v>6.2</v>
      </c>
      <c r="D234">
        <v>0.504</v>
      </c>
      <c r="E234">
        <v>7.6859999999999999</v>
      </c>
      <c r="F234">
        <v>17</v>
      </c>
      <c r="G234">
        <v>3.3751000000000002</v>
      </c>
      <c r="H234">
        <v>8</v>
      </c>
      <c r="I234">
        <v>307</v>
      </c>
      <c r="J234">
        <v>17.399999999999999</v>
      </c>
      <c r="K234">
        <v>377.51</v>
      </c>
      <c r="L234">
        <v>3.92</v>
      </c>
      <c r="M234">
        <v>46.7</v>
      </c>
      <c r="O234" s="101">
        <f t="shared" si="66"/>
        <v>-0.38581608324418504</v>
      </c>
      <c r="P234" s="101">
        <f t="shared" si="67"/>
        <v>-0.72032214391873794</v>
      </c>
      <c r="Q234" s="101">
        <f t="shared" si="68"/>
        <v>-0.43792065469641661</v>
      </c>
      <c r="R234" s="101">
        <f t="shared" si="69"/>
        <v>1.9964676784542388</v>
      </c>
      <c r="S234" s="101">
        <f t="shared" si="70"/>
        <v>-1.8340329807219604</v>
      </c>
      <c r="T234" s="101">
        <f t="shared" si="71"/>
        <v>-0.1996277937975609</v>
      </c>
      <c r="U234" s="101">
        <f t="shared" si="72"/>
        <v>-0.17812038828130847</v>
      </c>
      <c r="V234" s="101">
        <f t="shared" si="73"/>
        <v>-0.60127609725515552</v>
      </c>
      <c r="W234" s="101">
        <f t="shared" si="74"/>
        <v>-0.48803914517823693</v>
      </c>
      <c r="X234" s="101">
        <f t="shared" si="75"/>
        <v>0.22845302404676279</v>
      </c>
      <c r="Y234" s="101">
        <f t="shared" si="76"/>
        <v>-1.2241465149434763</v>
      </c>
      <c r="Z234" s="101">
        <f t="shared" si="77"/>
        <v>2.6302963983876602</v>
      </c>
      <c r="AQ234" s="101">
        <v>-2.929245417120327</v>
      </c>
      <c r="AR234" s="101">
        <v>2.2087231134983325</v>
      </c>
      <c r="AS234" s="101">
        <v>1.0746770906679057</v>
      </c>
      <c r="AT234" s="101">
        <v>0.44883844010972557</v>
      </c>
      <c r="AU234" s="101">
        <v>0.16774620522666861</v>
      </c>
      <c r="AV234" s="101">
        <v>-0.22720348883039676</v>
      </c>
      <c r="AW234" s="101">
        <v>0.75032434343508081</v>
      </c>
      <c r="AX234" s="101">
        <v>-0.18511633294238139</v>
      </c>
      <c r="AY234" s="101">
        <v>0.65789274044706381</v>
      </c>
      <c r="AZ234" s="101">
        <v>-1.0554891793759231</v>
      </c>
      <c r="BA234" s="101">
        <v>0.55386684951866161</v>
      </c>
      <c r="BB234" s="101">
        <v>5.9528651275698674E-2</v>
      </c>
    </row>
    <row r="235" spans="2:54">
      <c r="B235">
        <v>0.44178000000000001</v>
      </c>
      <c r="C235">
        <v>6.2</v>
      </c>
      <c r="D235">
        <v>0.504</v>
      </c>
      <c r="E235">
        <v>6.5519999999999996</v>
      </c>
      <c r="F235">
        <v>21.4</v>
      </c>
      <c r="G235">
        <v>3.3751000000000002</v>
      </c>
      <c r="H235">
        <v>8</v>
      </c>
      <c r="I235">
        <v>307</v>
      </c>
      <c r="J235">
        <v>17.399999999999999</v>
      </c>
      <c r="K235">
        <v>380.34</v>
      </c>
      <c r="L235">
        <v>3.76</v>
      </c>
      <c r="M235">
        <v>31.5</v>
      </c>
      <c r="O235" s="101">
        <f t="shared" si="66"/>
        <v>-0.36910605077374342</v>
      </c>
      <c r="P235" s="101">
        <f t="shared" si="67"/>
        <v>-0.72032214391873794</v>
      </c>
      <c r="Q235" s="101">
        <f t="shared" si="68"/>
        <v>-0.43792065469641661</v>
      </c>
      <c r="R235" s="101">
        <f t="shared" si="69"/>
        <v>0.38090473975136002</v>
      </c>
      <c r="S235" s="101">
        <f t="shared" si="70"/>
        <v>-1.6775664644583672</v>
      </c>
      <c r="T235" s="101">
        <f t="shared" si="71"/>
        <v>-0.1996277937975609</v>
      </c>
      <c r="U235" s="101">
        <f t="shared" si="72"/>
        <v>-0.17812038828130847</v>
      </c>
      <c r="V235" s="101">
        <f t="shared" si="73"/>
        <v>-0.60127609725515552</v>
      </c>
      <c r="W235" s="101">
        <f t="shared" si="74"/>
        <v>-0.48803914517823693</v>
      </c>
      <c r="X235" s="101">
        <f t="shared" si="75"/>
        <v>0.25948215819970494</v>
      </c>
      <c r="Y235" s="101">
        <f t="shared" si="76"/>
        <v>-1.2465743202831907</v>
      </c>
      <c r="Z235" s="101">
        <f t="shared" si="77"/>
        <v>0.97596674010468454</v>
      </c>
      <c r="AQ235" s="101">
        <v>-2.0983731125397931</v>
      </c>
      <c r="AR235" s="101">
        <v>0.53591474050157872</v>
      </c>
      <c r="AS235" s="101">
        <v>0.53348779585705697</v>
      </c>
      <c r="AT235" s="101">
        <v>0.10183375840692227</v>
      </c>
      <c r="AU235" s="101">
        <v>-6.963776269581462E-2</v>
      </c>
      <c r="AV235" s="101">
        <v>-0.5470173180346446</v>
      </c>
      <c r="AW235" s="101">
        <v>0.97343517397060442</v>
      </c>
      <c r="AX235" s="101">
        <v>-0.25290021863323703</v>
      </c>
      <c r="AY235" s="101">
        <v>-0.17824553501596391</v>
      </c>
      <c r="AZ235" s="101">
        <v>-0.82497381435781669</v>
      </c>
      <c r="BA235" s="101">
        <v>-0.12633187284595454</v>
      </c>
      <c r="BB235" s="101">
        <v>-0.14832300958654504</v>
      </c>
    </row>
    <row r="236" spans="2:54">
      <c r="B236">
        <v>0.53700000000000003</v>
      </c>
      <c r="C236">
        <v>6.2</v>
      </c>
      <c r="D236">
        <v>0.504</v>
      </c>
      <c r="E236">
        <v>5.9809999999999999</v>
      </c>
      <c r="F236">
        <v>68.099999999999994</v>
      </c>
      <c r="G236">
        <v>3.6715</v>
      </c>
      <c r="H236">
        <v>8</v>
      </c>
      <c r="I236">
        <v>307</v>
      </c>
      <c r="J236">
        <v>17.399999999999999</v>
      </c>
      <c r="K236">
        <v>378.35</v>
      </c>
      <c r="L236">
        <v>11.65</v>
      </c>
      <c r="M236">
        <v>24.3</v>
      </c>
      <c r="O236" s="101">
        <f t="shared" si="66"/>
        <v>-0.35802499156463796</v>
      </c>
      <c r="P236" s="101">
        <f t="shared" si="67"/>
        <v>-0.72032214391873794</v>
      </c>
      <c r="Q236" s="101">
        <f t="shared" si="68"/>
        <v>-0.43792065469641661</v>
      </c>
      <c r="R236" s="101">
        <f t="shared" si="69"/>
        <v>-0.432575364304498</v>
      </c>
      <c r="S236" s="101">
        <f t="shared" si="70"/>
        <v>-1.6887757751592063E-2</v>
      </c>
      <c r="T236" s="101">
        <f t="shared" si="71"/>
        <v>-5.8728381072842159E-2</v>
      </c>
      <c r="U236" s="101">
        <f t="shared" si="72"/>
        <v>-0.17812038828130847</v>
      </c>
      <c r="V236" s="101">
        <f t="shared" si="73"/>
        <v>-0.60127609725515552</v>
      </c>
      <c r="W236" s="101">
        <f t="shared" si="74"/>
        <v>-0.48803914517823693</v>
      </c>
      <c r="X236" s="101">
        <f t="shared" si="75"/>
        <v>0.23766308506742448</v>
      </c>
      <c r="Y236" s="101">
        <f t="shared" si="76"/>
        <v>-0.14060316946852822</v>
      </c>
      <c r="Z236" s="101">
        <f t="shared" si="77"/>
        <v>0.19233690197064374</v>
      </c>
      <c r="AQ236" s="101">
        <v>-0.89298832890461033</v>
      </c>
      <c r="AR236" s="101">
        <v>-0.25239963735234527</v>
      </c>
      <c r="AS236" s="101">
        <v>-0.4648744047980834</v>
      </c>
      <c r="AT236" s="101">
        <v>-0.24414724097805135</v>
      </c>
      <c r="AU236" s="101">
        <v>-0.2008345709611167</v>
      </c>
      <c r="AV236" s="101">
        <v>8.2672089943935656E-2</v>
      </c>
      <c r="AW236" s="101">
        <v>5.4251056437555539E-2</v>
      </c>
      <c r="AX236" s="101">
        <v>-0.68600980167046122</v>
      </c>
      <c r="AY236" s="101">
        <v>-0.10346429816994457</v>
      </c>
      <c r="AZ236" s="101">
        <v>-3.9470971106964084E-2</v>
      </c>
      <c r="BA236" s="101">
        <v>-0.24106509853764185</v>
      </c>
      <c r="BB236" s="101">
        <v>-0.2154476914930942</v>
      </c>
    </row>
    <row r="237" spans="2:54">
      <c r="B237">
        <v>0.46295999999999998</v>
      </c>
      <c r="C237">
        <v>6.2</v>
      </c>
      <c r="D237">
        <v>0.504</v>
      </c>
      <c r="E237">
        <v>7.4119999999999999</v>
      </c>
      <c r="F237">
        <v>76.900000000000006</v>
      </c>
      <c r="G237">
        <v>3.6715</v>
      </c>
      <c r="H237">
        <v>8</v>
      </c>
      <c r="I237">
        <v>307</v>
      </c>
      <c r="J237">
        <v>17.399999999999999</v>
      </c>
      <c r="K237">
        <v>376.14</v>
      </c>
      <c r="L237">
        <v>5.25</v>
      </c>
      <c r="M237">
        <v>31.7</v>
      </c>
      <c r="O237" s="101">
        <f t="shared" si="66"/>
        <v>-0.36664126570706779</v>
      </c>
      <c r="P237" s="101">
        <f t="shared" si="67"/>
        <v>-0.72032214391873794</v>
      </c>
      <c r="Q237" s="101">
        <f t="shared" si="68"/>
        <v>-0.43792065469641661</v>
      </c>
      <c r="R237" s="101">
        <f t="shared" si="69"/>
        <v>1.6061112012015151</v>
      </c>
      <c r="S237" s="101">
        <f t="shared" si="70"/>
        <v>0.29604527477559511</v>
      </c>
      <c r="T237" s="101">
        <f t="shared" si="71"/>
        <v>-5.8728381072842159E-2</v>
      </c>
      <c r="U237" s="101">
        <f t="shared" si="72"/>
        <v>-0.17812038828130847</v>
      </c>
      <c r="V237" s="101">
        <f t="shared" si="73"/>
        <v>-0.60127609725515552</v>
      </c>
      <c r="W237" s="101">
        <f t="shared" si="74"/>
        <v>-0.48803914517823693</v>
      </c>
      <c r="X237" s="101">
        <f t="shared" si="75"/>
        <v>0.21343185309639842</v>
      </c>
      <c r="Y237" s="101">
        <f t="shared" si="76"/>
        <v>-1.0377153830571011</v>
      </c>
      <c r="Z237" s="101">
        <f t="shared" si="77"/>
        <v>0.9977342356084079</v>
      </c>
      <c r="AQ237" s="101">
        <v>-1.7329363579252353</v>
      </c>
      <c r="AR237" s="101">
        <v>1.5691058471628407</v>
      </c>
      <c r="AS237" s="101">
        <v>0.14319661639677958</v>
      </c>
      <c r="AT237" s="101">
        <v>0.23429299570037582</v>
      </c>
      <c r="AU237" s="101">
        <v>0.24740799544225345</v>
      </c>
      <c r="AV237" s="101">
        <v>0.63310639897303078</v>
      </c>
      <c r="AW237" s="101">
        <v>-0.34879338214195527</v>
      </c>
      <c r="AX237" s="101">
        <v>-5.4030771188334603E-2</v>
      </c>
      <c r="AY237" s="101">
        <v>-0.19660468743733922</v>
      </c>
      <c r="AZ237" s="101">
        <v>6.6669354388251417E-2</v>
      </c>
      <c r="BA237" s="101">
        <v>-0.24110532546859831</v>
      </c>
      <c r="BB237" s="101">
        <v>-0.19149597794350501</v>
      </c>
    </row>
    <row r="238" spans="2:54">
      <c r="B238">
        <v>0.57528999999999997</v>
      </c>
      <c r="C238">
        <v>6.2</v>
      </c>
      <c r="D238">
        <v>0.50700000000000001</v>
      </c>
      <c r="E238">
        <v>8.3369999999999997</v>
      </c>
      <c r="F238">
        <v>73.3</v>
      </c>
      <c r="G238">
        <v>3.8384</v>
      </c>
      <c r="H238">
        <v>8</v>
      </c>
      <c r="I238">
        <v>307</v>
      </c>
      <c r="J238">
        <v>17.399999999999999</v>
      </c>
      <c r="K238">
        <v>385.91</v>
      </c>
      <c r="L238">
        <v>2.4700000000000002</v>
      </c>
      <c r="M238">
        <v>41.7</v>
      </c>
      <c r="O238" s="101">
        <f t="shared" si="66"/>
        <v>-0.35356906048800862</v>
      </c>
      <c r="P238" s="101">
        <f t="shared" si="67"/>
        <v>-0.72032214391873794</v>
      </c>
      <c r="Q238" s="101">
        <f t="shared" si="68"/>
        <v>-0.41200566450749482</v>
      </c>
      <c r="R238" s="101">
        <f t="shared" si="69"/>
        <v>2.9239204765984832</v>
      </c>
      <c r="S238" s="101">
        <f t="shared" si="70"/>
        <v>0.16802721601447296</v>
      </c>
      <c r="T238" s="101">
        <f t="shared" si="71"/>
        <v>2.0610728184093013E-2</v>
      </c>
      <c r="U238" s="101">
        <f t="shared" si="72"/>
        <v>-0.17812038828130847</v>
      </c>
      <c r="V238" s="101">
        <f t="shared" si="73"/>
        <v>-0.60127609725515552</v>
      </c>
      <c r="W238" s="101">
        <f t="shared" si="74"/>
        <v>-0.48803914517823693</v>
      </c>
      <c r="X238" s="101">
        <f t="shared" si="75"/>
        <v>0.32055363425337646</v>
      </c>
      <c r="Y238" s="101">
        <f t="shared" si="76"/>
        <v>-1.4273985008346373</v>
      </c>
      <c r="Z238" s="101">
        <f t="shared" si="77"/>
        <v>2.0861090107945763</v>
      </c>
      <c r="AQ238" s="101">
        <v>-2.5059340687135112</v>
      </c>
      <c r="AR238" s="101">
        <v>2.876613041868803</v>
      </c>
      <c r="AS238" s="101">
        <v>0.6330377900030657</v>
      </c>
      <c r="AT238" s="101">
        <v>0.6391303627640702</v>
      </c>
      <c r="AU238" s="101">
        <v>0.39526876357480684</v>
      </c>
      <c r="AV238" s="101">
        <v>0.83084239010213989</v>
      </c>
      <c r="AW238" s="101">
        <v>-0.47830233883349815</v>
      </c>
      <c r="AX238" s="101">
        <v>0.18983963308026941</v>
      </c>
      <c r="AY238" s="101">
        <v>0.11094418705286802</v>
      </c>
      <c r="AZ238" s="101">
        <v>-7.1613936338921769E-3</v>
      </c>
      <c r="BA238" s="101">
        <v>0.14373486352734177</v>
      </c>
      <c r="BB238" s="101">
        <v>-8.3100382874584433E-2</v>
      </c>
    </row>
    <row r="239" spans="2:54">
      <c r="B239">
        <v>0.33146999999999999</v>
      </c>
      <c r="C239">
        <v>6.2</v>
      </c>
      <c r="D239">
        <v>0.50700000000000001</v>
      </c>
      <c r="E239">
        <v>8.2469999999999999</v>
      </c>
      <c r="F239">
        <v>70.400000000000006</v>
      </c>
      <c r="G239">
        <v>3.6518999999999999</v>
      </c>
      <c r="H239">
        <v>8</v>
      </c>
      <c r="I239">
        <v>307</v>
      </c>
      <c r="J239">
        <v>17.399999999999999</v>
      </c>
      <c r="K239">
        <v>378.95</v>
      </c>
      <c r="L239">
        <v>3.95</v>
      </c>
      <c r="M239">
        <v>48.3</v>
      </c>
      <c r="O239" s="101">
        <f t="shared" si="66"/>
        <v>-0.38194318206293082</v>
      </c>
      <c r="P239" s="101">
        <f t="shared" si="67"/>
        <v>-0.72032214391873794</v>
      </c>
      <c r="Q239" s="101">
        <f t="shared" si="68"/>
        <v>-0.41200566450749482</v>
      </c>
      <c r="R239" s="101">
        <f t="shared" si="69"/>
        <v>2.7957011957490487</v>
      </c>
      <c r="S239" s="101">
        <f t="shared" si="70"/>
        <v>6.4901557568013982E-2</v>
      </c>
      <c r="T239" s="101">
        <f t="shared" si="71"/>
        <v>-6.8045616192290534E-2</v>
      </c>
      <c r="U239" s="101">
        <f t="shared" si="72"/>
        <v>-0.17812038828130847</v>
      </c>
      <c r="V239" s="101">
        <f t="shared" si="73"/>
        <v>-0.60127609725515552</v>
      </c>
      <c r="W239" s="101">
        <f t="shared" si="74"/>
        <v>-0.48803914517823693</v>
      </c>
      <c r="X239" s="101">
        <f t="shared" si="75"/>
        <v>0.24424170008218218</v>
      </c>
      <c r="Y239" s="101">
        <f t="shared" si="76"/>
        <v>-1.2199413014422797</v>
      </c>
      <c r="Z239" s="101">
        <f t="shared" si="77"/>
        <v>2.8044363624174466</v>
      </c>
      <c r="AQ239" s="101">
        <v>-2.6067150966171209</v>
      </c>
      <c r="AR239" s="101">
        <v>3.1197720828192379</v>
      </c>
      <c r="AS239" s="101">
        <v>0.62416012987386071</v>
      </c>
      <c r="AT239" s="101">
        <v>0.64251991423734323</v>
      </c>
      <c r="AU239" s="101">
        <v>0.39671682320104285</v>
      </c>
      <c r="AV239" s="101">
        <v>0.75757146531823971</v>
      </c>
      <c r="AW239" s="101">
        <v>-0.25654211939705185</v>
      </c>
      <c r="AX239" s="101">
        <v>-0.21461791833121802</v>
      </c>
      <c r="AY239" s="101">
        <v>0.52900785373001225</v>
      </c>
      <c r="AZ239" s="101">
        <v>-2.5353915880044653E-2</v>
      </c>
      <c r="BA239" s="101">
        <v>0.49880395217016704</v>
      </c>
      <c r="BB239" s="101">
        <v>2.601600350610217E-2</v>
      </c>
    </row>
    <row r="240" spans="2:54">
      <c r="B240">
        <v>0.44790999999999997</v>
      </c>
      <c r="C240">
        <v>6.2</v>
      </c>
      <c r="D240">
        <v>0.50700000000000001</v>
      </c>
      <c r="E240">
        <v>6.726</v>
      </c>
      <c r="F240">
        <v>66.5</v>
      </c>
      <c r="G240">
        <v>3.6518999999999999</v>
      </c>
      <c r="H240">
        <v>8</v>
      </c>
      <c r="I240">
        <v>307</v>
      </c>
      <c r="J240">
        <v>17.399999999999999</v>
      </c>
      <c r="K240">
        <v>360.2</v>
      </c>
      <c r="L240">
        <v>8.0500000000000007</v>
      </c>
      <c r="M240">
        <v>29</v>
      </c>
      <c r="O240" s="101">
        <f t="shared" si="66"/>
        <v>-0.36839268285784538</v>
      </c>
      <c r="P240" s="101">
        <f t="shared" si="67"/>
        <v>-0.72032214391873794</v>
      </c>
      <c r="Q240" s="101">
        <f t="shared" si="68"/>
        <v>-0.41200566450749482</v>
      </c>
      <c r="R240" s="101">
        <f t="shared" si="69"/>
        <v>0.62879534939360116</v>
      </c>
      <c r="S240" s="101">
        <f t="shared" si="70"/>
        <v>-7.3784672756534914E-2</v>
      </c>
      <c r="T240" s="101">
        <f t="shared" si="71"/>
        <v>-6.8045616192290534E-2</v>
      </c>
      <c r="U240" s="101">
        <f t="shared" si="72"/>
        <v>-0.17812038828130847</v>
      </c>
      <c r="V240" s="101">
        <f t="shared" si="73"/>
        <v>-0.60127609725515552</v>
      </c>
      <c r="W240" s="101">
        <f t="shared" si="74"/>
        <v>-0.48803914517823693</v>
      </c>
      <c r="X240" s="101">
        <f t="shared" si="75"/>
        <v>3.8659980870991768E-2</v>
      </c>
      <c r="Y240" s="101">
        <f t="shared" si="76"/>
        <v>-0.6452287896121004</v>
      </c>
      <c r="Z240" s="101">
        <f t="shared" si="77"/>
        <v>0.70387304630814262</v>
      </c>
      <c r="AQ240" s="101">
        <v>-1.3849525792369517</v>
      </c>
      <c r="AR240" s="101">
        <v>0.72612514801461048</v>
      </c>
      <c r="AS240" s="101">
        <v>-4.8949591680048019E-3</v>
      </c>
      <c r="AT240" s="101">
        <v>-0.11371303722822126</v>
      </c>
      <c r="AU240" s="101">
        <v>0.12975628637548497</v>
      </c>
      <c r="AV240" s="101">
        <v>0.27551130846163341</v>
      </c>
      <c r="AW240" s="101">
        <v>-1.2611128204822408E-2</v>
      </c>
      <c r="AX240" s="101">
        <v>-0.37084810631201248</v>
      </c>
      <c r="AY240" s="101">
        <v>-0.121122999409701</v>
      </c>
      <c r="AZ240" s="101">
        <v>-8.6535456691396603E-2</v>
      </c>
      <c r="BA240" s="101">
        <v>-0.17384987469294322</v>
      </c>
      <c r="BB240" s="101">
        <v>-0.18264283910595031</v>
      </c>
    </row>
    <row r="241" spans="2:54">
      <c r="B241">
        <v>0.33045000000000002</v>
      </c>
      <c r="C241">
        <v>6.2</v>
      </c>
      <c r="D241">
        <v>0.50700000000000001</v>
      </c>
      <c r="E241">
        <v>6.0860000000000003</v>
      </c>
      <c r="F241">
        <v>61.5</v>
      </c>
      <c r="G241">
        <v>3.6518999999999999</v>
      </c>
      <c r="H241">
        <v>8</v>
      </c>
      <c r="I241">
        <v>307</v>
      </c>
      <c r="J241">
        <v>17.399999999999999</v>
      </c>
      <c r="K241">
        <v>376.75</v>
      </c>
      <c r="L241">
        <v>10.88</v>
      </c>
      <c r="M241">
        <v>24</v>
      </c>
      <c r="O241" s="101">
        <f t="shared" si="66"/>
        <v>-0.38206188276019282</v>
      </c>
      <c r="P241" s="101">
        <f t="shared" si="67"/>
        <v>-0.72032214391873794</v>
      </c>
      <c r="Q241" s="101">
        <f t="shared" si="68"/>
        <v>-0.41200566450749482</v>
      </c>
      <c r="R241" s="101">
        <f t="shared" si="69"/>
        <v>-0.28298620331349017</v>
      </c>
      <c r="S241" s="101">
        <f t="shared" si="70"/>
        <v>-0.25158753214698193</v>
      </c>
      <c r="T241" s="101">
        <f t="shared" si="71"/>
        <v>-6.8045616192290534E-2</v>
      </c>
      <c r="U241" s="101">
        <f t="shared" si="72"/>
        <v>-0.17812038828130847</v>
      </c>
      <c r="V241" s="101">
        <f t="shared" si="73"/>
        <v>-0.60127609725515552</v>
      </c>
      <c r="W241" s="101">
        <f t="shared" si="74"/>
        <v>-0.48803914517823693</v>
      </c>
      <c r="X241" s="101">
        <f t="shared" si="75"/>
        <v>0.22012011169473597</v>
      </c>
      <c r="Y241" s="101">
        <f t="shared" si="76"/>
        <v>-0.24853698266590332</v>
      </c>
      <c r="Z241" s="101">
        <f t="shared" si="77"/>
        <v>0.15968565871505863</v>
      </c>
      <c r="AQ241" s="101">
        <v>-1.0113301676551014</v>
      </c>
      <c r="AR241" s="101">
        <v>-0.20080494402985433</v>
      </c>
      <c r="AS241" s="101">
        <v>-0.33666675195923673</v>
      </c>
      <c r="AT241" s="101">
        <v>-0.23557698491851753</v>
      </c>
      <c r="AU241" s="101">
        <v>-0.15469415055027666</v>
      </c>
      <c r="AV241" s="101">
        <v>7.7036715712334395E-4</v>
      </c>
      <c r="AW241" s="101">
        <v>0.10645288342589132</v>
      </c>
      <c r="AX241" s="101">
        <v>-0.55058258341683897</v>
      </c>
      <c r="AY241" s="101">
        <v>-0.15009626153658412</v>
      </c>
      <c r="AZ241" s="101">
        <v>-0.20113674345834631</v>
      </c>
      <c r="BA241" s="101">
        <v>-0.26146968824548134</v>
      </c>
      <c r="BB241" s="101">
        <v>-0.21920026618151955</v>
      </c>
    </row>
    <row r="242" spans="2:54">
      <c r="B242">
        <v>0.52058000000000004</v>
      </c>
      <c r="C242">
        <v>6.2</v>
      </c>
      <c r="D242">
        <v>0.50700000000000001</v>
      </c>
      <c r="E242">
        <v>6.6310000000000002</v>
      </c>
      <c r="F242">
        <v>76.5</v>
      </c>
      <c r="G242">
        <v>4.1479999999999997</v>
      </c>
      <c r="H242">
        <v>8</v>
      </c>
      <c r="I242">
        <v>307</v>
      </c>
      <c r="J242">
        <v>17.399999999999999</v>
      </c>
      <c r="K242">
        <v>388.45</v>
      </c>
      <c r="L242">
        <v>9.5399999999999991</v>
      </c>
      <c r="M242">
        <v>25.1</v>
      </c>
      <c r="O242" s="101">
        <f t="shared" si="66"/>
        <v>-0.3599358400440909</v>
      </c>
      <c r="P242" s="101">
        <f t="shared" si="67"/>
        <v>-0.72032214391873794</v>
      </c>
      <c r="Q242" s="101">
        <f t="shared" si="68"/>
        <v>-0.41200566450749482</v>
      </c>
      <c r="R242" s="101">
        <f t="shared" si="69"/>
        <v>0.49345277516364255</v>
      </c>
      <c r="S242" s="101">
        <f t="shared" si="70"/>
        <v>0.28182104602435915</v>
      </c>
      <c r="T242" s="101">
        <f t="shared" si="71"/>
        <v>0.16778501354027692</v>
      </c>
      <c r="U242" s="101">
        <f t="shared" si="72"/>
        <v>-0.17812038828130847</v>
      </c>
      <c r="V242" s="101">
        <f t="shared" si="73"/>
        <v>-0.60127609725515552</v>
      </c>
      <c r="W242" s="101">
        <f t="shared" si="74"/>
        <v>-0.48803914517823693</v>
      </c>
      <c r="X242" s="101">
        <f t="shared" si="75"/>
        <v>0.34840310448251866</v>
      </c>
      <c r="Y242" s="101">
        <f t="shared" si="76"/>
        <v>-0.436369852386011</v>
      </c>
      <c r="Z242" s="101">
        <f t="shared" si="77"/>
        <v>0.27940688398553726</v>
      </c>
      <c r="AQ242" s="101">
        <v>-1.1980216644366481</v>
      </c>
      <c r="AR242" s="101">
        <v>0.3652459514415457</v>
      </c>
      <c r="AS242" s="101">
        <v>-0.25818848325039451</v>
      </c>
      <c r="AT242" s="101">
        <v>-2.1369278509251459E-2</v>
      </c>
      <c r="AU242" s="101">
        <v>-7.8026697845808929E-2</v>
      </c>
      <c r="AV242" s="101">
        <v>0.36972375899661664</v>
      </c>
      <c r="AW242" s="101">
        <v>-0.4080393248466011</v>
      </c>
      <c r="AX242" s="101">
        <v>-0.25292653485483085</v>
      </c>
      <c r="AY242" s="101">
        <v>-0.23042870505635255</v>
      </c>
      <c r="AZ242" s="101">
        <v>0.11439410169806444</v>
      </c>
      <c r="BA242" s="101">
        <v>-0.23972860822667297</v>
      </c>
      <c r="BB242" s="101">
        <v>-0.24055606817134825</v>
      </c>
    </row>
    <row r="243" spans="2:54">
      <c r="B243">
        <v>0.51183000000000001</v>
      </c>
      <c r="C243">
        <v>6.2</v>
      </c>
      <c r="D243">
        <v>0.50700000000000001</v>
      </c>
      <c r="E243">
        <v>7.3579999999999997</v>
      </c>
      <c r="F243">
        <v>71.599999999999994</v>
      </c>
      <c r="G243">
        <v>4.1479999999999997</v>
      </c>
      <c r="H243">
        <v>8</v>
      </c>
      <c r="I243">
        <v>307</v>
      </c>
      <c r="J243">
        <v>17.399999999999999</v>
      </c>
      <c r="K243">
        <v>390.07</v>
      </c>
      <c r="L243">
        <v>4.7300000000000004</v>
      </c>
      <c r="M243">
        <v>31.5</v>
      </c>
      <c r="O243" s="101">
        <f t="shared" si="66"/>
        <v>-0.36095410582942666</v>
      </c>
      <c r="P243" s="101">
        <f t="shared" si="67"/>
        <v>-0.72032214391873794</v>
      </c>
      <c r="Q243" s="101">
        <f t="shared" si="68"/>
        <v>-0.41200566450749482</v>
      </c>
      <c r="R243" s="101">
        <f t="shared" si="69"/>
        <v>1.5291796326918539</v>
      </c>
      <c r="S243" s="101">
        <f t="shared" si="70"/>
        <v>0.10757424382172086</v>
      </c>
      <c r="T243" s="101">
        <f t="shared" si="71"/>
        <v>0.16778501354027692</v>
      </c>
      <c r="U243" s="101">
        <f t="shared" si="72"/>
        <v>-0.17812038828130847</v>
      </c>
      <c r="V243" s="101">
        <f t="shared" si="73"/>
        <v>-0.60127609725515552</v>
      </c>
      <c r="W243" s="101">
        <f t="shared" si="74"/>
        <v>-0.48803914517823693</v>
      </c>
      <c r="X243" s="101">
        <f t="shared" si="75"/>
        <v>0.36616536502236557</v>
      </c>
      <c r="Y243" s="101">
        <f t="shared" si="76"/>
        <v>-1.1106057504111726</v>
      </c>
      <c r="Z243" s="101">
        <f t="shared" si="77"/>
        <v>0.97596674010468454</v>
      </c>
      <c r="AQ243" s="101">
        <v>-1.8797723363962715</v>
      </c>
      <c r="AR243" s="101">
        <v>1.410214172199844</v>
      </c>
      <c r="AS243" s="101">
        <v>0.21916133263665233</v>
      </c>
      <c r="AT243" s="101">
        <v>0.30796557823542003</v>
      </c>
      <c r="AU243" s="101">
        <v>0.12749059860620163</v>
      </c>
      <c r="AV243" s="101">
        <v>0.4663648307350346</v>
      </c>
      <c r="AW243" s="101">
        <v>-0.34395053397833103</v>
      </c>
      <c r="AX243" s="101">
        <v>3.0069353451257608E-2</v>
      </c>
      <c r="AY243" s="101">
        <v>-0.2561936701119028</v>
      </c>
      <c r="AZ243" s="101">
        <v>8.459411986654522E-2</v>
      </c>
      <c r="BA243" s="101">
        <v>-0.13454023132759291</v>
      </c>
      <c r="BB243" s="101">
        <v>-0.19879411052090562</v>
      </c>
    </row>
    <row r="244" spans="2:54">
      <c r="B244">
        <v>8.2439999999999999E-2</v>
      </c>
      <c r="C244">
        <v>4.93</v>
      </c>
      <c r="D244">
        <v>0.42799999999999999</v>
      </c>
      <c r="E244">
        <v>6.4809999999999999</v>
      </c>
      <c r="F244">
        <v>18.5</v>
      </c>
      <c r="G244">
        <v>6.1898999999999997</v>
      </c>
      <c r="H244">
        <v>6</v>
      </c>
      <c r="I244">
        <v>300</v>
      </c>
      <c r="J244">
        <v>16.600000000000001</v>
      </c>
      <c r="K244">
        <v>379.41</v>
      </c>
      <c r="L244">
        <v>6.36</v>
      </c>
      <c r="M244">
        <v>23.7</v>
      </c>
      <c r="O244" s="101">
        <f t="shared" si="66"/>
        <v>-0.4109236081797501</v>
      </c>
      <c r="P244" s="101">
        <f t="shared" si="67"/>
        <v>-0.90562701304458515</v>
      </c>
      <c r="Q244" s="101">
        <f t="shared" si="68"/>
        <v>-1.0944337394824348</v>
      </c>
      <c r="R244" s="101">
        <f t="shared" si="69"/>
        <v>0.27975397374791738</v>
      </c>
      <c r="S244" s="101">
        <f t="shared" si="70"/>
        <v>-1.7806921229048265</v>
      </c>
      <c r="T244" s="101">
        <f t="shared" si="71"/>
        <v>1.1384412579485206</v>
      </c>
      <c r="U244" s="101">
        <f t="shared" si="72"/>
        <v>-0.40804109356279333</v>
      </c>
      <c r="V244" s="101">
        <f t="shared" si="73"/>
        <v>-0.64285107746984649</v>
      </c>
      <c r="W244" s="101">
        <f t="shared" si="74"/>
        <v>-0.85792913950166927</v>
      </c>
      <c r="X244" s="101">
        <f t="shared" si="75"/>
        <v>0.24928530492683046</v>
      </c>
      <c r="Y244" s="101">
        <f t="shared" si="76"/>
        <v>-0.88212248351283296</v>
      </c>
      <c r="Z244" s="101">
        <f t="shared" si="77"/>
        <v>0.1270344154594735</v>
      </c>
      <c r="AQ244" s="101">
        <v>-2.6085989220740062</v>
      </c>
      <c r="AR244" s="101">
        <v>-0.60852721256209752</v>
      </c>
      <c r="AS244" s="101">
        <v>0.81050036188376784</v>
      </c>
      <c r="AT244" s="101">
        <v>-0.48477557728690657</v>
      </c>
      <c r="AU244" s="101">
        <v>-0.30178610164971847</v>
      </c>
      <c r="AV244" s="101">
        <v>-0.67041792396464428</v>
      </c>
      <c r="AW244" s="101">
        <v>0.11431117340326646</v>
      </c>
      <c r="AX244" s="101">
        <v>0.23052820125200252</v>
      </c>
      <c r="AY244" s="101">
        <v>-5.0599407357818496E-2</v>
      </c>
      <c r="AZ244" s="101">
        <v>-0.32857795808603213</v>
      </c>
      <c r="BA244" s="101">
        <v>-0.29198047394206861</v>
      </c>
      <c r="BB244" s="101">
        <v>-0.18618202854876992</v>
      </c>
    </row>
    <row r="245" spans="2:54">
      <c r="B245">
        <v>9.2520000000000005E-2</v>
      </c>
      <c r="C245">
        <v>4.93</v>
      </c>
      <c r="D245">
        <v>0.42799999999999999</v>
      </c>
      <c r="E245">
        <v>6.6059999999999999</v>
      </c>
      <c r="F245">
        <v>42.2</v>
      </c>
      <c r="G245">
        <v>6.1898999999999997</v>
      </c>
      <c r="H245">
        <v>6</v>
      </c>
      <c r="I245">
        <v>300</v>
      </c>
      <c r="J245">
        <v>16.600000000000001</v>
      </c>
      <c r="K245">
        <v>383.78</v>
      </c>
      <c r="L245">
        <v>7.37</v>
      </c>
      <c r="M245">
        <v>23.3</v>
      </c>
      <c r="O245" s="101">
        <f t="shared" si="66"/>
        <v>-0.40975056599504328</v>
      </c>
      <c r="P245" s="101">
        <f t="shared" si="67"/>
        <v>-0.90562701304458515</v>
      </c>
      <c r="Q245" s="101">
        <f t="shared" si="68"/>
        <v>-1.0944337394824348</v>
      </c>
      <c r="R245" s="101">
        <f t="shared" si="69"/>
        <v>0.45783630826102129</v>
      </c>
      <c r="S245" s="101">
        <f t="shared" si="70"/>
        <v>-0.93790656939410733</v>
      </c>
      <c r="T245" s="101">
        <f t="shared" si="71"/>
        <v>1.1384412579485206</v>
      </c>
      <c r="U245" s="101">
        <f t="shared" si="72"/>
        <v>-0.40804109356279333</v>
      </c>
      <c r="V245" s="101">
        <f t="shared" si="73"/>
        <v>-0.64285107746984649</v>
      </c>
      <c r="W245" s="101">
        <f t="shared" si="74"/>
        <v>-0.85792913950166927</v>
      </c>
      <c r="X245" s="101">
        <f t="shared" si="75"/>
        <v>0.29719955095098466</v>
      </c>
      <c r="Y245" s="101">
        <f t="shared" si="76"/>
        <v>-0.74054696230588635</v>
      </c>
      <c r="Z245" s="101">
        <f t="shared" si="77"/>
        <v>8.3499424452026946E-2</v>
      </c>
      <c r="AQ245" s="101">
        <v>-2.3453920830233632</v>
      </c>
      <c r="AR245" s="101">
        <v>-0.38287704372065623</v>
      </c>
      <c r="AS245" s="101">
        <v>0.50462183111801362</v>
      </c>
      <c r="AT245" s="101">
        <v>-0.42511930903945988</v>
      </c>
      <c r="AU245" s="101">
        <v>-0.26081091595232231</v>
      </c>
      <c r="AV245" s="101">
        <v>-0.2488463836369447</v>
      </c>
      <c r="AW245" s="101">
        <v>-0.32575173204304192</v>
      </c>
      <c r="AX245" s="101">
        <v>0.16426589716789761</v>
      </c>
      <c r="AY245" s="101">
        <v>-7.6756656821027947E-2</v>
      </c>
      <c r="AZ245" s="101">
        <v>7.8416161251158217E-2</v>
      </c>
      <c r="BA245" s="101">
        <v>-0.36081128524820294</v>
      </c>
      <c r="BB245" s="101">
        <v>-0.20635176736862143</v>
      </c>
    </row>
    <row r="246" spans="2:54">
      <c r="B246">
        <v>0.11329</v>
      </c>
      <c r="C246">
        <v>4.93</v>
      </c>
      <c r="D246">
        <v>0.42799999999999999</v>
      </c>
      <c r="E246">
        <v>6.8970000000000002</v>
      </c>
      <c r="F246">
        <v>54.3</v>
      </c>
      <c r="G246">
        <v>6.3361000000000001</v>
      </c>
      <c r="H246">
        <v>6</v>
      </c>
      <c r="I246">
        <v>300</v>
      </c>
      <c r="J246">
        <v>16.600000000000001</v>
      </c>
      <c r="K246">
        <v>391.25</v>
      </c>
      <c r="L246">
        <v>11.38</v>
      </c>
      <c r="M246">
        <v>22</v>
      </c>
      <c r="O246" s="101">
        <f t="shared" si="66"/>
        <v>-0.40733349395373764</v>
      </c>
      <c r="P246" s="101">
        <f t="shared" si="67"/>
        <v>-0.90562701304458515</v>
      </c>
      <c r="Q246" s="101">
        <f t="shared" si="68"/>
        <v>-1.0944337394824348</v>
      </c>
      <c r="R246" s="101">
        <f t="shared" si="69"/>
        <v>0.87241198300752754</v>
      </c>
      <c r="S246" s="101">
        <f t="shared" si="70"/>
        <v>-0.5076236496692258</v>
      </c>
      <c r="T246" s="101">
        <f t="shared" si="71"/>
        <v>1.2079402260333856</v>
      </c>
      <c r="U246" s="101">
        <f t="shared" si="72"/>
        <v>-0.40804109356279333</v>
      </c>
      <c r="V246" s="101">
        <f t="shared" si="73"/>
        <v>-0.64285107746984649</v>
      </c>
      <c r="W246" s="101">
        <f t="shared" si="74"/>
        <v>-0.85792913950166927</v>
      </c>
      <c r="X246" s="101">
        <f t="shared" si="75"/>
        <v>0.37910330788472324</v>
      </c>
      <c r="Y246" s="101">
        <f t="shared" si="76"/>
        <v>-0.17845009097929607</v>
      </c>
      <c r="Z246" s="101">
        <f t="shared" si="77"/>
        <v>-5.7989296322174963E-2</v>
      </c>
      <c r="AQ246" s="101">
        <v>-2.119555748736996</v>
      </c>
      <c r="AR246" s="101">
        <v>-0.29639330048437901</v>
      </c>
      <c r="AS246" s="101">
        <v>0.33090125790035418</v>
      </c>
      <c r="AT246" s="101">
        <v>-0.4482617895632568</v>
      </c>
      <c r="AU246" s="101">
        <v>-0.28005579031529482</v>
      </c>
      <c r="AV246" s="101">
        <v>0.11526895496059983</v>
      </c>
      <c r="AW246" s="101">
        <v>-0.9453061668361048</v>
      </c>
      <c r="AX246" s="101">
        <v>0.31406363091427908</v>
      </c>
      <c r="AY246" s="101">
        <v>0.19452573251698035</v>
      </c>
      <c r="AZ246" s="101">
        <v>5.4320774128322251E-2</v>
      </c>
      <c r="BA246" s="101">
        <v>-0.31731598189956334</v>
      </c>
      <c r="BB246" s="101">
        <v>-0.20063871980054826</v>
      </c>
    </row>
    <row r="247" spans="2:54">
      <c r="B247">
        <v>0.10612000000000001</v>
      </c>
      <c r="C247">
        <v>4.93</v>
      </c>
      <c r="D247">
        <v>0.42799999999999999</v>
      </c>
      <c r="E247">
        <v>6.0949999999999998</v>
      </c>
      <c r="F247">
        <v>65.099999999999994</v>
      </c>
      <c r="G247">
        <v>6.3361000000000001</v>
      </c>
      <c r="H247">
        <v>6</v>
      </c>
      <c r="I247">
        <v>300</v>
      </c>
      <c r="J247">
        <v>16.600000000000001</v>
      </c>
      <c r="K247">
        <v>394.62</v>
      </c>
      <c r="L247">
        <v>12.4</v>
      </c>
      <c r="M247">
        <v>20.100000000000001</v>
      </c>
      <c r="O247" s="101">
        <f t="shared" si="66"/>
        <v>-0.40816789003154991</v>
      </c>
      <c r="P247" s="101">
        <f t="shared" si="67"/>
        <v>-0.90562701304458515</v>
      </c>
      <c r="Q247" s="101">
        <f t="shared" si="68"/>
        <v>-1.0944337394824348</v>
      </c>
      <c r="R247" s="101">
        <f t="shared" si="69"/>
        <v>-0.27016427522854747</v>
      </c>
      <c r="S247" s="101">
        <f t="shared" si="70"/>
        <v>-0.12356947338586029</v>
      </c>
      <c r="T247" s="101">
        <f t="shared" si="71"/>
        <v>1.2079402260333856</v>
      </c>
      <c r="U247" s="101">
        <f t="shared" si="72"/>
        <v>-0.40804109356279333</v>
      </c>
      <c r="V247" s="101">
        <f t="shared" si="73"/>
        <v>-0.64285107746984649</v>
      </c>
      <c r="W247" s="101">
        <f t="shared" si="74"/>
        <v>-0.85792913950166927</v>
      </c>
      <c r="X247" s="101">
        <f t="shared" si="75"/>
        <v>0.41605319555094789</v>
      </c>
      <c r="Y247" s="101">
        <f t="shared" si="76"/>
        <v>-3.5472831938617347E-2</v>
      </c>
      <c r="Z247" s="101">
        <f t="shared" si="77"/>
        <v>-0.26478050360754674</v>
      </c>
      <c r="AQ247" s="101">
        <v>-1.6713344667998531</v>
      </c>
      <c r="AR247" s="101">
        <v>-0.98526353224114871</v>
      </c>
      <c r="AS247" s="101">
        <v>-0.14060768725070324</v>
      </c>
      <c r="AT247" s="101">
        <v>-0.56291106850223938</v>
      </c>
      <c r="AU247" s="101">
        <v>-0.46749131559619012</v>
      </c>
      <c r="AV247" s="101">
        <v>-2.4349663644584973E-2</v>
      </c>
      <c r="AW247" s="101">
        <v>-0.71633552072932316</v>
      </c>
      <c r="AX247" s="101">
        <v>-0.22149650713409513</v>
      </c>
      <c r="AY247" s="101">
        <v>4.3812424050963875E-2</v>
      </c>
      <c r="AZ247" s="101">
        <v>0.48873423212553757</v>
      </c>
      <c r="BA247" s="101">
        <v>-0.34462555873509992</v>
      </c>
      <c r="BB247" s="101">
        <v>-0.22485711085232463</v>
      </c>
    </row>
    <row r="248" spans="2:54">
      <c r="B248">
        <v>0.10290000000000001</v>
      </c>
      <c r="C248">
        <v>4.93</v>
      </c>
      <c r="D248">
        <v>0.42799999999999999</v>
      </c>
      <c r="E248">
        <v>6.3579999999999997</v>
      </c>
      <c r="F248">
        <v>52.9</v>
      </c>
      <c r="G248">
        <v>7.0354999999999999</v>
      </c>
      <c r="H248">
        <v>6</v>
      </c>
      <c r="I248">
        <v>300</v>
      </c>
      <c r="J248">
        <v>16.600000000000001</v>
      </c>
      <c r="K248">
        <v>372.75</v>
      </c>
      <c r="L248">
        <v>11.22</v>
      </c>
      <c r="M248">
        <v>22.2</v>
      </c>
      <c r="O248" s="101">
        <f t="shared" si="66"/>
        <v>-0.40854261184055352</v>
      </c>
      <c r="P248" s="101">
        <f t="shared" si="67"/>
        <v>-0.90562701304458515</v>
      </c>
      <c r="Q248" s="101">
        <f t="shared" si="68"/>
        <v>-1.0944337394824348</v>
      </c>
      <c r="R248" s="101">
        <f t="shared" si="69"/>
        <v>0.1045209565870229</v>
      </c>
      <c r="S248" s="101">
        <f t="shared" si="70"/>
        <v>-0.55740845029855091</v>
      </c>
      <c r="T248" s="101">
        <f t="shared" si="71"/>
        <v>1.5404134016732922</v>
      </c>
      <c r="U248" s="101">
        <f t="shared" si="72"/>
        <v>-0.40804109356279333</v>
      </c>
      <c r="V248" s="101">
        <f t="shared" si="73"/>
        <v>-0.64285107746984649</v>
      </c>
      <c r="W248" s="101">
        <f t="shared" si="74"/>
        <v>-0.85792913950166927</v>
      </c>
      <c r="X248" s="101">
        <f t="shared" si="75"/>
        <v>0.17626267826301534</v>
      </c>
      <c r="Y248" s="101">
        <f t="shared" si="76"/>
        <v>-0.20087789631901043</v>
      </c>
      <c r="Z248" s="101">
        <f t="shared" si="77"/>
        <v>-3.6221800818451687E-2</v>
      </c>
      <c r="AQ248" s="101">
        <v>-2.0444713721943182</v>
      </c>
      <c r="AR248" s="101">
        <v>-0.81321086661208464</v>
      </c>
      <c r="AS248" s="101">
        <v>0.33550800586730561</v>
      </c>
      <c r="AT248" s="101">
        <v>-0.68407503341987619</v>
      </c>
      <c r="AU248" s="101">
        <v>-0.30551401906946335</v>
      </c>
      <c r="AV248" s="101">
        <v>-0.17740690866343053</v>
      </c>
      <c r="AW248" s="101">
        <v>-0.70167598391631336</v>
      </c>
      <c r="AX248" s="101">
        <v>4.2374565586708601E-4</v>
      </c>
      <c r="AY248" s="101">
        <v>0.11189734382781384</v>
      </c>
      <c r="AZ248" s="101">
        <v>0.4049268289767623</v>
      </c>
      <c r="BA248" s="101">
        <v>-0.11081167265610339</v>
      </c>
      <c r="BB248" s="101">
        <v>-0.20064396488911987</v>
      </c>
    </row>
    <row r="249" spans="2:54">
      <c r="B249">
        <v>0.12756999999999999</v>
      </c>
      <c r="C249">
        <v>4.93</v>
      </c>
      <c r="D249">
        <v>0.42799999999999999</v>
      </c>
      <c r="E249">
        <v>6.3929999999999998</v>
      </c>
      <c r="F249">
        <v>7.8</v>
      </c>
      <c r="G249">
        <v>7.0354999999999999</v>
      </c>
      <c r="H249">
        <v>6</v>
      </c>
      <c r="I249">
        <v>300</v>
      </c>
      <c r="J249">
        <v>16.600000000000001</v>
      </c>
      <c r="K249">
        <v>374.71</v>
      </c>
      <c r="L249">
        <v>5.19</v>
      </c>
      <c r="M249">
        <v>23.7</v>
      </c>
      <c r="O249" s="101">
        <f t="shared" si="66"/>
        <v>-0.40567168419206967</v>
      </c>
      <c r="P249" s="101">
        <f t="shared" si="67"/>
        <v>-0.90562701304458515</v>
      </c>
      <c r="Q249" s="101">
        <f t="shared" si="68"/>
        <v>-1.0944337394824348</v>
      </c>
      <c r="R249" s="101">
        <f t="shared" si="69"/>
        <v>0.15438401025069218</v>
      </c>
      <c r="S249" s="101">
        <f t="shared" si="70"/>
        <v>-2.1611902420003832</v>
      </c>
      <c r="T249" s="101">
        <f t="shared" si="71"/>
        <v>1.5404134016732922</v>
      </c>
      <c r="U249" s="101">
        <f t="shared" si="72"/>
        <v>-0.40804109356279333</v>
      </c>
      <c r="V249" s="101">
        <f t="shared" si="73"/>
        <v>-0.64285107746984649</v>
      </c>
      <c r="W249" s="101">
        <f t="shared" si="74"/>
        <v>-0.85792913950166927</v>
      </c>
      <c r="X249" s="101">
        <f t="shared" si="75"/>
        <v>0.19775282064455824</v>
      </c>
      <c r="Y249" s="101">
        <f t="shared" si="76"/>
        <v>-1.0461258100594939</v>
      </c>
      <c r="Z249" s="101">
        <f t="shared" si="77"/>
        <v>0.1270344154594735</v>
      </c>
      <c r="AQ249" s="101">
        <v>-2.8564538379567361</v>
      </c>
      <c r="AR249" s="101">
        <v>-0.85315166398834585</v>
      </c>
      <c r="AS249" s="101">
        <v>1.0915756553443099</v>
      </c>
      <c r="AT249" s="101">
        <v>-0.55972951485072242</v>
      </c>
      <c r="AU249" s="101">
        <v>-0.32524460132425648</v>
      </c>
      <c r="AV249" s="101">
        <v>-0.95794214160880475</v>
      </c>
      <c r="AW249" s="101">
        <v>0.20654019781368235</v>
      </c>
      <c r="AX249" s="101">
        <v>0.33969849266214475</v>
      </c>
      <c r="AY249" s="101">
        <v>-0.12948606442947536</v>
      </c>
      <c r="AZ249" s="101">
        <v>-0.27350581219562342</v>
      </c>
      <c r="BA249" s="101">
        <v>-0.11090977200003795</v>
      </c>
      <c r="BB249" s="101">
        <v>-0.1949146760610278</v>
      </c>
    </row>
    <row r="250" spans="2:54">
      <c r="B250">
        <v>0.20608000000000001</v>
      </c>
      <c r="C250">
        <v>5.86</v>
      </c>
      <c r="D250">
        <v>0.43099999999999999</v>
      </c>
      <c r="E250">
        <v>5.593</v>
      </c>
      <c r="F250">
        <v>76.5</v>
      </c>
      <c r="G250">
        <v>7.9549000000000003</v>
      </c>
      <c r="H250">
        <v>7</v>
      </c>
      <c r="I250">
        <v>330</v>
      </c>
      <c r="J250">
        <v>19.100000000000001</v>
      </c>
      <c r="K250">
        <v>372.49</v>
      </c>
      <c r="L250">
        <v>12.5</v>
      </c>
      <c r="M250">
        <v>17.600000000000001</v>
      </c>
      <c r="O250" s="101">
        <f t="shared" si="66"/>
        <v>-0.39653522169987404</v>
      </c>
      <c r="P250" s="101">
        <f t="shared" si="67"/>
        <v>-0.76993132147998844</v>
      </c>
      <c r="Q250" s="101">
        <f t="shared" si="68"/>
        <v>-1.0685187492935131</v>
      </c>
      <c r="R250" s="101">
        <f t="shared" si="69"/>
        <v>-0.98534293063317224</v>
      </c>
      <c r="S250" s="101">
        <f t="shared" si="70"/>
        <v>0.28182104602435915</v>
      </c>
      <c r="T250" s="101">
        <f t="shared" si="71"/>
        <v>1.9774677878376195</v>
      </c>
      <c r="U250" s="101">
        <f t="shared" si="72"/>
        <v>-0.29308074092205089</v>
      </c>
      <c r="V250" s="101">
        <f t="shared" si="73"/>
        <v>-0.46467259083545653</v>
      </c>
      <c r="W250" s="101">
        <f t="shared" si="74"/>
        <v>0.29797709275906098</v>
      </c>
      <c r="X250" s="101">
        <f t="shared" si="75"/>
        <v>0.17341194508995361</v>
      </c>
      <c r="Y250" s="101">
        <f t="shared" si="76"/>
        <v>-2.145545360129595E-2</v>
      </c>
      <c r="Z250" s="101">
        <f t="shared" si="77"/>
        <v>-0.5368741974040887</v>
      </c>
      <c r="AQ250" s="101">
        <v>-1.1006093997436666</v>
      </c>
      <c r="AR250" s="101">
        <v>-1.9889526767031394</v>
      </c>
      <c r="AS250" s="101">
        <v>0.21739451121447367</v>
      </c>
      <c r="AT250" s="101">
        <v>-0.13943914991627898</v>
      </c>
      <c r="AU250" s="101">
        <v>3.6701417735780437E-2</v>
      </c>
      <c r="AV250" s="101">
        <v>0.10724061190637552</v>
      </c>
      <c r="AW250" s="101">
        <v>-0.7704196467635922</v>
      </c>
      <c r="AX250" s="101">
        <v>-0.36721465338497034</v>
      </c>
      <c r="AY250" s="101">
        <v>-0.20378284881182077</v>
      </c>
      <c r="AZ250" s="101">
        <v>1.2199835444623734</v>
      </c>
      <c r="BA250" s="101">
        <v>0.17075831706205391</v>
      </c>
      <c r="BB250" s="101">
        <v>-0.16606891264652376</v>
      </c>
    </row>
    <row r="251" spans="2:54">
      <c r="B251">
        <v>0.19133</v>
      </c>
      <c r="C251">
        <v>5.86</v>
      </c>
      <c r="D251">
        <v>0.43099999999999999</v>
      </c>
      <c r="E251">
        <v>5.6050000000000004</v>
      </c>
      <c r="F251">
        <v>70.2</v>
      </c>
      <c r="G251">
        <v>7.9549000000000003</v>
      </c>
      <c r="H251">
        <v>7</v>
      </c>
      <c r="I251">
        <v>330</v>
      </c>
      <c r="J251">
        <v>19.100000000000001</v>
      </c>
      <c r="K251">
        <v>389.13</v>
      </c>
      <c r="L251">
        <v>18.46</v>
      </c>
      <c r="M251">
        <v>18.5</v>
      </c>
      <c r="O251" s="101">
        <f t="shared" si="66"/>
        <v>-0.39825172688086857</v>
      </c>
      <c r="P251" s="101">
        <f t="shared" si="67"/>
        <v>-0.76993132147998844</v>
      </c>
      <c r="Q251" s="101">
        <f t="shared" si="68"/>
        <v>-1.0685187492935131</v>
      </c>
      <c r="R251" s="101">
        <f t="shared" si="69"/>
        <v>-0.96824702651991368</v>
      </c>
      <c r="S251" s="101">
        <f t="shared" si="70"/>
        <v>5.7789443192395991E-2</v>
      </c>
      <c r="T251" s="101">
        <f t="shared" si="71"/>
        <v>1.9774677878376195</v>
      </c>
      <c r="U251" s="101">
        <f t="shared" si="72"/>
        <v>-0.29308074092205089</v>
      </c>
      <c r="V251" s="101">
        <f t="shared" si="73"/>
        <v>-0.46467259083545653</v>
      </c>
      <c r="W251" s="101">
        <f t="shared" si="74"/>
        <v>0.29797709275906098</v>
      </c>
      <c r="X251" s="101">
        <f t="shared" si="75"/>
        <v>0.35585886816591128</v>
      </c>
      <c r="Y251" s="101">
        <f t="shared" si="76"/>
        <v>0.8139802953030626</v>
      </c>
      <c r="Z251" s="101">
        <f t="shared" si="77"/>
        <v>-0.43892046763733372</v>
      </c>
      <c r="AQ251" s="101">
        <v>-0.96722584568831749</v>
      </c>
      <c r="AR251" s="101">
        <v>-2.2028872849673671</v>
      </c>
      <c r="AS251" s="101">
        <v>8.5408736298520874E-2</v>
      </c>
      <c r="AT251" s="101">
        <v>-0.17852551633986985</v>
      </c>
      <c r="AU251" s="101">
        <v>-0.175277465010691</v>
      </c>
      <c r="AV251" s="101">
        <v>0.11559560571092801</v>
      </c>
      <c r="AW251" s="101">
        <v>-1.0353838975663969</v>
      </c>
      <c r="AX251" s="101">
        <v>-0.41353853661889306</v>
      </c>
      <c r="AY251" s="101">
        <v>0.38480675419585969</v>
      </c>
      <c r="AZ251" s="101">
        <v>0.80918639859717367</v>
      </c>
      <c r="BA251" s="101">
        <v>0.43691020614871173</v>
      </c>
      <c r="BB251" s="101">
        <v>-9.2399054264296787E-2</v>
      </c>
    </row>
    <row r="252" spans="2:54">
      <c r="B252">
        <v>0.33983000000000002</v>
      </c>
      <c r="C252">
        <v>5.86</v>
      </c>
      <c r="D252">
        <v>0.43099999999999999</v>
      </c>
      <c r="E252">
        <v>6.1079999999999997</v>
      </c>
      <c r="F252">
        <v>34.9</v>
      </c>
      <c r="G252">
        <v>8.0555000000000003</v>
      </c>
      <c r="H252">
        <v>7</v>
      </c>
      <c r="I252">
        <v>330</v>
      </c>
      <c r="J252">
        <v>19.100000000000001</v>
      </c>
      <c r="K252">
        <v>390.18</v>
      </c>
      <c r="L252">
        <v>9.16</v>
      </c>
      <c r="M252">
        <v>24.3</v>
      </c>
      <c r="O252" s="101">
        <f t="shared" si="66"/>
        <v>-0.38097030183831282</v>
      </c>
      <c r="P252" s="101">
        <f t="shared" si="67"/>
        <v>-0.76993132147998844</v>
      </c>
      <c r="Q252" s="101">
        <f t="shared" si="68"/>
        <v>-1.0685187492935131</v>
      </c>
      <c r="R252" s="101">
        <f t="shared" si="69"/>
        <v>-0.25164371243918482</v>
      </c>
      <c r="S252" s="101">
        <f t="shared" si="70"/>
        <v>-1.1974987441041602</v>
      </c>
      <c r="T252" s="101">
        <f t="shared" si="71"/>
        <v>2.0252899231956043</v>
      </c>
      <c r="U252" s="101">
        <f t="shared" si="72"/>
        <v>-0.29308074092205089</v>
      </c>
      <c r="V252" s="101">
        <f t="shared" si="73"/>
        <v>-0.46467259083545653</v>
      </c>
      <c r="W252" s="101">
        <f t="shared" si="74"/>
        <v>0.29797709275906098</v>
      </c>
      <c r="X252" s="101">
        <f t="shared" si="75"/>
        <v>0.36737144444173803</v>
      </c>
      <c r="Y252" s="101">
        <f t="shared" si="76"/>
        <v>-0.48963589006783237</v>
      </c>
      <c r="Z252" s="101">
        <f t="shared" si="77"/>
        <v>0.19233690197064374</v>
      </c>
      <c r="AQ252" s="101">
        <v>-2.0993000753406483</v>
      </c>
      <c r="AR252" s="101">
        <v>-1.4658758066469575</v>
      </c>
      <c r="AS252" s="101">
        <v>1.0158103414474053</v>
      </c>
      <c r="AT252" s="101">
        <v>0.16872565900414213</v>
      </c>
      <c r="AU252" s="101">
        <v>-2.9876647795986283E-2</v>
      </c>
      <c r="AV252" s="101">
        <v>-0.41521743334178401</v>
      </c>
      <c r="AW252" s="101">
        <v>-0.24319942642634651</v>
      </c>
      <c r="AX252" s="101">
        <v>2.3121171274937402E-2</v>
      </c>
      <c r="AY252" s="101">
        <v>5.5187017828150609E-2</v>
      </c>
      <c r="AZ252" s="101">
        <v>0.42740840291144921</v>
      </c>
      <c r="BA252" s="101">
        <v>0.49096071374066436</v>
      </c>
      <c r="BB252" s="101">
        <v>-7.184369134810055E-2</v>
      </c>
    </row>
    <row r="253" spans="2:54">
      <c r="B253">
        <v>0.19656999999999999</v>
      </c>
      <c r="C253">
        <v>5.86</v>
      </c>
      <c r="D253">
        <v>0.43099999999999999</v>
      </c>
      <c r="E253">
        <v>6.226</v>
      </c>
      <c r="F253">
        <v>79.2</v>
      </c>
      <c r="G253">
        <v>8.0555000000000003</v>
      </c>
      <c r="H253">
        <v>7</v>
      </c>
      <c r="I253">
        <v>330</v>
      </c>
      <c r="J253">
        <v>19.100000000000001</v>
      </c>
      <c r="K253">
        <v>376.14</v>
      </c>
      <c r="L253">
        <v>10.15</v>
      </c>
      <c r="M253">
        <v>20.5</v>
      </c>
      <c r="O253" s="101">
        <f t="shared" si="66"/>
        <v>-0.39764193114199325</v>
      </c>
      <c r="P253" s="101">
        <f t="shared" si="67"/>
        <v>-0.76993132147998844</v>
      </c>
      <c r="Q253" s="101">
        <f t="shared" si="68"/>
        <v>-1.0685187492935131</v>
      </c>
      <c r="R253" s="101">
        <f t="shared" si="69"/>
        <v>-8.3533988658814312E-2</v>
      </c>
      <c r="S253" s="101">
        <f t="shared" si="70"/>
        <v>0.37783459009520065</v>
      </c>
      <c r="T253" s="101">
        <f t="shared" si="71"/>
        <v>2.0252899231956043</v>
      </c>
      <c r="U253" s="101">
        <f t="shared" si="72"/>
        <v>-0.29308074092205089</v>
      </c>
      <c r="V253" s="101">
        <f t="shared" si="73"/>
        <v>-0.46467259083545653</v>
      </c>
      <c r="W253" s="101">
        <f t="shared" si="74"/>
        <v>0.29797709275906098</v>
      </c>
      <c r="X253" s="101">
        <f t="shared" si="75"/>
        <v>0.21343185309639842</v>
      </c>
      <c r="Y253" s="101">
        <f t="shared" si="76"/>
        <v>-0.35086384452834996</v>
      </c>
      <c r="Z253" s="101">
        <f t="shared" si="77"/>
        <v>-0.22124551260010017</v>
      </c>
      <c r="AQ253" s="101">
        <v>-1.4759393965204854</v>
      </c>
      <c r="AR253" s="101">
        <v>-1.2494374657430316</v>
      </c>
      <c r="AS253" s="101">
        <v>0.48523746441380311</v>
      </c>
      <c r="AT253" s="101">
        <v>8.0200288906875208E-2</v>
      </c>
      <c r="AU253" s="101">
        <v>0.1920070876222422</v>
      </c>
      <c r="AV253" s="101">
        <v>0.33257073626691303</v>
      </c>
      <c r="AW253" s="101">
        <v>-0.99730404217023738</v>
      </c>
      <c r="AX253" s="101">
        <v>-5.1755508536070596E-2</v>
      </c>
      <c r="AY253" s="101">
        <v>-0.21569349025040474</v>
      </c>
      <c r="AZ253" s="101">
        <v>1.2320656160604238</v>
      </c>
      <c r="BA253" s="101">
        <v>0.19305939426456423</v>
      </c>
      <c r="BB253" s="101">
        <v>-0.15643987473730991</v>
      </c>
    </row>
    <row r="254" spans="2:54">
      <c r="B254">
        <v>0.16439000000000001</v>
      </c>
      <c r="C254">
        <v>5.86</v>
      </c>
      <c r="D254">
        <v>0.43099999999999999</v>
      </c>
      <c r="E254">
        <v>6.4329999999999998</v>
      </c>
      <c r="F254">
        <v>49.1</v>
      </c>
      <c r="G254">
        <v>7.8265000000000002</v>
      </c>
      <c r="H254">
        <v>7</v>
      </c>
      <c r="I254">
        <v>330</v>
      </c>
      <c r="J254">
        <v>19.100000000000001</v>
      </c>
      <c r="K254">
        <v>374.71</v>
      </c>
      <c r="L254">
        <v>9.52</v>
      </c>
      <c r="M254">
        <v>24.5</v>
      </c>
      <c r="O254" s="101">
        <f t="shared" si="66"/>
        <v>-0.40138682176737672</v>
      </c>
      <c r="P254" s="101">
        <f t="shared" si="67"/>
        <v>-0.76993132147998844</v>
      </c>
      <c r="Q254" s="101">
        <f t="shared" si="68"/>
        <v>-1.0685187492935131</v>
      </c>
      <c r="R254" s="101">
        <f t="shared" si="69"/>
        <v>0.21137035729488546</v>
      </c>
      <c r="S254" s="101">
        <f t="shared" si="70"/>
        <v>-0.69253862343529049</v>
      </c>
      <c r="T254" s="101">
        <f t="shared" si="71"/>
        <v>1.9164303904224578</v>
      </c>
      <c r="U254" s="101">
        <f t="shared" si="72"/>
        <v>-0.29308074092205089</v>
      </c>
      <c r="V254" s="101">
        <f t="shared" si="73"/>
        <v>-0.46467259083545653</v>
      </c>
      <c r="W254" s="101">
        <f t="shared" si="74"/>
        <v>0.29797709275906098</v>
      </c>
      <c r="X254" s="101">
        <f t="shared" si="75"/>
        <v>0.19775282064455824</v>
      </c>
      <c r="Y254" s="101">
        <f t="shared" si="76"/>
        <v>-0.4391733280534752</v>
      </c>
      <c r="Z254" s="101">
        <f t="shared" si="77"/>
        <v>0.21410439747436702</v>
      </c>
      <c r="AQ254" s="101">
        <v>-1.9719063396503247</v>
      </c>
      <c r="AR254" s="101">
        <v>-1.0493637816633754</v>
      </c>
      <c r="AS254" s="101">
        <v>0.9549302255046449</v>
      </c>
      <c r="AT254" s="101">
        <v>0.12864657131129731</v>
      </c>
      <c r="AU254" s="101">
        <v>0.18621668925946203</v>
      </c>
      <c r="AV254" s="101">
        <v>-4.2117685593515919E-2</v>
      </c>
      <c r="AW254" s="101">
        <v>-0.5611189708743517</v>
      </c>
      <c r="AX254" s="101">
        <v>8.7286427479416964E-2</v>
      </c>
      <c r="AY254" s="101">
        <v>7.6556091293752349E-2</v>
      </c>
      <c r="AZ254" s="101">
        <v>0.56131090754725843</v>
      </c>
      <c r="BA254" s="101">
        <v>0.39661558927938478</v>
      </c>
      <c r="BB254" s="101">
        <v>-7.6672131422286446E-2</v>
      </c>
    </row>
    <row r="255" spans="2:54">
      <c r="B255">
        <v>0.19073000000000001</v>
      </c>
      <c r="C255">
        <v>5.86</v>
      </c>
      <c r="D255">
        <v>0.43099999999999999</v>
      </c>
      <c r="E255">
        <v>6.718</v>
      </c>
      <c r="F255">
        <v>17.5</v>
      </c>
      <c r="G255">
        <v>7.8265000000000002</v>
      </c>
      <c r="H255">
        <v>7</v>
      </c>
      <c r="I255">
        <v>330</v>
      </c>
      <c r="J255">
        <v>19.100000000000001</v>
      </c>
      <c r="K255">
        <v>393.74</v>
      </c>
      <c r="L255">
        <v>6.56</v>
      </c>
      <c r="M255">
        <v>26.2</v>
      </c>
      <c r="O255" s="101">
        <f t="shared" si="66"/>
        <v>-0.39832155082043452</v>
      </c>
      <c r="P255" s="101">
        <f t="shared" si="67"/>
        <v>-0.76993132147998844</v>
      </c>
      <c r="Q255" s="101">
        <f t="shared" si="68"/>
        <v>-1.0685187492935131</v>
      </c>
      <c r="R255" s="101">
        <f t="shared" si="69"/>
        <v>0.61739807998476248</v>
      </c>
      <c r="S255" s="101">
        <f t="shared" si="70"/>
        <v>-1.8162526947829158</v>
      </c>
      <c r="T255" s="101">
        <f t="shared" si="71"/>
        <v>1.9164303904224578</v>
      </c>
      <c r="U255" s="101">
        <f t="shared" si="72"/>
        <v>-0.29308074092205089</v>
      </c>
      <c r="V255" s="101">
        <f t="shared" si="73"/>
        <v>-0.46467259083545653</v>
      </c>
      <c r="W255" s="101">
        <f t="shared" si="74"/>
        <v>0.29797709275906098</v>
      </c>
      <c r="X255" s="101">
        <f t="shared" si="75"/>
        <v>0.40640456019596943</v>
      </c>
      <c r="Y255" s="101">
        <f t="shared" si="76"/>
        <v>-0.85408772683819012</v>
      </c>
      <c r="Z255" s="101">
        <f t="shared" si="77"/>
        <v>0.3991281092560155</v>
      </c>
      <c r="AQ255" s="101">
        <v>-2.6204915513023774</v>
      </c>
      <c r="AR255" s="101">
        <v>-0.89603559286832279</v>
      </c>
      <c r="AS255" s="101">
        <v>1.4807316609757999</v>
      </c>
      <c r="AT255" s="101">
        <v>0.35579551277109939</v>
      </c>
      <c r="AU255" s="101">
        <v>9.8749544891917854E-2</v>
      </c>
      <c r="AV255" s="101">
        <v>-0.47544075241446526</v>
      </c>
      <c r="AW255" s="101">
        <v>-0.16118771138580482</v>
      </c>
      <c r="AX255" s="101">
        <v>0.47533818905002656</v>
      </c>
      <c r="AY255" s="101">
        <v>7.8736593430880908E-2</v>
      </c>
      <c r="AZ255" s="101">
        <v>-6.8258147887319959E-2</v>
      </c>
      <c r="BA255" s="101">
        <v>0.44689658201174975</v>
      </c>
      <c r="BB255" s="101">
        <v>-5.5465789417980367E-2</v>
      </c>
    </row>
    <row r="256" spans="2:54">
      <c r="B256">
        <v>0.14030000000000001</v>
      </c>
      <c r="C256">
        <v>5.86</v>
      </c>
      <c r="D256">
        <v>0.43099999999999999</v>
      </c>
      <c r="E256">
        <v>6.4870000000000001</v>
      </c>
      <c r="F256">
        <v>13</v>
      </c>
      <c r="G256">
        <v>7.3967000000000001</v>
      </c>
      <c r="H256">
        <v>7</v>
      </c>
      <c r="I256">
        <v>330</v>
      </c>
      <c r="J256">
        <v>19.100000000000001</v>
      </c>
      <c r="K256">
        <v>396.28</v>
      </c>
      <c r="L256">
        <v>5.9</v>
      </c>
      <c r="M256">
        <v>24.4</v>
      </c>
      <c r="O256" s="101">
        <f t="shared" si="66"/>
        <v>-0.4041902529409469</v>
      </c>
      <c r="P256" s="101">
        <f t="shared" si="67"/>
        <v>-0.76993132147998844</v>
      </c>
      <c r="Q256" s="101">
        <f t="shared" si="68"/>
        <v>-1.0685187492935131</v>
      </c>
      <c r="R256" s="101">
        <f t="shared" si="69"/>
        <v>0.28830192580454672</v>
      </c>
      <c r="S256" s="101">
        <f t="shared" si="70"/>
        <v>-1.9762752682343181</v>
      </c>
      <c r="T256" s="101">
        <f t="shared" si="71"/>
        <v>1.7121167345888404</v>
      </c>
      <c r="U256" s="101">
        <f t="shared" si="72"/>
        <v>-0.29308074092205089</v>
      </c>
      <c r="V256" s="101">
        <f t="shared" si="73"/>
        <v>-0.46467259083545653</v>
      </c>
      <c r="W256" s="101">
        <f t="shared" si="74"/>
        <v>0.29797709275906098</v>
      </c>
      <c r="X256" s="101">
        <f t="shared" si="75"/>
        <v>0.43425403042511163</v>
      </c>
      <c r="Y256" s="101">
        <f t="shared" si="76"/>
        <v>-0.94660242386451154</v>
      </c>
      <c r="Z256" s="101">
        <f t="shared" si="77"/>
        <v>0.2032206497225052</v>
      </c>
      <c r="AQ256" s="101">
        <v>-2.5222926038601674</v>
      </c>
      <c r="AR256" s="101">
        <v>-1.1212735499678095</v>
      </c>
      <c r="AS256" s="101">
        <v>1.3903352401908509</v>
      </c>
      <c r="AT256" s="101">
        <v>0.34860953918314269</v>
      </c>
      <c r="AU256" s="101">
        <v>5.0219614154278114E-2</v>
      </c>
      <c r="AV256" s="101">
        <v>-0.60624534515986439</v>
      </c>
      <c r="AW256" s="101">
        <v>9.8591766198915479E-2</v>
      </c>
      <c r="AX256" s="101">
        <v>0.40205557486772792</v>
      </c>
      <c r="AY256" s="101">
        <v>-5.6504296662278977E-2</v>
      </c>
      <c r="AZ256" s="101">
        <v>-0.18667947154305628</v>
      </c>
      <c r="BA256" s="101">
        <v>0.27454796473237603</v>
      </c>
      <c r="BB256" s="101">
        <v>-7.7087981385722648E-2</v>
      </c>
    </row>
    <row r="257" spans="2:54">
      <c r="B257">
        <v>0.21409</v>
      </c>
      <c r="C257">
        <v>5.86</v>
      </c>
      <c r="D257">
        <v>0.43099999999999999</v>
      </c>
      <c r="E257">
        <v>6.4379999999999997</v>
      </c>
      <c r="F257">
        <v>8.9</v>
      </c>
      <c r="G257">
        <v>7.3967000000000001</v>
      </c>
      <c r="H257">
        <v>7</v>
      </c>
      <c r="I257">
        <v>330</v>
      </c>
      <c r="J257">
        <v>19.100000000000001</v>
      </c>
      <c r="K257">
        <v>377.07</v>
      </c>
      <c r="L257">
        <v>3.59</v>
      </c>
      <c r="M257">
        <v>24.8</v>
      </c>
      <c r="O257" s="101">
        <f t="shared" si="66"/>
        <v>-0.39560307210666951</v>
      </c>
      <c r="P257" s="101">
        <f t="shared" si="67"/>
        <v>-0.76993132147998844</v>
      </c>
      <c r="Q257" s="101">
        <f t="shared" si="68"/>
        <v>-1.0685187492935131</v>
      </c>
      <c r="R257" s="101">
        <f t="shared" si="69"/>
        <v>0.21849365067540946</v>
      </c>
      <c r="S257" s="101">
        <f t="shared" si="70"/>
        <v>-2.1220736129344848</v>
      </c>
      <c r="T257" s="101">
        <f t="shared" si="71"/>
        <v>1.7121167345888404</v>
      </c>
      <c r="U257" s="101">
        <f t="shared" si="72"/>
        <v>-0.29308074092205089</v>
      </c>
      <c r="V257" s="101">
        <f t="shared" si="73"/>
        <v>-0.46467259083545653</v>
      </c>
      <c r="W257" s="101">
        <f t="shared" si="74"/>
        <v>0.29797709275906098</v>
      </c>
      <c r="X257" s="101">
        <f t="shared" si="75"/>
        <v>0.22362870636927354</v>
      </c>
      <c r="Y257" s="101">
        <f t="shared" si="76"/>
        <v>-1.2704038634566373</v>
      </c>
      <c r="Z257" s="101">
        <f t="shared" si="77"/>
        <v>0.24675564072995212</v>
      </c>
      <c r="AQ257" s="101">
        <v>-2.6217819160175817</v>
      </c>
      <c r="AR257" s="101">
        <v>-1.0734471927861544</v>
      </c>
      <c r="AS257" s="101">
        <v>1.5648137697057825</v>
      </c>
      <c r="AT257" s="101">
        <v>0.26021703389901885</v>
      </c>
      <c r="AU257" s="101">
        <v>0.17965148099589537</v>
      </c>
      <c r="AV257" s="101">
        <v>-0.71457937718716091</v>
      </c>
      <c r="AW257" s="101">
        <v>0.3517671003586369</v>
      </c>
      <c r="AX257" s="101">
        <v>0.38596307090196363</v>
      </c>
      <c r="AY257" s="101">
        <v>-0.22652101322570017</v>
      </c>
      <c r="AZ257" s="101">
        <v>-0.12679529459806671</v>
      </c>
      <c r="BA257" s="101">
        <v>0.23649602915022122</v>
      </c>
      <c r="BB257" s="101">
        <v>-8.6196970245494581E-2</v>
      </c>
    </row>
    <row r="258" spans="2:54">
      <c r="B258">
        <v>8.2210000000000005E-2</v>
      </c>
      <c r="C258">
        <v>5.86</v>
      </c>
      <c r="D258">
        <v>0.43099999999999999</v>
      </c>
      <c r="E258">
        <v>6.9569999999999999</v>
      </c>
      <c r="F258">
        <v>6.8</v>
      </c>
      <c r="G258">
        <v>8.9067000000000007</v>
      </c>
      <c r="H258">
        <v>7</v>
      </c>
      <c r="I258">
        <v>330</v>
      </c>
      <c r="J258">
        <v>19.100000000000001</v>
      </c>
      <c r="K258">
        <v>386.09</v>
      </c>
      <c r="L258">
        <v>3.53</v>
      </c>
      <c r="M258">
        <v>29.6</v>
      </c>
      <c r="O258" s="101">
        <f t="shared" si="66"/>
        <v>-0.41095037402325035</v>
      </c>
      <c r="P258" s="101">
        <f t="shared" si="67"/>
        <v>-0.76993132147998844</v>
      </c>
      <c r="Q258" s="101">
        <f t="shared" si="68"/>
        <v>-1.0685187492935131</v>
      </c>
      <c r="R258" s="101">
        <f t="shared" si="69"/>
        <v>0.95789150357381692</v>
      </c>
      <c r="S258" s="101">
        <f t="shared" si="70"/>
        <v>-2.1967508138784724</v>
      </c>
      <c r="T258" s="101">
        <f t="shared" si="71"/>
        <v>2.4299241340973614</v>
      </c>
      <c r="U258" s="101">
        <f t="shared" si="72"/>
        <v>-0.29308074092205089</v>
      </c>
      <c r="V258" s="101">
        <f t="shared" si="73"/>
        <v>-0.46467259083545653</v>
      </c>
      <c r="W258" s="101">
        <f t="shared" si="74"/>
        <v>0.29797709275906098</v>
      </c>
      <c r="X258" s="101">
        <f t="shared" si="75"/>
        <v>0.32252721875780338</v>
      </c>
      <c r="Y258" s="101">
        <f t="shared" si="76"/>
        <v>-1.2788142904590301</v>
      </c>
      <c r="Z258" s="101">
        <f t="shared" si="77"/>
        <v>0.76917553281931283</v>
      </c>
      <c r="AQ258" s="101">
        <v>-3.1826436954298543</v>
      </c>
      <c r="AR258" s="101">
        <v>-0.67101448414294063</v>
      </c>
      <c r="AS258" s="101">
        <v>1.98412798556396</v>
      </c>
      <c r="AT258" s="101">
        <v>0.39661556174571799</v>
      </c>
      <c r="AU258" s="101">
        <v>0.19464973055680265</v>
      </c>
      <c r="AV258" s="101">
        <v>-0.70933751854676108</v>
      </c>
      <c r="AW258" s="101">
        <v>-0.11570266632126716</v>
      </c>
      <c r="AX258" s="101">
        <v>0.68462826665998788</v>
      </c>
      <c r="AY258" s="101">
        <v>2.2625721334913251E-2</v>
      </c>
      <c r="AZ258" s="101">
        <v>7.1697906469434802E-2</v>
      </c>
      <c r="BA258" s="101">
        <v>0.75422355905500083</v>
      </c>
      <c r="BB258" s="101">
        <v>-4.037854786661621E-2</v>
      </c>
    </row>
    <row r="259" spans="2:54">
      <c r="B259">
        <v>0.36893999999999999</v>
      </c>
      <c r="C259">
        <v>5.86</v>
      </c>
      <c r="D259">
        <v>0.43099999999999999</v>
      </c>
      <c r="E259">
        <v>8.2590000000000003</v>
      </c>
      <c r="F259">
        <v>8.4</v>
      </c>
      <c r="G259">
        <v>8.9067000000000007</v>
      </c>
      <c r="H259">
        <v>7</v>
      </c>
      <c r="I259">
        <v>330</v>
      </c>
      <c r="J259">
        <v>19.100000000000001</v>
      </c>
      <c r="K259">
        <v>396.9</v>
      </c>
      <c r="L259">
        <v>3.54</v>
      </c>
      <c r="M259">
        <v>42.8</v>
      </c>
      <c r="O259" s="101">
        <f t="shared" si="66"/>
        <v>-0.37758267703704151</v>
      </c>
      <c r="P259" s="101">
        <f t="shared" si="67"/>
        <v>-0.76993132147998844</v>
      </c>
      <c r="Q259" s="101">
        <f t="shared" si="68"/>
        <v>-1.0685187492935131</v>
      </c>
      <c r="R259" s="101">
        <f t="shared" si="69"/>
        <v>2.8127970998623075</v>
      </c>
      <c r="S259" s="101">
        <f t="shared" si="70"/>
        <v>-2.1398538988735294</v>
      </c>
      <c r="T259" s="101">
        <f t="shared" si="71"/>
        <v>2.4299241340973614</v>
      </c>
      <c r="U259" s="101">
        <f t="shared" si="72"/>
        <v>-0.29308074092205089</v>
      </c>
      <c r="V259" s="101">
        <f t="shared" si="73"/>
        <v>-0.46467259083545653</v>
      </c>
      <c r="W259" s="101">
        <f t="shared" si="74"/>
        <v>0.29797709275906098</v>
      </c>
      <c r="X259" s="101">
        <f t="shared" si="75"/>
        <v>0.44105193260702835</v>
      </c>
      <c r="Y259" s="101">
        <f t="shared" si="76"/>
        <v>-1.2774125526252977</v>
      </c>
      <c r="Z259" s="101">
        <f t="shared" si="77"/>
        <v>2.2058302360650539</v>
      </c>
      <c r="AQ259" s="101">
        <v>-3.9644194157936417</v>
      </c>
      <c r="AR259" s="101">
        <v>1.0702484758331696</v>
      </c>
      <c r="AS259" s="101">
        <v>2.4687781875617101</v>
      </c>
      <c r="AT259" s="101">
        <v>0.84504870049084113</v>
      </c>
      <c r="AU259" s="101">
        <v>0.37379344301219442</v>
      </c>
      <c r="AV259" s="101">
        <v>-0.2138660340866701</v>
      </c>
      <c r="AW259" s="101">
        <v>-0.56451303348623527</v>
      </c>
      <c r="AX259" s="101">
        <v>0.94606189622247772</v>
      </c>
      <c r="AY259" s="101">
        <v>0.75139497652959797</v>
      </c>
      <c r="AZ259" s="101">
        <v>-0.12577878610490778</v>
      </c>
      <c r="BA259" s="101">
        <v>1.2987966549587138</v>
      </c>
      <c r="BB259" s="101">
        <v>0.13247946661270887</v>
      </c>
    </row>
    <row r="260" spans="2:54">
      <c r="B260">
        <v>4.8189999999999997E-2</v>
      </c>
      <c r="C260">
        <v>3.64</v>
      </c>
      <c r="D260">
        <v>0.39200000000000002</v>
      </c>
      <c r="E260">
        <v>6.1079999999999997</v>
      </c>
      <c r="F260">
        <v>32</v>
      </c>
      <c r="G260">
        <v>9.2202999999999999</v>
      </c>
      <c r="H260">
        <v>1</v>
      </c>
      <c r="I260">
        <v>315</v>
      </c>
      <c r="J260">
        <v>16.399999999999999</v>
      </c>
      <c r="K260">
        <v>392.89</v>
      </c>
      <c r="L260">
        <v>6.57</v>
      </c>
      <c r="M260">
        <v>21.9</v>
      </c>
      <c r="O260" s="101">
        <f t="shared" si="66"/>
        <v>-0.41490939139663585</v>
      </c>
      <c r="P260" s="101">
        <f t="shared" si="67"/>
        <v>-1.0938500690858</v>
      </c>
      <c r="Q260" s="101">
        <f t="shared" si="68"/>
        <v>-1.4054136217494957</v>
      </c>
      <c r="R260" s="101">
        <f t="shared" si="69"/>
        <v>-0.25164371243918482</v>
      </c>
      <c r="S260" s="101">
        <f t="shared" si="70"/>
        <v>-1.3006244025506195</v>
      </c>
      <c r="T260" s="101">
        <f t="shared" si="71"/>
        <v>2.5789998960085345</v>
      </c>
      <c r="U260" s="101">
        <f t="shared" si="72"/>
        <v>-0.98284285676650562</v>
      </c>
      <c r="V260" s="101">
        <f t="shared" si="73"/>
        <v>-0.55376183415265157</v>
      </c>
      <c r="W260" s="101">
        <f t="shared" si="74"/>
        <v>-0.95040163808252898</v>
      </c>
      <c r="X260" s="101">
        <f t="shared" si="75"/>
        <v>0.39708485559172857</v>
      </c>
      <c r="Y260" s="101">
        <f t="shared" si="76"/>
        <v>-0.85268598900445791</v>
      </c>
      <c r="Z260" s="101">
        <f t="shared" si="77"/>
        <v>-6.8873044074036799E-2</v>
      </c>
      <c r="AQ260" s="101">
        <v>-3.0898317751637316</v>
      </c>
      <c r="AR260" s="101">
        <v>-1.5414782789074819</v>
      </c>
      <c r="AS260" s="101">
        <v>0.75189066938686377</v>
      </c>
      <c r="AT260" s="101">
        <v>-0.72481826775019631</v>
      </c>
      <c r="AU260" s="101">
        <v>-0.5166311446081534</v>
      </c>
      <c r="AV260" s="101">
        <v>-0.69352360505573085</v>
      </c>
      <c r="AW260" s="101">
        <v>-0.44989633791132277</v>
      </c>
      <c r="AX260" s="101">
        <v>0.33189283693575627</v>
      </c>
      <c r="AY260" s="101">
        <v>-0.17303396770017346</v>
      </c>
      <c r="AZ260" s="101">
        <v>0.82094969160420572</v>
      </c>
      <c r="BA260" s="101">
        <v>4.5577999796469426E-2</v>
      </c>
      <c r="BB260" s="101">
        <v>0.18731602604280426</v>
      </c>
    </row>
    <row r="261" spans="2:54">
      <c r="B261">
        <v>3.5479999999999998E-2</v>
      </c>
      <c r="C261">
        <v>3.64</v>
      </c>
      <c r="D261">
        <v>0.39200000000000002</v>
      </c>
      <c r="E261">
        <v>5.8760000000000003</v>
      </c>
      <c r="F261">
        <v>19.100000000000001</v>
      </c>
      <c r="G261">
        <v>9.2202999999999999</v>
      </c>
      <c r="H261">
        <v>1</v>
      </c>
      <c r="I261">
        <v>315</v>
      </c>
      <c r="J261">
        <v>16.399999999999999</v>
      </c>
      <c r="K261">
        <v>395.18</v>
      </c>
      <c r="L261">
        <v>9.25</v>
      </c>
      <c r="M261">
        <v>20.9</v>
      </c>
      <c r="O261" s="101">
        <f t="shared" si="66"/>
        <v>-0.41638849518310644</v>
      </c>
      <c r="P261" s="101">
        <f t="shared" si="67"/>
        <v>-1.0938500690858</v>
      </c>
      <c r="Q261" s="101">
        <f t="shared" si="68"/>
        <v>-1.4054136217494957</v>
      </c>
      <c r="R261" s="101">
        <f t="shared" si="69"/>
        <v>-0.58216452529550455</v>
      </c>
      <c r="S261" s="101">
        <f t="shared" si="70"/>
        <v>-1.7593557797779726</v>
      </c>
      <c r="T261" s="101">
        <f t="shared" si="71"/>
        <v>2.5789998960085345</v>
      </c>
      <c r="U261" s="101">
        <f t="shared" si="72"/>
        <v>-0.98284285676650562</v>
      </c>
      <c r="V261" s="101">
        <f t="shared" si="73"/>
        <v>-0.55376183415265157</v>
      </c>
      <c r="W261" s="101">
        <f t="shared" si="74"/>
        <v>-0.95040163808252898</v>
      </c>
      <c r="X261" s="101">
        <f t="shared" si="75"/>
        <v>0.42219323623138882</v>
      </c>
      <c r="Y261" s="101">
        <f t="shared" si="76"/>
        <v>-0.47702024956424305</v>
      </c>
      <c r="Z261" s="101">
        <f t="shared" si="77"/>
        <v>-0.1777105215926536</v>
      </c>
      <c r="AQ261" s="101">
        <v>-3.0126662350005908</v>
      </c>
      <c r="AR261" s="101">
        <v>-1.975655731080209</v>
      </c>
      <c r="AS261" s="101">
        <v>0.74957809396102937</v>
      </c>
      <c r="AT261" s="101">
        <v>-0.85254457174496368</v>
      </c>
      <c r="AU261" s="101">
        <v>-0.65334908511763834</v>
      </c>
      <c r="AV261" s="101">
        <v>-0.92521858276944913</v>
      </c>
      <c r="AW261" s="101">
        <v>-0.33311833434388971</v>
      </c>
      <c r="AX261" s="101">
        <v>0.28005443247153505</v>
      </c>
      <c r="AY261" s="101">
        <v>4.8591806428831791E-2</v>
      </c>
      <c r="AZ261" s="101">
        <v>0.48377510222055053</v>
      </c>
      <c r="BA261" s="101">
        <v>0.14722029923322075</v>
      </c>
      <c r="BB261" s="101">
        <v>0.21306452002779072</v>
      </c>
    </row>
    <row r="262" spans="2:54">
      <c r="B262">
        <v>1.538E-2</v>
      </c>
      <c r="C262">
        <v>3.75</v>
      </c>
      <c r="D262">
        <v>0.39400000000000002</v>
      </c>
      <c r="E262">
        <v>7.4539999999999997</v>
      </c>
      <c r="F262">
        <v>34.200000000000003</v>
      </c>
      <c r="G262">
        <v>6.3361000000000001</v>
      </c>
      <c r="H262">
        <v>3</v>
      </c>
      <c r="I262">
        <v>244</v>
      </c>
      <c r="J262">
        <v>15.9</v>
      </c>
      <c r="K262">
        <v>386.34</v>
      </c>
      <c r="L262">
        <v>3.11</v>
      </c>
      <c r="M262">
        <v>44</v>
      </c>
      <c r="O262" s="101">
        <f t="shared" ref="O262:O325" si="78">(B262-B$1)/B$2</f>
        <v>-0.4187275971585635</v>
      </c>
      <c r="P262" s="101">
        <f t="shared" ref="P262:P325" si="79">(C262-C$1)/C$2</f>
        <v>-1.0778000410512778</v>
      </c>
      <c r="Q262" s="101">
        <f t="shared" ref="Q262:Q325" si="80">(D262-D$1)/D$2</f>
        <v>-1.3881369616235479</v>
      </c>
      <c r="R262" s="101">
        <f t="shared" ref="R262:R325" si="81">(E262-E$1)/E$2</f>
        <v>1.6659468655979177</v>
      </c>
      <c r="S262" s="101">
        <f t="shared" ref="S262:S325" si="82">(F262-F$1)/F$2</f>
        <v>-1.2223911444188227</v>
      </c>
      <c r="T262" s="101">
        <f t="shared" ref="T262:T325" si="83">(G262-G$1)/G$2</f>
        <v>1.2079402260333856</v>
      </c>
      <c r="U262" s="101">
        <f t="shared" ref="U262:U325" si="84">(H262-H$1)/H$2</f>
        <v>-0.75292215148502073</v>
      </c>
      <c r="V262" s="101">
        <f t="shared" ref="V262:V325" si="85">(I262-I$1)/I$2</f>
        <v>-0.97545091918737448</v>
      </c>
      <c r="W262" s="101">
        <f t="shared" ref="W262:W325" si="86">(J262-J$1)/J$2</f>
        <v>-1.1815828845346743</v>
      </c>
      <c r="X262" s="101">
        <f t="shared" ref="X262:X325" si="87">(K262-K$1)/K$2</f>
        <v>0.32526830834728587</v>
      </c>
      <c r="Y262" s="101">
        <f t="shared" ref="Y262:Y325" si="88">(L262-L$1)/L$2</f>
        <v>-1.3376872794757801</v>
      </c>
      <c r="Z262" s="101">
        <f t="shared" ref="Z262:Z325" si="89">(M262-M$1)/M$2</f>
        <v>2.3364352090873943</v>
      </c>
      <c r="AQ262" s="101">
        <v>-3.9739731800577598</v>
      </c>
      <c r="AR262" s="101">
        <v>1.3819674071877817</v>
      </c>
      <c r="AS262" s="101">
        <v>0.91730228436778283</v>
      </c>
      <c r="AT262" s="101">
        <v>-0.1902165706099449</v>
      </c>
      <c r="AU262" s="101">
        <v>-0.18093020132916621</v>
      </c>
      <c r="AV262" s="101">
        <v>-1.1804027691112287E-2</v>
      </c>
      <c r="AW262" s="101">
        <v>7.9614645387382832E-2</v>
      </c>
      <c r="AX262" s="101">
        <v>-0.1167819357269223</v>
      </c>
      <c r="AY262" s="101">
        <v>0.6755992406073682</v>
      </c>
      <c r="AZ262" s="101">
        <v>0.2395524149378841</v>
      </c>
      <c r="BA262" s="101">
        <v>0.33831859462474967</v>
      </c>
      <c r="BB262" s="101">
        <v>1.6305775276017231E-2</v>
      </c>
    </row>
    <row r="263" spans="2:54">
      <c r="B263">
        <v>0.61153999999999997</v>
      </c>
      <c r="C263">
        <v>3.97</v>
      </c>
      <c r="D263">
        <v>0.64700000000000002</v>
      </c>
      <c r="E263">
        <v>8.7040000000000006</v>
      </c>
      <c r="F263">
        <v>86.9</v>
      </c>
      <c r="G263">
        <v>1.8009999999999999</v>
      </c>
      <c r="H263">
        <v>5</v>
      </c>
      <c r="I263">
        <v>264</v>
      </c>
      <c r="J263">
        <v>13</v>
      </c>
      <c r="K263">
        <v>389.7</v>
      </c>
      <c r="L263">
        <v>5.12</v>
      </c>
      <c r="M263">
        <v>50</v>
      </c>
      <c r="O263" s="101">
        <f t="shared" si="78"/>
        <v>-0.34935053080590323</v>
      </c>
      <c r="P263" s="101">
        <f t="shared" si="79"/>
        <v>-1.0456999849822333</v>
      </c>
      <c r="Q263" s="101">
        <f t="shared" si="80"/>
        <v>0.79736054430885439</v>
      </c>
      <c r="R263" s="101">
        <f t="shared" si="81"/>
        <v>3.4467702107289573</v>
      </c>
      <c r="S263" s="101">
        <f t="shared" si="82"/>
        <v>0.65165099355648914</v>
      </c>
      <c r="T263" s="101">
        <f t="shared" si="83"/>
        <v>-0.9479063550997876</v>
      </c>
      <c r="U263" s="101">
        <f t="shared" si="84"/>
        <v>-0.52300144620353584</v>
      </c>
      <c r="V263" s="101">
        <f t="shared" si="85"/>
        <v>-0.85666526143111454</v>
      </c>
      <c r="W263" s="101">
        <f t="shared" si="86"/>
        <v>-2.5224341139571216</v>
      </c>
      <c r="X263" s="101">
        <f t="shared" si="87"/>
        <v>0.3621085524299314</v>
      </c>
      <c r="Y263" s="101">
        <f t="shared" si="88"/>
        <v>-1.055937974895619</v>
      </c>
      <c r="Z263" s="101">
        <f t="shared" si="89"/>
        <v>2.9894600741990951</v>
      </c>
      <c r="AQ263" s="101">
        <v>-2.6532762489544401</v>
      </c>
      <c r="AR263" s="101">
        <v>4.8079291388990875</v>
      </c>
      <c r="AS263" s="101">
        <v>-0.72684993732979453</v>
      </c>
      <c r="AT263" s="101">
        <v>-0.54304761157811221</v>
      </c>
      <c r="AU263" s="101">
        <v>-0.43408337667553437</v>
      </c>
      <c r="AV263" s="101">
        <v>0.67269048894268035</v>
      </c>
      <c r="AW263" s="101">
        <v>-0.69076244655743291</v>
      </c>
      <c r="AX263" s="101">
        <v>-0.15704019487324827</v>
      </c>
      <c r="AY263" s="101">
        <v>4.0816789524203534E-2</v>
      </c>
      <c r="AZ263" s="101">
        <v>-0.55285232800784323</v>
      </c>
      <c r="BA263" s="101">
        <v>0.40092506451727616</v>
      </c>
      <c r="BB263" s="101">
        <v>0.1331182718452095</v>
      </c>
    </row>
    <row r="264" spans="2:54">
      <c r="B264">
        <v>0.66351000000000004</v>
      </c>
      <c r="C264">
        <v>3.97</v>
      </c>
      <c r="D264">
        <v>0.64700000000000002</v>
      </c>
      <c r="E264">
        <v>7.3330000000000002</v>
      </c>
      <c r="F264">
        <v>100</v>
      </c>
      <c r="G264">
        <v>1.8946000000000001</v>
      </c>
      <c r="H264">
        <v>5</v>
      </c>
      <c r="I264">
        <v>264</v>
      </c>
      <c r="J264">
        <v>13</v>
      </c>
      <c r="K264">
        <v>383.29</v>
      </c>
      <c r="L264">
        <v>7.79</v>
      </c>
      <c r="M264">
        <v>36</v>
      </c>
      <c r="O264" s="101">
        <f t="shared" si="78"/>
        <v>-0.34330261390717176</v>
      </c>
      <c r="P264" s="101">
        <f t="shared" si="79"/>
        <v>-1.0456999849822333</v>
      </c>
      <c r="Q264" s="101">
        <f t="shared" si="80"/>
        <v>0.79736054430885439</v>
      </c>
      <c r="R264" s="101">
        <f t="shared" si="81"/>
        <v>1.4935631657892336</v>
      </c>
      <c r="S264" s="101">
        <f t="shared" si="82"/>
        <v>1.1174944851594601</v>
      </c>
      <c r="T264" s="101">
        <f t="shared" si="83"/>
        <v>-0.9034118037130342</v>
      </c>
      <c r="U264" s="101">
        <f t="shared" si="84"/>
        <v>-0.52300144620353584</v>
      </c>
      <c r="V264" s="101">
        <f t="shared" si="85"/>
        <v>-0.85666526143111454</v>
      </c>
      <c r="W264" s="101">
        <f t="shared" si="86"/>
        <v>-2.5224341139571216</v>
      </c>
      <c r="X264" s="101">
        <f t="shared" si="87"/>
        <v>0.29182701535559941</v>
      </c>
      <c r="Y264" s="101">
        <f t="shared" si="88"/>
        <v>-0.68167397328913626</v>
      </c>
      <c r="Z264" s="101">
        <f t="shared" si="89"/>
        <v>1.4657353889384601</v>
      </c>
      <c r="AQ264" s="101">
        <v>-1.5624162191225386</v>
      </c>
      <c r="AR264" s="101">
        <v>2.9750159794858537</v>
      </c>
      <c r="AS264" s="101">
        <v>-1.4882959960507907</v>
      </c>
      <c r="AT264" s="101">
        <v>-1.0368639845379333</v>
      </c>
      <c r="AU264" s="101">
        <v>-0.69024304607071585</v>
      </c>
      <c r="AV264" s="101">
        <v>0.42912051645235594</v>
      </c>
      <c r="AW264" s="101">
        <v>-0.56628598743677694</v>
      </c>
      <c r="AX264" s="101">
        <v>-0.53996383086037325</v>
      </c>
      <c r="AY264" s="101">
        <v>-0.57127614584334441</v>
      </c>
      <c r="AZ264" s="101">
        <v>-0.13046562511216464</v>
      </c>
      <c r="BA264" s="101">
        <v>-0.10702386836281441</v>
      </c>
      <c r="BB264" s="101">
        <v>-3.8473790317423734E-2</v>
      </c>
    </row>
    <row r="265" spans="2:54">
      <c r="B265">
        <v>0.65664999999999996</v>
      </c>
      <c r="C265">
        <v>3.97</v>
      </c>
      <c r="D265">
        <v>0.64700000000000002</v>
      </c>
      <c r="E265">
        <v>6.8419999999999996</v>
      </c>
      <c r="F265">
        <v>100</v>
      </c>
      <c r="G265">
        <v>2.0106999999999999</v>
      </c>
      <c r="H265">
        <v>5</v>
      </c>
      <c r="I265">
        <v>264</v>
      </c>
      <c r="J265">
        <v>13</v>
      </c>
      <c r="K265">
        <v>391.93</v>
      </c>
      <c r="L265">
        <v>6.9</v>
      </c>
      <c r="M265">
        <v>30.1</v>
      </c>
      <c r="O265" s="101">
        <f t="shared" si="78"/>
        <v>-0.34410093428287503</v>
      </c>
      <c r="P265" s="101">
        <f t="shared" si="79"/>
        <v>-1.0456999849822333</v>
      </c>
      <c r="Q265" s="101">
        <f t="shared" si="80"/>
        <v>0.79736054430885439</v>
      </c>
      <c r="R265" s="101">
        <f t="shared" si="81"/>
        <v>0.79405575582176102</v>
      </c>
      <c r="S265" s="101">
        <f t="shared" si="82"/>
        <v>1.1174944851594601</v>
      </c>
      <c r="T265" s="101">
        <f t="shared" si="83"/>
        <v>-0.84822144670446531</v>
      </c>
      <c r="U265" s="101">
        <f t="shared" si="84"/>
        <v>-0.52300144620353584</v>
      </c>
      <c r="V265" s="101">
        <f t="shared" si="85"/>
        <v>-0.85666526143111454</v>
      </c>
      <c r="W265" s="101">
        <f t="shared" si="86"/>
        <v>-2.5224341139571216</v>
      </c>
      <c r="X265" s="101">
        <f t="shared" si="87"/>
        <v>0.38655907156811581</v>
      </c>
      <c r="Y265" s="101">
        <f t="shared" si="88"/>
        <v>-0.80642864049129703</v>
      </c>
      <c r="Z265" s="101">
        <f t="shared" si="89"/>
        <v>0.8235942715786212</v>
      </c>
      <c r="AQ265" s="101">
        <v>-1.3159287053539575</v>
      </c>
      <c r="AR265" s="101">
        <v>2.2753321780876377</v>
      </c>
      <c r="AS265" s="101">
        <v>-1.6859915312862654</v>
      </c>
      <c r="AT265" s="101">
        <v>-1.106047373425846</v>
      </c>
      <c r="AU265" s="101">
        <v>-0.83004624121375992</v>
      </c>
      <c r="AV265" s="101">
        <v>0.22311459638689068</v>
      </c>
      <c r="AW265" s="101">
        <v>-0.42006980670385186</v>
      </c>
      <c r="AX265" s="101">
        <v>-0.55954404398872604</v>
      </c>
      <c r="AY265" s="101">
        <v>-0.96919628665507696</v>
      </c>
      <c r="AZ265" s="101">
        <v>-1.8932071669299777E-3</v>
      </c>
      <c r="BA265" s="101">
        <v>-0.36848871668366207</v>
      </c>
      <c r="BB265" s="101">
        <v>-0.12833952572245128</v>
      </c>
    </row>
    <row r="266" spans="2:54">
      <c r="B266">
        <v>0.54010999999999998</v>
      </c>
      <c r="C266">
        <v>3.97</v>
      </c>
      <c r="D266">
        <v>0.64700000000000002</v>
      </c>
      <c r="E266">
        <v>7.2030000000000003</v>
      </c>
      <c r="F266">
        <v>81.8</v>
      </c>
      <c r="G266">
        <v>2.1120999999999999</v>
      </c>
      <c r="H266">
        <v>5</v>
      </c>
      <c r="I266">
        <v>264</v>
      </c>
      <c r="J266">
        <v>13</v>
      </c>
      <c r="K266">
        <v>392.8</v>
      </c>
      <c r="L266">
        <v>9.59</v>
      </c>
      <c r="M266">
        <v>33.799999999999997</v>
      </c>
      <c r="O266" s="101">
        <f t="shared" si="78"/>
        <v>-0.35766307081122151</v>
      </c>
      <c r="P266" s="101">
        <f t="shared" si="79"/>
        <v>-1.0456999849822333</v>
      </c>
      <c r="Q266" s="101">
        <f t="shared" si="80"/>
        <v>0.79736054430885439</v>
      </c>
      <c r="R266" s="101">
        <f t="shared" si="81"/>
        <v>1.3083575378956058</v>
      </c>
      <c r="S266" s="101">
        <f t="shared" si="82"/>
        <v>0.47029207697823289</v>
      </c>
      <c r="T266" s="101">
        <f t="shared" si="83"/>
        <v>-0.80001901603548253</v>
      </c>
      <c r="U266" s="101">
        <f t="shared" si="84"/>
        <v>-0.52300144620353584</v>
      </c>
      <c r="V266" s="101">
        <f t="shared" si="85"/>
        <v>-0.85666526143111454</v>
      </c>
      <c r="W266" s="101">
        <f t="shared" si="86"/>
        <v>-2.5224341139571216</v>
      </c>
      <c r="X266" s="101">
        <f t="shared" si="87"/>
        <v>0.39609806333951508</v>
      </c>
      <c r="Y266" s="101">
        <f t="shared" si="88"/>
        <v>-0.42936116321735018</v>
      </c>
      <c r="Z266" s="101">
        <f t="shared" si="89"/>
        <v>1.226292938397503</v>
      </c>
      <c r="AQ266" s="101">
        <v>-1.6261274760208015</v>
      </c>
      <c r="AR266" s="101">
        <v>2.5041019716510977</v>
      </c>
      <c r="AS266" s="101">
        <v>-1.3700332936365918</v>
      </c>
      <c r="AT266" s="101">
        <v>-1.1096563745391146</v>
      </c>
      <c r="AU266" s="101">
        <v>-0.84248336010830038</v>
      </c>
      <c r="AV266" s="101">
        <v>0.11774118695300885</v>
      </c>
      <c r="AW266" s="101">
        <v>-0.48625636211077056</v>
      </c>
      <c r="AX266" s="101">
        <v>-0.39045332674584998</v>
      </c>
      <c r="AY266" s="101">
        <v>-0.44318960978303845</v>
      </c>
      <c r="AZ266" s="101">
        <v>-0.55664623358445786</v>
      </c>
      <c r="BA266" s="101">
        <v>-4.4566128732465127E-2</v>
      </c>
      <c r="BB266" s="101">
        <v>-3.7071278362615812E-2</v>
      </c>
    </row>
    <row r="267" spans="2:54">
      <c r="B267">
        <v>0.53412000000000004</v>
      </c>
      <c r="C267">
        <v>3.97</v>
      </c>
      <c r="D267">
        <v>0.64700000000000002</v>
      </c>
      <c r="E267">
        <v>7.52</v>
      </c>
      <c r="F267">
        <v>89.4</v>
      </c>
      <c r="G267">
        <v>2.1398000000000001</v>
      </c>
      <c r="H267">
        <v>5</v>
      </c>
      <c r="I267">
        <v>264</v>
      </c>
      <c r="J267">
        <v>13</v>
      </c>
      <c r="K267">
        <v>388.37</v>
      </c>
      <c r="L267">
        <v>7.26</v>
      </c>
      <c r="M267">
        <v>43.1</v>
      </c>
      <c r="O267" s="101">
        <f t="shared" si="78"/>
        <v>-0.35836014647455416</v>
      </c>
      <c r="P267" s="101">
        <f t="shared" si="79"/>
        <v>-1.0456999849822333</v>
      </c>
      <c r="Q267" s="101">
        <f t="shared" si="80"/>
        <v>0.79736054430885439</v>
      </c>
      <c r="R267" s="101">
        <f t="shared" si="81"/>
        <v>1.7599743382208362</v>
      </c>
      <c r="S267" s="101">
        <f t="shared" si="82"/>
        <v>0.74055242325171267</v>
      </c>
      <c r="T267" s="101">
        <f t="shared" si="83"/>
        <v>-0.78685129089218042</v>
      </c>
      <c r="U267" s="101">
        <f t="shared" si="84"/>
        <v>-0.52300144620353584</v>
      </c>
      <c r="V267" s="101">
        <f t="shared" si="85"/>
        <v>-0.85666526143111454</v>
      </c>
      <c r="W267" s="101">
        <f t="shared" si="86"/>
        <v>-2.5224341139571216</v>
      </c>
      <c r="X267" s="101">
        <f t="shared" si="87"/>
        <v>0.34752595581388446</v>
      </c>
      <c r="Y267" s="101">
        <f t="shared" si="88"/>
        <v>-0.75596607847693997</v>
      </c>
      <c r="Z267" s="101">
        <f t="shared" si="89"/>
        <v>2.2384814793206393</v>
      </c>
      <c r="AQ267" s="101">
        <v>-2.0182323119030912</v>
      </c>
      <c r="AR267" s="101">
        <v>3.3938848838384112</v>
      </c>
      <c r="AS267" s="101">
        <v>-1.2206250988773235</v>
      </c>
      <c r="AT267" s="101">
        <v>-0.88078567590366608</v>
      </c>
      <c r="AU267" s="101">
        <v>-0.70884475517077272</v>
      </c>
      <c r="AV267" s="101">
        <v>0.27001170653415341</v>
      </c>
      <c r="AW267" s="101">
        <v>-0.38951532928026267</v>
      </c>
      <c r="AX267" s="101">
        <v>-0.6432491561201874</v>
      </c>
      <c r="AY267" s="101">
        <v>-0.24314113732313547</v>
      </c>
      <c r="AZ267" s="101">
        <v>-0.22094263904095385</v>
      </c>
      <c r="BA267" s="101">
        <v>0.29374729509310282</v>
      </c>
      <c r="BB267" s="101">
        <v>5.8223391343028563E-2</v>
      </c>
    </row>
    <row r="268" spans="2:54">
      <c r="B268">
        <v>0.52014000000000005</v>
      </c>
      <c r="C268">
        <v>3.97</v>
      </c>
      <c r="D268">
        <v>0.64700000000000002</v>
      </c>
      <c r="E268">
        <v>8.3979999999999997</v>
      </c>
      <c r="F268">
        <v>91.5</v>
      </c>
      <c r="G268">
        <v>2.2885</v>
      </c>
      <c r="H268">
        <v>5</v>
      </c>
      <c r="I268">
        <v>264</v>
      </c>
      <c r="J268">
        <v>13</v>
      </c>
      <c r="K268">
        <v>386.86</v>
      </c>
      <c r="L268">
        <v>5.91</v>
      </c>
      <c r="M268">
        <v>48.8</v>
      </c>
      <c r="O268" s="101">
        <f t="shared" si="78"/>
        <v>-0.35998704426643924</v>
      </c>
      <c r="P268" s="101">
        <f t="shared" si="79"/>
        <v>-1.0456999849822333</v>
      </c>
      <c r="Q268" s="101">
        <f t="shared" si="80"/>
        <v>0.79736054430885439</v>
      </c>
      <c r="R268" s="101">
        <f t="shared" si="81"/>
        <v>3.010824655840878</v>
      </c>
      <c r="S268" s="101">
        <f t="shared" si="82"/>
        <v>0.81522962419570022</v>
      </c>
      <c r="T268" s="101">
        <f t="shared" si="83"/>
        <v>-0.71616389996044738</v>
      </c>
      <c r="U268" s="101">
        <f t="shared" si="84"/>
        <v>-0.52300144620353584</v>
      </c>
      <c r="V268" s="101">
        <f t="shared" si="85"/>
        <v>-0.85666526143111454</v>
      </c>
      <c r="W268" s="101">
        <f t="shared" si="86"/>
        <v>-2.5224341139571216</v>
      </c>
      <c r="X268" s="101">
        <f t="shared" si="87"/>
        <v>0.33096977469340999</v>
      </c>
      <c r="Y268" s="101">
        <f t="shared" si="88"/>
        <v>-0.94520068603077945</v>
      </c>
      <c r="Z268" s="101">
        <f t="shared" si="89"/>
        <v>2.8588551011767547</v>
      </c>
      <c r="AQ268" s="101">
        <v>-2.5067216073206056</v>
      </c>
      <c r="AR268" s="101">
        <v>4.434424670038025</v>
      </c>
      <c r="AS268" s="101">
        <v>-0.84386413832873641</v>
      </c>
      <c r="AT268" s="101">
        <v>-0.65681536505928373</v>
      </c>
      <c r="AU268" s="101">
        <v>-0.49078544180533717</v>
      </c>
      <c r="AV268" s="101">
        <v>0.5914203766901398</v>
      </c>
      <c r="AW268" s="101">
        <v>-0.73641546946262393</v>
      </c>
      <c r="AX268" s="101">
        <v>-0.30438206144112767</v>
      </c>
      <c r="AY268" s="101">
        <v>-1.3315273600241984E-2</v>
      </c>
      <c r="AZ268" s="101">
        <v>-0.28891332427899408</v>
      </c>
      <c r="BA268" s="101">
        <v>0.48328845270750431</v>
      </c>
      <c r="BB268" s="101">
        <v>0.11570091237681043</v>
      </c>
    </row>
    <row r="269" spans="2:54">
      <c r="B269">
        <v>0.82525999999999999</v>
      </c>
      <c r="C269">
        <v>3.97</v>
      </c>
      <c r="D269">
        <v>0.64700000000000002</v>
      </c>
      <c r="E269">
        <v>7.327</v>
      </c>
      <c r="F269">
        <v>94.5</v>
      </c>
      <c r="G269">
        <v>2.0788000000000002</v>
      </c>
      <c r="H269">
        <v>5</v>
      </c>
      <c r="I269">
        <v>264</v>
      </c>
      <c r="J269">
        <v>13</v>
      </c>
      <c r="K269">
        <v>393.42</v>
      </c>
      <c r="L269">
        <v>11.25</v>
      </c>
      <c r="M269">
        <v>31</v>
      </c>
      <c r="O269" s="101">
        <f t="shared" si="78"/>
        <v>-0.3244792435325361</v>
      </c>
      <c r="P269" s="101">
        <f t="shared" si="79"/>
        <v>-1.0456999849822333</v>
      </c>
      <c r="Q269" s="101">
        <f t="shared" si="80"/>
        <v>0.79736054430885439</v>
      </c>
      <c r="R269" s="101">
        <f t="shared" si="81"/>
        <v>1.4850152137326045</v>
      </c>
      <c r="S269" s="101">
        <f t="shared" si="82"/>
        <v>0.92191133982996842</v>
      </c>
      <c r="T269" s="101">
        <f t="shared" si="83"/>
        <v>-0.81584880835576967</v>
      </c>
      <c r="U269" s="101">
        <f t="shared" si="84"/>
        <v>-0.52300144620353584</v>
      </c>
      <c r="V269" s="101">
        <f t="shared" si="85"/>
        <v>-0.85666526143111454</v>
      </c>
      <c r="W269" s="101">
        <f t="shared" si="86"/>
        <v>-2.5224341139571216</v>
      </c>
      <c r="X269" s="101">
        <f t="shared" si="87"/>
        <v>0.40289596552143186</v>
      </c>
      <c r="Y269" s="101">
        <f t="shared" si="88"/>
        <v>-0.19667268281781408</v>
      </c>
      <c r="Z269" s="101">
        <f t="shared" si="89"/>
        <v>0.92154800134537618</v>
      </c>
      <c r="AQ269" s="101">
        <v>-1.3566504953973835</v>
      </c>
      <c r="AR269" s="101">
        <v>2.5007687781106598</v>
      </c>
      <c r="AS269" s="101">
        <v>-1.5443472292158613</v>
      </c>
      <c r="AT269" s="101">
        <v>-1.1575326389203675</v>
      </c>
      <c r="AU269" s="101">
        <v>-0.82921043363163438</v>
      </c>
      <c r="AV269" s="101">
        <v>0.41998109701978498</v>
      </c>
      <c r="AW269" s="101">
        <v>-0.86738427585473366</v>
      </c>
      <c r="AX269" s="101">
        <v>-0.27822086844502314</v>
      </c>
      <c r="AY269" s="101">
        <v>-0.46279732239180227</v>
      </c>
      <c r="AZ269" s="101">
        <v>-0.45999093828291093</v>
      </c>
      <c r="BA269" s="101">
        <v>-0.17905256364161526</v>
      </c>
      <c r="BB269" s="101">
        <v>-6.9931069221421449E-2</v>
      </c>
    </row>
    <row r="270" spans="2:54">
      <c r="B270">
        <v>0.55006999999999995</v>
      </c>
      <c r="C270">
        <v>3.97</v>
      </c>
      <c r="D270">
        <v>0.64700000000000002</v>
      </c>
      <c r="E270">
        <v>7.2060000000000004</v>
      </c>
      <c r="F270">
        <v>91.6</v>
      </c>
      <c r="G270">
        <v>1.9300999999999999</v>
      </c>
      <c r="H270">
        <v>5</v>
      </c>
      <c r="I270">
        <v>264</v>
      </c>
      <c r="J270">
        <v>13</v>
      </c>
      <c r="K270">
        <v>387.89</v>
      </c>
      <c r="L270">
        <v>8.1</v>
      </c>
      <c r="M270">
        <v>36.5</v>
      </c>
      <c r="O270" s="101">
        <f t="shared" si="78"/>
        <v>-0.35650399341442784</v>
      </c>
      <c r="P270" s="101">
        <f t="shared" si="79"/>
        <v>-1.0456999849822333</v>
      </c>
      <c r="Q270" s="101">
        <f t="shared" si="80"/>
        <v>0.79736054430885439</v>
      </c>
      <c r="R270" s="101">
        <f t="shared" si="81"/>
        <v>1.3126315139239206</v>
      </c>
      <c r="S270" s="101">
        <f t="shared" si="82"/>
        <v>0.81878568138350893</v>
      </c>
      <c r="T270" s="101">
        <f t="shared" si="83"/>
        <v>-0.88653619928750282</v>
      </c>
      <c r="U270" s="101">
        <f t="shared" si="84"/>
        <v>-0.52300144620353584</v>
      </c>
      <c r="V270" s="101">
        <f t="shared" si="85"/>
        <v>-0.85666526143111454</v>
      </c>
      <c r="W270" s="101">
        <f t="shared" si="86"/>
        <v>-2.5224341139571216</v>
      </c>
      <c r="X270" s="101">
        <f t="shared" si="87"/>
        <v>0.34226306380207777</v>
      </c>
      <c r="Y270" s="101">
        <f t="shared" si="88"/>
        <v>-0.6382201004434398</v>
      </c>
      <c r="Z270" s="101">
        <f t="shared" si="89"/>
        <v>1.5201541276977686</v>
      </c>
      <c r="AQ270" s="101">
        <v>-1.6340833188570891</v>
      </c>
      <c r="AR270" s="101">
        <v>2.8140401662709396</v>
      </c>
      <c r="AS270" s="101">
        <v>-1.4474785711843774</v>
      </c>
      <c r="AT270" s="101">
        <v>-1.0356059316775532</v>
      </c>
      <c r="AU270" s="101">
        <v>-0.7658771643340162</v>
      </c>
      <c r="AV270" s="101">
        <v>0.24345903406161304</v>
      </c>
      <c r="AW270" s="101">
        <v>-0.41003254753010054</v>
      </c>
      <c r="AX270" s="101">
        <v>-0.58924847274560166</v>
      </c>
      <c r="AY270" s="101">
        <v>-0.50022414801083681</v>
      </c>
      <c r="AZ270" s="101">
        <v>-0.2676461173971168</v>
      </c>
      <c r="BA270" s="101">
        <v>-3.0099729055605873E-2</v>
      </c>
      <c r="BB270" s="101">
        <v>-2.1750726527100361E-2</v>
      </c>
    </row>
    <row r="271" spans="2:54">
      <c r="B271">
        <v>0.76161999999999996</v>
      </c>
      <c r="C271">
        <v>3.97</v>
      </c>
      <c r="D271">
        <v>0.64700000000000002</v>
      </c>
      <c r="E271">
        <v>5.56</v>
      </c>
      <c r="F271">
        <v>62.8</v>
      </c>
      <c r="G271">
        <v>1.9864999999999999</v>
      </c>
      <c r="H271">
        <v>5</v>
      </c>
      <c r="I271">
        <v>264</v>
      </c>
      <c r="J271">
        <v>13</v>
      </c>
      <c r="K271">
        <v>392.4</v>
      </c>
      <c r="L271">
        <v>10.45</v>
      </c>
      <c r="M271">
        <v>22.8</v>
      </c>
      <c r="O271" s="101">
        <f t="shared" si="78"/>
        <v>-0.33188523605582398</v>
      </c>
      <c r="P271" s="101">
        <f t="shared" si="79"/>
        <v>-1.0456999849822333</v>
      </c>
      <c r="Q271" s="101">
        <f t="shared" si="80"/>
        <v>0.79736054430885439</v>
      </c>
      <c r="R271" s="101">
        <f t="shared" si="81"/>
        <v>-1.0323566669446322</v>
      </c>
      <c r="S271" s="101">
        <f t="shared" si="82"/>
        <v>-0.20535878870546581</v>
      </c>
      <c r="T271" s="101">
        <f t="shared" si="83"/>
        <v>-0.85972537986215147</v>
      </c>
      <c r="U271" s="101">
        <f t="shared" si="84"/>
        <v>-0.52300144620353584</v>
      </c>
      <c r="V271" s="101">
        <f t="shared" si="85"/>
        <v>-0.85666526143111454</v>
      </c>
      <c r="W271" s="101">
        <f t="shared" si="86"/>
        <v>-2.5224341139571216</v>
      </c>
      <c r="X271" s="101">
        <f t="shared" si="87"/>
        <v>0.39171231999634265</v>
      </c>
      <c r="Y271" s="101">
        <f t="shared" si="88"/>
        <v>-0.30881170951638576</v>
      </c>
      <c r="Z271" s="101">
        <f t="shared" si="89"/>
        <v>2.9080685692718548E-2</v>
      </c>
      <c r="AQ271" s="101">
        <v>-0.94606111042574836</v>
      </c>
      <c r="AR271" s="101">
        <v>0.45731658469038294</v>
      </c>
      <c r="AS271" s="101">
        <v>-1.7953630340629341</v>
      </c>
      <c r="AT271" s="101">
        <v>-1.550806107093162</v>
      </c>
      <c r="AU271" s="101">
        <v>-1.2574550009306105</v>
      </c>
      <c r="AV271" s="101">
        <v>-0.73938354929904448</v>
      </c>
      <c r="AW271" s="101">
        <v>0.41481675821866121</v>
      </c>
      <c r="AX271" s="101">
        <v>-0.8691355439084274</v>
      </c>
      <c r="AY271" s="101">
        <v>-0.9640987494715556</v>
      </c>
      <c r="AZ271" s="101">
        <v>-0.64229685885108168</v>
      </c>
      <c r="BA271" s="101">
        <v>-0.39202495397532322</v>
      </c>
      <c r="BB271" s="101">
        <v>-0.15048269173458909</v>
      </c>
    </row>
    <row r="272" spans="2:54">
      <c r="B272">
        <v>0.78569999999999995</v>
      </c>
      <c r="C272">
        <v>3.97</v>
      </c>
      <c r="D272">
        <v>0.64700000000000002</v>
      </c>
      <c r="E272">
        <v>7.0140000000000002</v>
      </c>
      <c r="F272">
        <v>84.6</v>
      </c>
      <c r="G272">
        <v>2.1328999999999998</v>
      </c>
      <c r="H272">
        <v>5</v>
      </c>
      <c r="I272">
        <v>264</v>
      </c>
      <c r="J272">
        <v>13</v>
      </c>
      <c r="K272">
        <v>384.07</v>
      </c>
      <c r="L272">
        <v>14.79</v>
      </c>
      <c r="M272">
        <v>30.7</v>
      </c>
      <c r="O272" s="101">
        <f t="shared" si="78"/>
        <v>-0.32908296861457992</v>
      </c>
      <c r="P272" s="101">
        <f t="shared" si="79"/>
        <v>-1.0456999849822333</v>
      </c>
      <c r="Q272" s="101">
        <f t="shared" si="80"/>
        <v>0.79736054430885439</v>
      </c>
      <c r="R272" s="101">
        <f t="shared" si="81"/>
        <v>1.0390970481117927</v>
      </c>
      <c r="S272" s="101">
        <f t="shared" si="82"/>
        <v>0.56986167823688316</v>
      </c>
      <c r="T272" s="101">
        <f t="shared" si="83"/>
        <v>-0.79013133794953738</v>
      </c>
      <c r="U272" s="101">
        <f t="shared" si="84"/>
        <v>-0.52300144620353584</v>
      </c>
      <c r="V272" s="101">
        <f t="shared" si="85"/>
        <v>-0.85666526143111454</v>
      </c>
      <c r="W272" s="101">
        <f t="shared" si="86"/>
        <v>-2.5224341139571216</v>
      </c>
      <c r="X272" s="101">
        <f t="shared" si="87"/>
        <v>0.30037921487478464</v>
      </c>
      <c r="Y272" s="101">
        <f t="shared" si="88"/>
        <v>0.29954251032336515</v>
      </c>
      <c r="Z272" s="101">
        <f t="shared" si="89"/>
        <v>0.88889675808979107</v>
      </c>
      <c r="AQ272" s="101">
        <v>-1.1875107970920613</v>
      </c>
      <c r="AR272" s="101">
        <v>2.0352274527442287</v>
      </c>
      <c r="AS272" s="101">
        <v>-1.5827914053432803</v>
      </c>
      <c r="AT272" s="101">
        <v>-1.3925940674777479</v>
      </c>
      <c r="AU272" s="101">
        <v>-0.91933221110284147</v>
      </c>
      <c r="AV272" s="101">
        <v>0.2163060412365401</v>
      </c>
      <c r="AW272" s="101">
        <v>-0.76108521851200517</v>
      </c>
      <c r="AX272" s="101">
        <v>-0.45783775759458384</v>
      </c>
      <c r="AY272" s="101">
        <v>-0.16151382126133379</v>
      </c>
      <c r="AZ272" s="101">
        <v>-0.7084861765266135</v>
      </c>
      <c r="BA272" s="101">
        <v>-9.3628259196160135E-4</v>
      </c>
      <c r="BB272" s="101">
        <v>-2.7659928954118146E-2</v>
      </c>
    </row>
    <row r="273" spans="2:54">
      <c r="B273">
        <v>0.57833999999999997</v>
      </c>
      <c r="C273">
        <v>3.97</v>
      </c>
      <c r="D273">
        <v>0.57499999999999996</v>
      </c>
      <c r="E273">
        <v>8.2970000000000006</v>
      </c>
      <c r="F273">
        <v>67</v>
      </c>
      <c r="G273">
        <v>2.4216000000000002</v>
      </c>
      <c r="H273">
        <v>5</v>
      </c>
      <c r="I273">
        <v>264</v>
      </c>
      <c r="J273">
        <v>13</v>
      </c>
      <c r="K273">
        <v>384.54</v>
      </c>
      <c r="L273">
        <v>7.44</v>
      </c>
      <c r="M273">
        <v>50</v>
      </c>
      <c r="O273" s="101">
        <f t="shared" si="78"/>
        <v>-0.35321412212854875</v>
      </c>
      <c r="P273" s="101">
        <f t="shared" si="79"/>
        <v>-1.0456999849822333</v>
      </c>
      <c r="Q273" s="101">
        <f t="shared" si="80"/>
        <v>0.17540077977473148</v>
      </c>
      <c r="R273" s="101">
        <f t="shared" si="81"/>
        <v>2.8669341295542914</v>
      </c>
      <c r="S273" s="101">
        <f t="shared" si="82"/>
        <v>-5.6004386817490211E-2</v>
      </c>
      <c r="T273" s="101">
        <f t="shared" si="83"/>
        <v>-0.65289226759317309</v>
      </c>
      <c r="U273" s="101">
        <f t="shared" si="84"/>
        <v>-0.52300144620353584</v>
      </c>
      <c r="V273" s="101">
        <f t="shared" si="85"/>
        <v>-0.85666526143111454</v>
      </c>
      <c r="W273" s="101">
        <f t="shared" si="86"/>
        <v>-2.5224341139571216</v>
      </c>
      <c r="X273" s="101">
        <f t="shared" si="87"/>
        <v>0.30553246330301209</v>
      </c>
      <c r="Y273" s="101">
        <f t="shared" si="88"/>
        <v>-0.73073479746976122</v>
      </c>
      <c r="Z273" s="101">
        <f t="shared" si="89"/>
        <v>2.9894600741990951</v>
      </c>
      <c r="AQ273" s="101">
        <v>-2.9232344381463218</v>
      </c>
      <c r="AR273" s="101">
        <v>3.9953189547953798</v>
      </c>
      <c r="AS273" s="101">
        <v>-0.42205268723634037</v>
      </c>
      <c r="AT273" s="101">
        <v>-0.72426581667595702</v>
      </c>
      <c r="AU273" s="101">
        <v>-0.57530969450264713</v>
      </c>
      <c r="AV273" s="101">
        <v>0.33126331588738489</v>
      </c>
      <c r="AW273" s="101">
        <v>-0.4241609728503819</v>
      </c>
      <c r="AX273" s="101">
        <v>-0.34624850533268159</v>
      </c>
      <c r="AY273" s="101">
        <v>0.59353744513178097</v>
      </c>
      <c r="AZ273" s="101">
        <v>-0.63634918842869159</v>
      </c>
      <c r="BA273" s="101">
        <v>0.33332279793626785</v>
      </c>
      <c r="BB273" s="101">
        <v>0.11222337213594957</v>
      </c>
    </row>
    <row r="274" spans="2:54">
      <c r="B274">
        <v>0.54049999999999998</v>
      </c>
      <c r="C274">
        <v>3.97</v>
      </c>
      <c r="D274">
        <v>0.57499999999999996</v>
      </c>
      <c r="E274">
        <v>7.47</v>
      </c>
      <c r="F274">
        <v>52.6</v>
      </c>
      <c r="G274">
        <v>2.8719999999999999</v>
      </c>
      <c r="H274">
        <v>5</v>
      </c>
      <c r="I274">
        <v>264</v>
      </c>
      <c r="J274">
        <v>13</v>
      </c>
      <c r="K274">
        <v>390.3</v>
      </c>
      <c r="L274">
        <v>3.16</v>
      </c>
      <c r="M274">
        <v>43.5</v>
      </c>
      <c r="O274" s="101">
        <f t="shared" si="78"/>
        <v>-0.35761768525050364</v>
      </c>
      <c r="P274" s="101">
        <f t="shared" si="79"/>
        <v>-1.0456999849822333</v>
      </c>
      <c r="Q274" s="101">
        <f t="shared" si="80"/>
        <v>0.17540077977473148</v>
      </c>
      <c r="R274" s="101">
        <f t="shared" si="81"/>
        <v>1.6887414044155951</v>
      </c>
      <c r="S274" s="101">
        <f t="shared" si="82"/>
        <v>-0.5680766218619776</v>
      </c>
      <c r="T274" s="101">
        <f t="shared" si="83"/>
        <v>-0.43878600750136021</v>
      </c>
      <c r="U274" s="101">
        <f t="shared" si="84"/>
        <v>-0.52300144620353584</v>
      </c>
      <c r="V274" s="101">
        <f t="shared" si="85"/>
        <v>-0.85666526143111454</v>
      </c>
      <c r="W274" s="101">
        <f t="shared" si="86"/>
        <v>-2.5224341139571216</v>
      </c>
      <c r="X274" s="101">
        <f t="shared" si="87"/>
        <v>0.36868716744468971</v>
      </c>
      <c r="Y274" s="101">
        <f t="shared" si="88"/>
        <v>-1.3306785903071194</v>
      </c>
      <c r="Z274" s="101">
        <f t="shared" si="89"/>
        <v>2.2820164703280863</v>
      </c>
      <c r="AQ274" s="101">
        <v>-2.9071043019489271</v>
      </c>
      <c r="AR274" s="101">
        <v>2.9508502389343532</v>
      </c>
      <c r="AS274" s="101">
        <v>-0.4070552622309821</v>
      </c>
      <c r="AT274" s="101">
        <v>-0.81516834704288677</v>
      </c>
      <c r="AU274" s="101">
        <v>-0.75807544052807208</v>
      </c>
      <c r="AV274" s="101">
        <v>-0.31758603150417236</v>
      </c>
      <c r="AW274" s="101">
        <v>0.20918640852627324</v>
      </c>
      <c r="AX274" s="101">
        <v>-0.39416879709146357</v>
      </c>
      <c r="AY274" s="101">
        <v>-0.1075436135340162</v>
      </c>
      <c r="AZ274" s="101">
        <v>-0.47304968675107623</v>
      </c>
      <c r="BA274" s="101">
        <v>6.7301420284699986E-2</v>
      </c>
      <c r="BB274" s="101">
        <v>-6.8077162981267647E-3</v>
      </c>
    </row>
    <row r="275" spans="2:54">
      <c r="B275">
        <v>9.0649999999999994E-2</v>
      </c>
      <c r="C275">
        <v>6.96</v>
      </c>
      <c r="D275">
        <v>0.46400000000000002</v>
      </c>
      <c r="E275">
        <v>5.92</v>
      </c>
      <c r="F275">
        <v>61.5</v>
      </c>
      <c r="G275">
        <v>3.9175</v>
      </c>
      <c r="H275">
        <v>3</v>
      </c>
      <c r="I275">
        <v>223</v>
      </c>
      <c r="J275">
        <v>18.600000000000001</v>
      </c>
      <c r="K275">
        <v>391.34</v>
      </c>
      <c r="L275">
        <v>13.65</v>
      </c>
      <c r="M275">
        <v>20.7</v>
      </c>
      <c r="O275" s="101">
        <f t="shared" si="78"/>
        <v>-0.4099681839400236</v>
      </c>
      <c r="P275" s="101">
        <f t="shared" si="79"/>
        <v>-0.60943104113476654</v>
      </c>
      <c r="Q275" s="101">
        <f t="shared" si="80"/>
        <v>-0.78345385721537331</v>
      </c>
      <c r="R275" s="101">
        <f t="shared" si="81"/>
        <v>-0.51947954354689263</v>
      </c>
      <c r="S275" s="101">
        <f t="shared" si="82"/>
        <v>-0.25158753214698193</v>
      </c>
      <c r="T275" s="101">
        <f t="shared" si="83"/>
        <v>5.8212427059009531E-2</v>
      </c>
      <c r="U275" s="101">
        <f t="shared" si="84"/>
        <v>-0.75292215148502073</v>
      </c>
      <c r="V275" s="101">
        <f t="shared" si="85"/>
        <v>-1.1001758598314475</v>
      </c>
      <c r="W275" s="101">
        <f t="shared" si="86"/>
        <v>6.6795846306914944E-2</v>
      </c>
      <c r="X275" s="101">
        <f t="shared" si="87"/>
        <v>0.38009010013693667</v>
      </c>
      <c r="Y275" s="101">
        <f t="shared" si="88"/>
        <v>0.13974439727790078</v>
      </c>
      <c r="Z275" s="101">
        <f t="shared" si="89"/>
        <v>-0.19947801709637689</v>
      </c>
      <c r="AQ275" s="101">
        <v>-1.1386989868976498</v>
      </c>
      <c r="AR275" s="101">
        <v>-1.0632528111717976</v>
      </c>
      <c r="AS275" s="101">
        <v>-0.68448955750821816</v>
      </c>
      <c r="AT275" s="101">
        <v>-9.8968686273546741E-2</v>
      </c>
      <c r="AU275" s="101">
        <v>4.4736280389441226E-2</v>
      </c>
      <c r="AV275" s="101">
        <v>0.54456693812877899</v>
      </c>
      <c r="AW275" s="101">
        <v>0.23136395428407538</v>
      </c>
      <c r="AX275" s="101">
        <v>-0.27313836565797794</v>
      </c>
      <c r="AY275" s="101">
        <v>0.13322236306504864</v>
      </c>
      <c r="AZ275" s="101">
        <v>-0.2042701044790014</v>
      </c>
      <c r="BA275" s="101">
        <v>-0.17616170695044753</v>
      </c>
      <c r="BB275" s="101">
        <v>-0.22955266317641126</v>
      </c>
    </row>
    <row r="276" spans="2:54">
      <c r="B276">
        <v>0.29915999999999998</v>
      </c>
      <c r="C276">
        <v>6.96</v>
      </c>
      <c r="D276">
        <v>0.46400000000000002</v>
      </c>
      <c r="E276">
        <v>5.8559999999999999</v>
      </c>
      <c r="F276">
        <v>42.1</v>
      </c>
      <c r="G276">
        <v>4.4290000000000003</v>
      </c>
      <c r="H276">
        <v>3</v>
      </c>
      <c r="I276">
        <v>223</v>
      </c>
      <c r="J276">
        <v>18.600000000000001</v>
      </c>
      <c r="K276">
        <v>388.65</v>
      </c>
      <c r="L276">
        <v>13</v>
      </c>
      <c r="M276">
        <v>21.1</v>
      </c>
      <c r="O276" s="101">
        <f t="shared" si="78"/>
        <v>-0.38570320120855356</v>
      </c>
      <c r="P276" s="101">
        <f t="shared" si="79"/>
        <v>-0.60943104113476654</v>
      </c>
      <c r="Q276" s="101">
        <f t="shared" si="80"/>
        <v>-0.78345385721537331</v>
      </c>
      <c r="R276" s="101">
        <f t="shared" si="81"/>
        <v>-0.6106576988176019</v>
      </c>
      <c r="S276" s="101">
        <f t="shared" si="82"/>
        <v>-0.94146262658191637</v>
      </c>
      <c r="T276" s="101">
        <f t="shared" si="83"/>
        <v>0.30136374152828665</v>
      </c>
      <c r="U276" s="101">
        <f t="shared" si="84"/>
        <v>-0.75292215148502073</v>
      </c>
      <c r="V276" s="101">
        <f t="shared" si="85"/>
        <v>-1.1001758598314475</v>
      </c>
      <c r="W276" s="101">
        <f t="shared" si="86"/>
        <v>6.6795846306914944E-2</v>
      </c>
      <c r="X276" s="101">
        <f t="shared" si="87"/>
        <v>0.35059597615410459</v>
      </c>
      <c r="Y276" s="101">
        <f t="shared" si="88"/>
        <v>4.8631438085311299E-2</v>
      </c>
      <c r="Z276" s="101">
        <f t="shared" si="89"/>
        <v>-0.15594302608892993</v>
      </c>
      <c r="AQ276" s="101">
        <v>-1.4273753518708043</v>
      </c>
      <c r="AR276" s="101">
        <v>-1.3016063545765055</v>
      </c>
      <c r="AS276" s="101">
        <v>-0.34363289332281294</v>
      </c>
      <c r="AT276" s="101">
        <v>-0.16797306580381921</v>
      </c>
      <c r="AU276" s="101">
        <v>-1.872385690973654E-2</v>
      </c>
      <c r="AV276" s="101">
        <v>0.18261737491229738</v>
      </c>
      <c r="AW276" s="101">
        <v>0.46659885372346166</v>
      </c>
      <c r="AX276" s="101">
        <v>-0.14163399356926262</v>
      </c>
      <c r="AY276" s="101">
        <v>0.16742963050672277</v>
      </c>
      <c r="AZ276" s="101">
        <v>-0.43794424962258671</v>
      </c>
      <c r="BA276" s="101">
        <v>-2.1575983613068839E-3</v>
      </c>
      <c r="BB276" s="101">
        <v>-0.21495157738341453</v>
      </c>
    </row>
    <row r="277" spans="2:54">
      <c r="B277">
        <v>0.16211</v>
      </c>
      <c r="C277">
        <v>6.96</v>
      </c>
      <c r="D277">
        <v>0.46400000000000002</v>
      </c>
      <c r="E277">
        <v>6.24</v>
      </c>
      <c r="F277">
        <v>16.3</v>
      </c>
      <c r="G277">
        <v>4.4290000000000003</v>
      </c>
      <c r="H277">
        <v>3</v>
      </c>
      <c r="I277">
        <v>223</v>
      </c>
      <c r="J277">
        <v>18.600000000000001</v>
      </c>
      <c r="K277">
        <v>396.9</v>
      </c>
      <c r="L277">
        <v>6.59</v>
      </c>
      <c r="M277">
        <v>25.2</v>
      </c>
      <c r="O277" s="101">
        <f t="shared" si="78"/>
        <v>-0.40165215273772703</v>
      </c>
      <c r="P277" s="101">
        <f t="shared" si="79"/>
        <v>-0.60943104113476654</v>
      </c>
      <c r="Q277" s="101">
        <f t="shared" si="80"/>
        <v>-0.78345385721537331</v>
      </c>
      <c r="R277" s="101">
        <f t="shared" si="81"/>
        <v>-6.3588767193346343E-2</v>
      </c>
      <c r="S277" s="101">
        <f t="shared" si="82"/>
        <v>-1.8589253810366233</v>
      </c>
      <c r="T277" s="101">
        <f t="shared" si="83"/>
        <v>0.30136374152828665</v>
      </c>
      <c r="U277" s="101">
        <f t="shared" si="84"/>
        <v>-0.75292215148502073</v>
      </c>
      <c r="V277" s="101">
        <f t="shared" si="85"/>
        <v>-1.1001758598314475</v>
      </c>
      <c r="W277" s="101">
        <f t="shared" si="86"/>
        <v>6.6795846306914944E-2</v>
      </c>
      <c r="X277" s="101">
        <f t="shared" si="87"/>
        <v>0.44105193260702835</v>
      </c>
      <c r="Y277" s="101">
        <f t="shared" si="88"/>
        <v>-0.84988251333699361</v>
      </c>
      <c r="Z277" s="101">
        <f t="shared" si="89"/>
        <v>0.29029063173739872</v>
      </c>
      <c r="AQ277" s="101">
        <v>-2.2520344755218398</v>
      </c>
      <c r="AR277" s="101">
        <v>-0.76693224407211336</v>
      </c>
      <c r="AS277" s="101">
        <v>0.28117311497874209</v>
      </c>
      <c r="AT277" s="101">
        <v>0.13868192982725702</v>
      </c>
      <c r="AU277" s="101">
        <v>5.905436704931577E-2</v>
      </c>
      <c r="AV277" s="101">
        <v>-0.20264956624742311</v>
      </c>
      <c r="AW277" s="101">
        <v>1.0039709118062561</v>
      </c>
      <c r="AX277" s="101">
        <v>0.18671592962899328</v>
      </c>
      <c r="AY277" s="101">
        <v>-4.1796208915033106E-2</v>
      </c>
      <c r="AZ277" s="101">
        <v>-0.76945356402217269</v>
      </c>
      <c r="BA277" s="101">
        <v>2.2210777400460097E-2</v>
      </c>
      <c r="BB277" s="101">
        <v>-0.20006211692607243</v>
      </c>
    </row>
    <row r="278" spans="2:54">
      <c r="B278">
        <v>0.11459999999999999</v>
      </c>
      <c r="C278">
        <v>6.96</v>
      </c>
      <c r="D278">
        <v>0.46400000000000002</v>
      </c>
      <c r="E278">
        <v>6.5380000000000003</v>
      </c>
      <c r="F278">
        <v>58.7</v>
      </c>
      <c r="G278">
        <v>3.9175</v>
      </c>
      <c r="H278">
        <v>3</v>
      </c>
      <c r="I278">
        <v>223</v>
      </c>
      <c r="J278">
        <v>18.600000000000001</v>
      </c>
      <c r="K278">
        <v>394.96</v>
      </c>
      <c r="L278">
        <v>7.73</v>
      </c>
      <c r="M278">
        <v>24.4</v>
      </c>
      <c r="O278" s="101">
        <f t="shared" si="78"/>
        <v>-0.40718104501901886</v>
      </c>
      <c r="P278" s="101">
        <f t="shared" si="79"/>
        <v>-0.60943104113476654</v>
      </c>
      <c r="Q278" s="101">
        <f t="shared" si="80"/>
        <v>-0.78345385721537331</v>
      </c>
      <c r="R278" s="101">
        <f t="shared" si="81"/>
        <v>0.36095951828589329</v>
      </c>
      <c r="S278" s="101">
        <f t="shared" si="82"/>
        <v>-0.3511571334056322</v>
      </c>
      <c r="T278" s="101">
        <f t="shared" si="83"/>
        <v>5.8212427059009531E-2</v>
      </c>
      <c r="U278" s="101">
        <f t="shared" si="84"/>
        <v>-0.75292215148502073</v>
      </c>
      <c r="V278" s="101">
        <f t="shared" si="85"/>
        <v>-1.1001758598314475</v>
      </c>
      <c r="W278" s="101">
        <f t="shared" si="86"/>
        <v>6.6795846306914944E-2</v>
      </c>
      <c r="X278" s="101">
        <f t="shared" si="87"/>
        <v>0.41978107739264386</v>
      </c>
      <c r="Y278" s="101">
        <f t="shared" si="88"/>
        <v>-0.69008440029152907</v>
      </c>
      <c r="Z278" s="101">
        <f t="shared" si="89"/>
        <v>0.2032206497225052</v>
      </c>
      <c r="AQ278" s="101">
        <v>-1.7383672951308475</v>
      </c>
      <c r="AR278" s="101">
        <v>-0.19560295594696975</v>
      </c>
      <c r="AS278" s="101">
        <v>-0.26399533350769033</v>
      </c>
      <c r="AT278" s="101">
        <v>0.22457279924673149</v>
      </c>
      <c r="AU278" s="101">
        <v>0.23944013039766004</v>
      </c>
      <c r="AV278" s="101">
        <v>0.6197634456203559</v>
      </c>
      <c r="AW278" s="101">
        <v>0.32194429909550876</v>
      </c>
      <c r="AX278" s="101">
        <v>6.6595080836156825E-2</v>
      </c>
      <c r="AY278" s="101">
        <v>-0.12951039969048611</v>
      </c>
      <c r="AZ278" s="101">
        <v>-0.14945145545290739</v>
      </c>
      <c r="BA278" s="101">
        <v>-0.2414338305413497</v>
      </c>
      <c r="BB278" s="101">
        <v>-0.23714512669913962</v>
      </c>
    </row>
    <row r="279" spans="2:54">
      <c r="B279">
        <v>0.22187999999999999</v>
      </c>
      <c r="C279">
        <v>6.96</v>
      </c>
      <c r="D279">
        <v>0.46400000000000002</v>
      </c>
      <c r="E279">
        <v>7.6909999999999998</v>
      </c>
      <c r="F279">
        <v>51.8</v>
      </c>
      <c r="G279">
        <v>4.3665000000000003</v>
      </c>
      <c r="H279">
        <v>3</v>
      </c>
      <c r="I279">
        <v>223</v>
      </c>
      <c r="J279">
        <v>18.600000000000001</v>
      </c>
      <c r="K279">
        <v>390.77</v>
      </c>
      <c r="L279">
        <v>6.58</v>
      </c>
      <c r="M279">
        <v>35.200000000000003</v>
      </c>
      <c r="O279" s="101">
        <f t="shared" si="78"/>
        <v>-0.39469652462463911</v>
      </c>
      <c r="P279" s="101">
        <f t="shared" si="79"/>
        <v>-0.60943104113476654</v>
      </c>
      <c r="Q279" s="101">
        <f t="shared" si="80"/>
        <v>-0.78345385721537331</v>
      </c>
      <c r="R279" s="101">
        <f t="shared" si="81"/>
        <v>2.0035909718347629</v>
      </c>
      <c r="S279" s="101">
        <f t="shared" si="82"/>
        <v>-0.59652507936444932</v>
      </c>
      <c r="T279" s="101">
        <f t="shared" si="83"/>
        <v>0.27165317035657638</v>
      </c>
      <c r="U279" s="101">
        <f t="shared" si="84"/>
        <v>-0.75292215148502073</v>
      </c>
      <c r="V279" s="101">
        <f t="shared" si="85"/>
        <v>-1.1001758598314475</v>
      </c>
      <c r="W279" s="101">
        <f t="shared" si="86"/>
        <v>6.6795846306914944E-2</v>
      </c>
      <c r="X279" s="101">
        <f t="shared" si="87"/>
        <v>0.37384041587291655</v>
      </c>
      <c r="Y279" s="101">
        <f t="shared" si="88"/>
        <v>-0.85128425117072581</v>
      </c>
      <c r="Z279" s="101">
        <f t="shared" si="89"/>
        <v>1.3786654069235671</v>
      </c>
      <c r="AQ279" s="101">
        <v>-2.5811294368726916</v>
      </c>
      <c r="AR279" s="101">
        <v>1.212551112295337</v>
      </c>
      <c r="AS279" s="101">
        <v>0.40813960131087523</v>
      </c>
      <c r="AT279" s="101">
        <v>0.50280643724934515</v>
      </c>
      <c r="AU279" s="101">
        <v>0.48327158720455909</v>
      </c>
      <c r="AV279" s="101">
        <v>0.87976605976480649</v>
      </c>
      <c r="AW279" s="101">
        <v>-2.8157175676115642E-3</v>
      </c>
      <c r="AX279" s="101">
        <v>0.43830064882522157</v>
      </c>
      <c r="AY279" s="101">
        <v>0.40927054149905684</v>
      </c>
      <c r="AZ279" s="101">
        <v>-0.35243392175664445</v>
      </c>
      <c r="BA279" s="101">
        <v>0.27946292852696042</v>
      </c>
      <c r="BB279" s="101">
        <v>-0.10265364300925572</v>
      </c>
    </row>
    <row r="280" spans="2:54">
      <c r="B280">
        <v>5.6439999999999997E-2</v>
      </c>
      <c r="C280">
        <v>6.41</v>
      </c>
      <c r="D280">
        <v>0.44700000000000001</v>
      </c>
      <c r="E280">
        <v>6.758</v>
      </c>
      <c r="F280">
        <v>32.9</v>
      </c>
      <c r="G280">
        <v>4.0776000000000003</v>
      </c>
      <c r="H280">
        <v>4</v>
      </c>
      <c r="I280">
        <v>254</v>
      </c>
      <c r="J280">
        <v>17.600000000000001</v>
      </c>
      <c r="K280">
        <v>396.9</v>
      </c>
      <c r="L280">
        <v>3.53</v>
      </c>
      <c r="M280">
        <v>32.4</v>
      </c>
      <c r="O280" s="101">
        <f t="shared" si="78"/>
        <v>-0.413949312227605</v>
      </c>
      <c r="P280" s="101">
        <f t="shared" si="79"/>
        <v>-0.68968118130737743</v>
      </c>
      <c r="Q280" s="101">
        <f t="shared" si="80"/>
        <v>-0.93030546828593008</v>
      </c>
      <c r="R280" s="101">
        <f t="shared" si="81"/>
        <v>0.67438442702895574</v>
      </c>
      <c r="S280" s="101">
        <f t="shared" si="82"/>
        <v>-1.268619887860339</v>
      </c>
      <c r="T280" s="101">
        <f t="shared" si="83"/>
        <v>0.13431902617246277</v>
      </c>
      <c r="U280" s="101">
        <f t="shared" si="84"/>
        <v>-0.63796179884427828</v>
      </c>
      <c r="V280" s="101">
        <f t="shared" si="85"/>
        <v>-0.91605809030924445</v>
      </c>
      <c r="W280" s="101">
        <f t="shared" si="86"/>
        <v>-0.39556664659737717</v>
      </c>
      <c r="X280" s="101">
        <f t="shared" si="87"/>
        <v>0.44105193260702835</v>
      </c>
      <c r="Y280" s="101">
        <f t="shared" si="88"/>
        <v>-1.2788142904590301</v>
      </c>
      <c r="Z280" s="101">
        <f t="shared" si="89"/>
        <v>1.0739204698714395</v>
      </c>
      <c r="AQ280" s="101">
        <v>-2.6113579502371942</v>
      </c>
      <c r="AR280" s="101">
        <v>0.4637215350120234</v>
      </c>
      <c r="AS280" s="101">
        <v>0.34529273542187378</v>
      </c>
      <c r="AT280" s="101">
        <v>0.2275781854345684</v>
      </c>
      <c r="AU280" s="101">
        <v>3.5276564361222972E-2</v>
      </c>
      <c r="AV280" s="101">
        <v>-2.9274479788413646E-2</v>
      </c>
      <c r="AW280" s="101">
        <v>0.77484901018815033</v>
      </c>
      <c r="AX280" s="101">
        <v>-2.3972440307372667E-2</v>
      </c>
      <c r="AY280" s="101">
        <v>6.1702359723270872E-2</v>
      </c>
      <c r="AZ280" s="101">
        <v>-0.35285180978180808</v>
      </c>
      <c r="BA280" s="101">
        <v>-0.16605985076337354</v>
      </c>
      <c r="BB280" s="101">
        <v>-0.12783570996571972</v>
      </c>
    </row>
    <row r="281" spans="2:54">
      <c r="B281">
        <v>9.604E-2</v>
      </c>
      <c r="C281">
        <v>6.41</v>
      </c>
      <c r="D281">
        <v>0.44700000000000001</v>
      </c>
      <c r="E281">
        <v>6.8540000000000001</v>
      </c>
      <c r="F281">
        <v>42.8</v>
      </c>
      <c r="G281">
        <v>4.2672999999999996</v>
      </c>
      <c r="H281">
        <v>4</v>
      </c>
      <c r="I281">
        <v>254</v>
      </c>
      <c r="J281">
        <v>17.600000000000001</v>
      </c>
      <c r="K281">
        <v>396.9</v>
      </c>
      <c r="L281">
        <v>2.98</v>
      </c>
      <c r="M281">
        <v>32</v>
      </c>
      <c r="O281" s="101">
        <f t="shared" si="78"/>
        <v>-0.40934093221625678</v>
      </c>
      <c r="P281" s="101">
        <f t="shared" si="79"/>
        <v>-0.68968118130737743</v>
      </c>
      <c r="Q281" s="101">
        <f t="shared" si="80"/>
        <v>-0.93030546828593008</v>
      </c>
      <c r="R281" s="101">
        <f t="shared" si="81"/>
        <v>0.81115165993501959</v>
      </c>
      <c r="S281" s="101">
        <f t="shared" si="82"/>
        <v>-0.91657022626725393</v>
      </c>
      <c r="T281" s="101">
        <f t="shared" si="83"/>
        <v>0.22449655179283751</v>
      </c>
      <c r="U281" s="101">
        <f t="shared" si="84"/>
        <v>-0.63796179884427828</v>
      </c>
      <c r="V281" s="101">
        <f t="shared" si="85"/>
        <v>-0.91605809030924445</v>
      </c>
      <c r="W281" s="101">
        <f t="shared" si="86"/>
        <v>-0.39556664659737717</v>
      </c>
      <c r="X281" s="101">
        <f t="shared" si="87"/>
        <v>0.44105193260702835</v>
      </c>
      <c r="Y281" s="101">
        <f t="shared" si="88"/>
        <v>-1.3559098713142979</v>
      </c>
      <c r="Z281" s="101">
        <f t="shared" si="89"/>
        <v>1.030385478863993</v>
      </c>
      <c r="AQ281" s="101">
        <v>-2.5728697299170591</v>
      </c>
      <c r="AR281" s="101">
        <v>0.58525953938084552</v>
      </c>
      <c r="AS281" s="101">
        <v>0.2937436350414222</v>
      </c>
      <c r="AT281" s="101">
        <v>0.25857653177326306</v>
      </c>
      <c r="AU281" s="101">
        <v>8.1869402909235389E-2</v>
      </c>
      <c r="AV281" s="101">
        <v>0.13312306068504048</v>
      </c>
      <c r="AW281" s="101">
        <v>0.57989348664071405</v>
      </c>
      <c r="AX281" s="101">
        <v>1.8827235782283847E-2</v>
      </c>
      <c r="AY281" s="101">
        <v>-4.1790949511532338E-2</v>
      </c>
      <c r="AZ281" s="101">
        <v>-0.11239823782866401</v>
      </c>
      <c r="BA281" s="101">
        <v>-0.20257487707300342</v>
      </c>
      <c r="BB281" s="101">
        <v>-0.15063913193726544</v>
      </c>
    </row>
    <row r="282" spans="2:54">
      <c r="B282">
        <v>0.10469000000000001</v>
      </c>
      <c r="C282">
        <v>6.41</v>
      </c>
      <c r="D282">
        <v>0.44700000000000001</v>
      </c>
      <c r="E282">
        <v>7.2670000000000003</v>
      </c>
      <c r="F282">
        <v>49</v>
      </c>
      <c r="G282">
        <v>4.7872000000000003</v>
      </c>
      <c r="H282">
        <v>4</v>
      </c>
      <c r="I282">
        <v>254</v>
      </c>
      <c r="J282">
        <v>17.600000000000001</v>
      </c>
      <c r="K282">
        <v>389.25</v>
      </c>
      <c r="L282">
        <v>6.05</v>
      </c>
      <c r="M282">
        <v>33.200000000000003</v>
      </c>
      <c r="O282" s="101">
        <f t="shared" si="78"/>
        <v>-0.40833430375418195</v>
      </c>
      <c r="P282" s="101">
        <f t="shared" si="79"/>
        <v>-0.68968118130737743</v>
      </c>
      <c r="Q282" s="101">
        <f t="shared" si="80"/>
        <v>-0.93030546828593008</v>
      </c>
      <c r="R282" s="101">
        <f t="shared" si="81"/>
        <v>1.3995356931663152</v>
      </c>
      <c r="S282" s="101">
        <f t="shared" si="82"/>
        <v>-0.69609468062309954</v>
      </c>
      <c r="T282" s="101">
        <f t="shared" si="83"/>
        <v>0.47164096702759267</v>
      </c>
      <c r="U282" s="101">
        <f t="shared" si="84"/>
        <v>-0.63796179884427828</v>
      </c>
      <c r="V282" s="101">
        <f t="shared" si="85"/>
        <v>-0.91605809030924445</v>
      </c>
      <c r="W282" s="101">
        <f t="shared" si="86"/>
        <v>-0.39556664659737717</v>
      </c>
      <c r="X282" s="101">
        <f t="shared" si="87"/>
        <v>0.35717459116886291</v>
      </c>
      <c r="Y282" s="101">
        <f t="shared" si="88"/>
        <v>-0.92557635635852953</v>
      </c>
      <c r="Z282" s="101">
        <f t="shared" si="89"/>
        <v>1.1609904518863334</v>
      </c>
      <c r="AQ282" s="101">
        <v>-2.5822163801173943</v>
      </c>
      <c r="AR282" s="101">
        <v>0.84152850133742407</v>
      </c>
      <c r="AS282" s="101">
        <v>0.38841155538300876</v>
      </c>
      <c r="AT282" s="101">
        <v>0.17376212479571185</v>
      </c>
      <c r="AU282" s="101">
        <v>0.17058329819467305</v>
      </c>
      <c r="AV282" s="101">
        <v>0.406652169667098</v>
      </c>
      <c r="AW282" s="101">
        <v>3.0669338022666193E-2</v>
      </c>
      <c r="AX282" s="101">
        <v>0.20465213161893836</v>
      </c>
      <c r="AY282" s="101">
        <v>0.29266472359339724</v>
      </c>
      <c r="AZ282" s="101">
        <v>-0.11935647202672467</v>
      </c>
      <c r="BA282" s="101">
        <v>2.3910642598721554E-2</v>
      </c>
      <c r="BB282" s="101">
        <v>-0.11630426461683274</v>
      </c>
    </row>
    <row r="283" spans="2:54">
      <c r="B283">
        <v>6.1269999999999998E-2</v>
      </c>
      <c r="C283">
        <v>6.41</v>
      </c>
      <c r="D283">
        <v>0.44700000000000001</v>
      </c>
      <c r="E283">
        <v>6.8259999999999996</v>
      </c>
      <c r="F283">
        <v>27.6</v>
      </c>
      <c r="G283">
        <v>4.8628</v>
      </c>
      <c r="H283">
        <v>4</v>
      </c>
      <c r="I283">
        <v>254</v>
      </c>
      <c r="J283">
        <v>17.600000000000001</v>
      </c>
      <c r="K283">
        <v>393.45</v>
      </c>
      <c r="L283">
        <v>4.16</v>
      </c>
      <c r="M283">
        <v>33.1</v>
      </c>
      <c r="O283" s="101">
        <f t="shared" si="78"/>
        <v>-0.41338722951409962</v>
      </c>
      <c r="P283" s="101">
        <f t="shared" si="79"/>
        <v>-0.68968118130737743</v>
      </c>
      <c r="Q283" s="101">
        <f t="shared" si="80"/>
        <v>-0.93030546828593008</v>
      </c>
      <c r="R283" s="101">
        <f t="shared" si="81"/>
        <v>0.77126121700408368</v>
      </c>
      <c r="S283" s="101">
        <f t="shared" si="82"/>
        <v>-1.4570909188142127</v>
      </c>
      <c r="T283" s="101">
        <f t="shared" si="83"/>
        <v>0.50757887391689327</v>
      </c>
      <c r="U283" s="101">
        <f t="shared" si="84"/>
        <v>-0.63796179884427828</v>
      </c>
      <c r="V283" s="101">
        <f t="shared" si="85"/>
        <v>-0.91605809030924445</v>
      </c>
      <c r="W283" s="101">
        <f t="shared" si="86"/>
        <v>-0.39556664659737717</v>
      </c>
      <c r="X283" s="101">
        <f t="shared" si="87"/>
        <v>0.40322489627216945</v>
      </c>
      <c r="Y283" s="101">
        <f t="shared" si="88"/>
        <v>-1.1905048069339048</v>
      </c>
      <c r="Z283" s="101">
        <f t="shared" si="89"/>
        <v>1.1501067041344717</v>
      </c>
      <c r="AQ283" s="101">
        <v>-2.7832033820071032</v>
      </c>
      <c r="AR283" s="101">
        <v>0.36834792013560003</v>
      </c>
      <c r="AS283" s="101">
        <v>0.5521636488111199</v>
      </c>
      <c r="AT283" s="101">
        <v>0.15616475318577622</v>
      </c>
      <c r="AU283" s="101">
        <v>2.6234772731411293E-2</v>
      </c>
      <c r="AV283" s="101">
        <v>-0.1392695460049666</v>
      </c>
      <c r="AW283" s="101">
        <v>0.63494710375251517</v>
      </c>
      <c r="AX283" s="101">
        <v>9.2746167309265215E-2</v>
      </c>
      <c r="AY283" s="101">
        <v>0.16577065247457928</v>
      </c>
      <c r="AZ283" s="101">
        <v>-0.32293863044826743</v>
      </c>
      <c r="BA283" s="101">
        <v>6.9480603495079285E-2</v>
      </c>
      <c r="BB283" s="101">
        <v>-0.11517581659618167</v>
      </c>
    </row>
    <row r="284" spans="2:54">
      <c r="B284">
        <v>7.9780000000000004E-2</v>
      </c>
      <c r="C284">
        <v>6.41</v>
      </c>
      <c r="D284">
        <v>0.44700000000000001</v>
      </c>
      <c r="E284">
        <v>6.4820000000000002</v>
      </c>
      <c r="F284">
        <v>32.1</v>
      </c>
      <c r="G284">
        <v>4.1402999999999999</v>
      </c>
      <c r="H284">
        <v>4</v>
      </c>
      <c r="I284">
        <v>254</v>
      </c>
      <c r="J284">
        <v>17.600000000000001</v>
      </c>
      <c r="K284">
        <v>396.9</v>
      </c>
      <c r="L284">
        <v>7.19</v>
      </c>
      <c r="M284">
        <v>29.1</v>
      </c>
      <c r="O284" s="101">
        <f t="shared" si="78"/>
        <v>-0.41123316097849216</v>
      </c>
      <c r="P284" s="101">
        <f t="shared" si="79"/>
        <v>-0.68968118130737743</v>
      </c>
      <c r="Q284" s="101">
        <f t="shared" si="80"/>
        <v>-0.93030546828593008</v>
      </c>
      <c r="R284" s="101">
        <f t="shared" si="81"/>
        <v>0.28117863242402269</v>
      </c>
      <c r="S284" s="101">
        <f t="shared" si="82"/>
        <v>-1.2970683453628105</v>
      </c>
      <c r="T284" s="101">
        <f t="shared" si="83"/>
        <v>0.16412467117192231</v>
      </c>
      <c r="U284" s="101">
        <f t="shared" si="84"/>
        <v>-0.63796179884427828</v>
      </c>
      <c r="V284" s="101">
        <f t="shared" si="85"/>
        <v>-0.91605809030924445</v>
      </c>
      <c r="W284" s="101">
        <f t="shared" si="86"/>
        <v>-0.39556664659737717</v>
      </c>
      <c r="X284" s="101">
        <f t="shared" si="87"/>
        <v>0.44105193260702835</v>
      </c>
      <c r="Y284" s="101">
        <f t="shared" si="88"/>
        <v>-0.76577824331306488</v>
      </c>
      <c r="Z284" s="101">
        <f t="shared" si="89"/>
        <v>0.71475679406000447</v>
      </c>
      <c r="AQ284" s="101">
        <v>-2.2813974724944299</v>
      </c>
      <c r="AR284" s="101">
        <v>-7.496932220303465E-2</v>
      </c>
      <c r="AS284" s="101">
        <v>0.15191930256403774</v>
      </c>
      <c r="AT284" s="101">
        <v>3.3939971621788217E-2</v>
      </c>
      <c r="AU284" s="101">
        <v>-8.3510809454002646E-2</v>
      </c>
      <c r="AV284" s="101">
        <v>-7.080844729146149E-2</v>
      </c>
      <c r="AW284" s="101">
        <v>0.64561813901313381</v>
      </c>
      <c r="AX284" s="101">
        <v>-8.7106528635237435E-2</v>
      </c>
      <c r="AY284" s="101">
        <v>0.20552541693105297</v>
      </c>
      <c r="AZ284" s="101">
        <v>-0.48436705061080809</v>
      </c>
      <c r="BA284" s="101">
        <v>-0.16372113536240601</v>
      </c>
      <c r="BB284" s="101">
        <v>-0.13563036417589114</v>
      </c>
    </row>
    <row r="285" spans="2:54">
      <c r="B285">
        <v>0.21038000000000001</v>
      </c>
      <c r="C285">
        <v>3.33</v>
      </c>
      <c r="D285">
        <v>0.44290000000000002</v>
      </c>
      <c r="E285">
        <v>6.8120000000000003</v>
      </c>
      <c r="F285">
        <v>32.200000000000003</v>
      </c>
      <c r="G285">
        <v>4.1006999999999998</v>
      </c>
      <c r="H285">
        <v>5</v>
      </c>
      <c r="I285">
        <v>216</v>
      </c>
      <c r="J285">
        <v>14.9</v>
      </c>
      <c r="K285">
        <v>396.9</v>
      </c>
      <c r="L285">
        <v>4.8499999999999996</v>
      </c>
      <c r="M285">
        <v>35.1</v>
      </c>
      <c r="O285" s="101">
        <f t="shared" si="78"/>
        <v>-0.39603481679965186</v>
      </c>
      <c r="P285" s="101">
        <f t="shared" si="79"/>
        <v>-1.1390819662739988</v>
      </c>
      <c r="Q285" s="101">
        <f t="shared" si="80"/>
        <v>-0.96572262154412314</v>
      </c>
      <c r="R285" s="101">
        <f t="shared" si="81"/>
        <v>0.75131599553861705</v>
      </c>
      <c r="S285" s="101">
        <f t="shared" si="82"/>
        <v>-1.2935122881750014</v>
      </c>
      <c r="T285" s="101">
        <f t="shared" si="83"/>
        <v>0.14530005327752663</v>
      </c>
      <c r="U285" s="101">
        <f t="shared" si="84"/>
        <v>-0.52300144620353584</v>
      </c>
      <c r="V285" s="101">
        <f t="shared" si="85"/>
        <v>-1.1417508400461385</v>
      </c>
      <c r="W285" s="101">
        <f t="shared" si="86"/>
        <v>-1.6439453774389663</v>
      </c>
      <c r="X285" s="101">
        <f t="shared" si="87"/>
        <v>0.44105193260702835</v>
      </c>
      <c r="Y285" s="101">
        <f t="shared" si="88"/>
        <v>-1.093784896406387</v>
      </c>
      <c r="Z285" s="101">
        <f t="shared" si="89"/>
        <v>1.3677816591717051</v>
      </c>
      <c r="AQ285" s="101">
        <v>-3.1224013855078958</v>
      </c>
      <c r="AR285" s="101">
        <v>0.93769056237319792</v>
      </c>
      <c r="AS285" s="101">
        <v>9.7371033869084536E-2</v>
      </c>
      <c r="AT285" s="101">
        <v>-0.5784136605595056</v>
      </c>
      <c r="AU285" s="101">
        <v>-0.59471379779396449</v>
      </c>
      <c r="AV285" s="101">
        <v>-0.25430338958811649</v>
      </c>
      <c r="AW285" s="101">
        <v>0.45946671387408911</v>
      </c>
      <c r="AX285" s="101">
        <v>-0.38896603694178561</v>
      </c>
      <c r="AY285" s="101">
        <v>0.17365871385849535</v>
      </c>
      <c r="AZ285" s="101">
        <v>-0.46674257377546935</v>
      </c>
      <c r="BA285" s="101">
        <v>-0.30122670740865309</v>
      </c>
      <c r="BB285" s="101">
        <v>-0.30811390589436449</v>
      </c>
    </row>
    <row r="286" spans="2:54">
      <c r="B286">
        <v>3.5779999999999999E-2</v>
      </c>
      <c r="C286">
        <v>3.33</v>
      </c>
      <c r="D286">
        <v>0.44290000000000002</v>
      </c>
      <c r="E286">
        <v>7.82</v>
      </c>
      <c r="F286">
        <v>64.5</v>
      </c>
      <c r="G286">
        <v>4.6947000000000001</v>
      </c>
      <c r="H286">
        <v>5</v>
      </c>
      <c r="I286">
        <v>216</v>
      </c>
      <c r="J286">
        <v>14.9</v>
      </c>
      <c r="K286">
        <v>387.31</v>
      </c>
      <c r="L286">
        <v>3.76</v>
      </c>
      <c r="M286">
        <v>45.4</v>
      </c>
      <c r="O286" s="101">
        <f t="shared" si="78"/>
        <v>-0.4163535832133235</v>
      </c>
      <c r="P286" s="101">
        <f t="shared" si="79"/>
        <v>-1.1390819662739988</v>
      </c>
      <c r="Q286" s="101">
        <f t="shared" si="80"/>
        <v>-0.96572262154412314</v>
      </c>
      <c r="R286" s="101">
        <f t="shared" si="81"/>
        <v>2.1873719410522865</v>
      </c>
      <c r="S286" s="101">
        <f t="shared" si="82"/>
        <v>-0.14490581651271373</v>
      </c>
      <c r="T286" s="101">
        <f t="shared" si="83"/>
        <v>0.42766932169346134</v>
      </c>
      <c r="U286" s="101">
        <f t="shared" si="84"/>
        <v>-0.52300144620353584</v>
      </c>
      <c r="V286" s="101">
        <f t="shared" si="85"/>
        <v>-1.1417508400461385</v>
      </c>
      <c r="W286" s="101">
        <f t="shared" si="86"/>
        <v>-1.6439453774389663</v>
      </c>
      <c r="X286" s="101">
        <f t="shared" si="87"/>
        <v>0.33590373595447842</v>
      </c>
      <c r="Y286" s="101">
        <f t="shared" si="88"/>
        <v>-1.2465743202831907</v>
      </c>
      <c r="Z286" s="101">
        <f t="shared" si="89"/>
        <v>2.4888076776134578</v>
      </c>
      <c r="AQ286" s="101">
        <v>-3.5036920169857044</v>
      </c>
      <c r="AR286" s="101">
        <v>2.4919933406389352</v>
      </c>
      <c r="AS286" s="101">
        <v>0.23862653975650222</v>
      </c>
      <c r="AT286" s="101">
        <v>-0.2953340499070618</v>
      </c>
      <c r="AU286" s="101">
        <v>-0.23989158174503278</v>
      </c>
      <c r="AV286" s="101">
        <v>0.50953384148270442</v>
      </c>
      <c r="AW286" s="101">
        <v>-0.30908309237807585</v>
      </c>
      <c r="AX286" s="101">
        <v>-0.35850996206859009</v>
      </c>
      <c r="AY286" s="101">
        <v>0.4880252625353701</v>
      </c>
      <c r="AZ286" s="101">
        <v>0.24649787511297577</v>
      </c>
      <c r="BA286" s="101">
        <v>0.1174617088025387</v>
      </c>
      <c r="BB286" s="101">
        <v>-0.2204142014394978</v>
      </c>
    </row>
    <row r="287" spans="2:54">
      <c r="B287">
        <v>3.705E-2</v>
      </c>
      <c r="C287">
        <v>3.33</v>
      </c>
      <c r="D287">
        <v>0.44290000000000002</v>
      </c>
      <c r="E287">
        <v>6.968</v>
      </c>
      <c r="F287">
        <v>37.200000000000003</v>
      </c>
      <c r="G287">
        <v>5.2446999999999999</v>
      </c>
      <c r="H287">
        <v>5</v>
      </c>
      <c r="I287">
        <v>216</v>
      </c>
      <c r="J287">
        <v>14.9</v>
      </c>
      <c r="K287">
        <v>392.23</v>
      </c>
      <c r="L287">
        <v>4.59</v>
      </c>
      <c r="M287">
        <v>35.4</v>
      </c>
      <c r="O287" s="101">
        <f t="shared" si="78"/>
        <v>-0.41620578920790907</v>
      </c>
      <c r="P287" s="101">
        <f t="shared" si="79"/>
        <v>-1.1390819662739988</v>
      </c>
      <c r="Q287" s="101">
        <f t="shared" si="80"/>
        <v>-0.96572262154412314</v>
      </c>
      <c r="R287" s="101">
        <f t="shared" si="81"/>
        <v>0.97356274901097017</v>
      </c>
      <c r="S287" s="101">
        <f t="shared" si="82"/>
        <v>-1.1157094287845544</v>
      </c>
      <c r="T287" s="101">
        <f t="shared" si="83"/>
        <v>0.68912234800451178</v>
      </c>
      <c r="U287" s="101">
        <f t="shared" si="84"/>
        <v>-0.52300144620353584</v>
      </c>
      <c r="V287" s="101">
        <f t="shared" si="85"/>
        <v>-1.1417508400461385</v>
      </c>
      <c r="W287" s="101">
        <f t="shared" si="86"/>
        <v>-1.6439453774389663</v>
      </c>
      <c r="X287" s="101">
        <f t="shared" si="87"/>
        <v>0.38984837907549497</v>
      </c>
      <c r="Y287" s="101">
        <f t="shared" si="88"/>
        <v>-1.1302300800834226</v>
      </c>
      <c r="Z287" s="101">
        <f t="shared" si="89"/>
        <v>1.4004329024272899</v>
      </c>
      <c r="AQ287" s="101">
        <v>-3.2920843019518204</v>
      </c>
      <c r="AR287" s="101">
        <v>0.94534514066750575</v>
      </c>
      <c r="AS287" s="101">
        <v>0.27314395509566847</v>
      </c>
      <c r="AT287" s="101">
        <v>-0.62293164663049994</v>
      </c>
      <c r="AU287" s="101">
        <v>-0.53334608853746857</v>
      </c>
      <c r="AV287" s="101">
        <v>-0.2313666759768058</v>
      </c>
      <c r="AW287" s="101">
        <v>0.10433064053744884</v>
      </c>
      <c r="AX287" s="101">
        <v>-0.22206323003292855</v>
      </c>
      <c r="AY287" s="101">
        <v>0.13911052925301887</v>
      </c>
      <c r="AZ287" s="101">
        <v>-0.13196285111233988</v>
      </c>
      <c r="BA287" s="101">
        <v>-8.07240636700991E-2</v>
      </c>
      <c r="BB287" s="101">
        <v>-0.32489527075637853</v>
      </c>
    </row>
    <row r="288" spans="2:54">
      <c r="B288">
        <v>6.1289999999999997E-2</v>
      </c>
      <c r="C288">
        <v>3.33</v>
      </c>
      <c r="D288">
        <v>0.44290000000000002</v>
      </c>
      <c r="E288">
        <v>7.6449999999999996</v>
      </c>
      <c r="F288">
        <v>49.7</v>
      </c>
      <c r="G288">
        <v>5.2119</v>
      </c>
      <c r="H288">
        <v>5</v>
      </c>
      <c r="I288">
        <v>216</v>
      </c>
      <c r="J288">
        <v>14.9</v>
      </c>
      <c r="K288">
        <v>377.07</v>
      </c>
      <c r="L288">
        <v>3.01</v>
      </c>
      <c r="M288">
        <v>46</v>
      </c>
      <c r="O288" s="101">
        <f t="shared" si="78"/>
        <v>-0.41338490204944744</v>
      </c>
      <c r="P288" s="101">
        <f t="shared" si="79"/>
        <v>-1.1390819662739988</v>
      </c>
      <c r="Q288" s="101">
        <f t="shared" si="80"/>
        <v>-0.96572262154412314</v>
      </c>
      <c r="R288" s="101">
        <f t="shared" si="81"/>
        <v>1.9380566727339401</v>
      </c>
      <c r="S288" s="101">
        <f t="shared" si="82"/>
        <v>-0.67120228030843687</v>
      </c>
      <c r="T288" s="101">
        <f t="shared" si="83"/>
        <v>0.6735302402535982</v>
      </c>
      <c r="U288" s="101">
        <f t="shared" si="84"/>
        <v>-0.52300144620353584</v>
      </c>
      <c r="V288" s="101">
        <f t="shared" si="85"/>
        <v>-1.1417508400461385</v>
      </c>
      <c r="W288" s="101">
        <f t="shared" si="86"/>
        <v>-1.6439453774389663</v>
      </c>
      <c r="X288" s="101">
        <f t="shared" si="87"/>
        <v>0.22362870636927354</v>
      </c>
      <c r="Y288" s="101">
        <f t="shared" si="88"/>
        <v>-1.3517046578131016</v>
      </c>
      <c r="Z288" s="101">
        <f t="shared" si="89"/>
        <v>2.5541101641246282</v>
      </c>
      <c r="AQ288" s="101">
        <v>-3.710042180621226</v>
      </c>
      <c r="AR288" s="101">
        <v>2.2211784190770496</v>
      </c>
      <c r="AS288" s="101">
        <v>0.50572573825947287</v>
      </c>
      <c r="AT288" s="101">
        <v>-0.41757138509629299</v>
      </c>
      <c r="AU288" s="101">
        <v>-0.25578453827915548</v>
      </c>
      <c r="AV288" s="101">
        <v>0.16395393689059212</v>
      </c>
      <c r="AW288" s="101">
        <v>-4.9032965616615076E-2</v>
      </c>
      <c r="AX288" s="101">
        <v>-0.35371121292146557</v>
      </c>
      <c r="AY288" s="101">
        <v>0.48635914976991268</v>
      </c>
      <c r="AZ288" s="101">
        <v>0.1649570031199783</v>
      </c>
      <c r="BA288" s="101">
        <v>0.29406385357230302</v>
      </c>
      <c r="BB288" s="101">
        <v>-0.20805539502962439</v>
      </c>
    </row>
    <row r="289" spans="2:54">
      <c r="B289">
        <v>1.5010000000000001E-2</v>
      </c>
      <c r="C289">
        <v>1.21</v>
      </c>
      <c r="D289">
        <v>0.40100000000000002</v>
      </c>
      <c r="E289">
        <v>7.923</v>
      </c>
      <c r="F289">
        <v>24.8</v>
      </c>
      <c r="G289">
        <v>5.8849999999999998</v>
      </c>
      <c r="H289">
        <v>1</v>
      </c>
      <c r="I289">
        <v>198</v>
      </c>
      <c r="J289">
        <v>13.6</v>
      </c>
      <c r="K289">
        <v>395.52</v>
      </c>
      <c r="L289">
        <v>3.16</v>
      </c>
      <c r="M289">
        <v>50</v>
      </c>
      <c r="O289" s="101">
        <f t="shared" si="78"/>
        <v>-0.41877065525462909</v>
      </c>
      <c r="P289" s="101">
        <f t="shared" si="79"/>
        <v>-1.4484097793029722</v>
      </c>
      <c r="Q289" s="101">
        <f t="shared" si="80"/>
        <v>-1.3276686511827305</v>
      </c>
      <c r="R289" s="101">
        <f t="shared" si="81"/>
        <v>2.3341117846910837</v>
      </c>
      <c r="S289" s="101">
        <f t="shared" si="82"/>
        <v>-1.5566605200728632</v>
      </c>
      <c r="T289" s="101">
        <f t="shared" si="83"/>
        <v>0.99350120754444926</v>
      </c>
      <c r="U289" s="101">
        <f t="shared" si="84"/>
        <v>-0.98284285676650562</v>
      </c>
      <c r="V289" s="101">
        <f t="shared" si="85"/>
        <v>-1.2486579320267726</v>
      </c>
      <c r="W289" s="101">
        <f t="shared" si="86"/>
        <v>-2.2450166182145463</v>
      </c>
      <c r="X289" s="101">
        <f t="shared" si="87"/>
        <v>0.4259211180730848</v>
      </c>
      <c r="Y289" s="101">
        <f t="shared" si="88"/>
        <v>-1.3306785903071194</v>
      </c>
      <c r="Z289" s="101">
        <f t="shared" si="89"/>
        <v>2.9894600741990951</v>
      </c>
      <c r="AQ289" s="101">
        <v>-4.8448658992994655</v>
      </c>
      <c r="AR289" s="101">
        <v>2.3210331177661949</v>
      </c>
      <c r="AS289" s="101">
        <v>0.72740205816138059</v>
      </c>
      <c r="AT289" s="101">
        <v>-0.73440501621290877</v>
      </c>
      <c r="AU289" s="101">
        <v>-0.63062716774490057</v>
      </c>
      <c r="AV289" s="101">
        <v>-7.8481116585014221E-2</v>
      </c>
      <c r="AW289" s="101">
        <v>-7.8844660402220823E-3</v>
      </c>
      <c r="AX289" s="101">
        <v>-0.15059552133424514</v>
      </c>
      <c r="AY289" s="101">
        <v>0.90727283302209227</v>
      </c>
      <c r="AZ289" s="101">
        <v>-0.20186367498050412</v>
      </c>
      <c r="BA289" s="101">
        <v>0.35201705313607867</v>
      </c>
      <c r="BB289" s="101">
        <v>7.553536771516739E-2</v>
      </c>
    </row>
    <row r="290" spans="2:54">
      <c r="B290">
        <v>9.0600000000000003E-3</v>
      </c>
      <c r="C290">
        <v>2.97</v>
      </c>
      <c r="D290">
        <v>0.4</v>
      </c>
      <c r="E290">
        <v>7.0880000000000001</v>
      </c>
      <c r="F290">
        <v>20.8</v>
      </c>
      <c r="G290">
        <v>7.3072999999999997</v>
      </c>
      <c r="H290">
        <v>1</v>
      </c>
      <c r="I290">
        <v>285</v>
      </c>
      <c r="J290">
        <v>15.3</v>
      </c>
      <c r="K290">
        <v>394.72</v>
      </c>
      <c r="L290">
        <v>7.85</v>
      </c>
      <c r="M290">
        <v>32.200000000000003</v>
      </c>
      <c r="O290" s="101">
        <f t="shared" si="78"/>
        <v>-0.41946307598865745</v>
      </c>
      <c r="P290" s="101">
        <f t="shared" si="79"/>
        <v>-1.1916093307506168</v>
      </c>
      <c r="Q290" s="101">
        <f t="shared" si="80"/>
        <v>-1.3363069812457045</v>
      </c>
      <c r="R290" s="101">
        <f t="shared" si="81"/>
        <v>1.14452179014355</v>
      </c>
      <c r="S290" s="101">
        <f t="shared" si="82"/>
        <v>-1.6989028075852208</v>
      </c>
      <c r="T290" s="101">
        <f t="shared" si="83"/>
        <v>1.6696187335848258</v>
      </c>
      <c r="U290" s="101">
        <f t="shared" si="84"/>
        <v>-0.98284285676650562</v>
      </c>
      <c r="V290" s="101">
        <f t="shared" si="85"/>
        <v>-0.73194032078704152</v>
      </c>
      <c r="W290" s="101">
        <f t="shared" si="86"/>
        <v>-1.4590003802772493</v>
      </c>
      <c r="X290" s="101">
        <f t="shared" si="87"/>
        <v>0.41714963138674116</v>
      </c>
      <c r="Y290" s="101">
        <f t="shared" si="88"/>
        <v>-0.67326354628674345</v>
      </c>
      <c r="Z290" s="101">
        <f t="shared" si="89"/>
        <v>1.0521529743677167</v>
      </c>
      <c r="AQ290" s="101">
        <v>-3.665212136313146</v>
      </c>
      <c r="AR290" s="101">
        <v>0.1106238081344339</v>
      </c>
      <c r="AS290" s="101">
        <v>0.78964862239887779</v>
      </c>
      <c r="AT290" s="101">
        <v>-0.74205098366643951</v>
      </c>
      <c r="AU290" s="101">
        <v>-0.54904735630468982</v>
      </c>
      <c r="AV290" s="101">
        <v>-0.41839266611048009</v>
      </c>
      <c r="AW290" s="101">
        <v>-0.38692247461080864</v>
      </c>
      <c r="AX290" s="101">
        <v>0.34580057730614822</v>
      </c>
      <c r="AY290" s="101">
        <v>0.53637995760541668</v>
      </c>
      <c r="AZ290" s="101">
        <v>-0.11608493614201668</v>
      </c>
      <c r="BA290" s="101">
        <v>9.5747615433960376E-2</v>
      </c>
      <c r="BB290" s="101">
        <v>0.23196304261090545</v>
      </c>
    </row>
    <row r="291" spans="2:54">
      <c r="B291">
        <v>1.0959999999999999E-2</v>
      </c>
      <c r="C291">
        <v>2.25</v>
      </c>
      <c r="D291">
        <v>0.38900000000000001</v>
      </c>
      <c r="E291">
        <v>6.4530000000000003</v>
      </c>
      <c r="F291">
        <v>31.9</v>
      </c>
      <c r="G291">
        <v>7.3072999999999997</v>
      </c>
      <c r="H291">
        <v>1</v>
      </c>
      <c r="I291">
        <v>300</v>
      </c>
      <c r="J291">
        <v>15.3</v>
      </c>
      <c r="K291">
        <v>394.72</v>
      </c>
      <c r="L291">
        <v>8.23</v>
      </c>
      <c r="M291">
        <v>22</v>
      </c>
      <c r="O291" s="101">
        <f t="shared" si="78"/>
        <v>-0.41924196684669884</v>
      </c>
      <c r="P291" s="101">
        <f t="shared" si="79"/>
        <v>-1.296664059703853</v>
      </c>
      <c r="Q291" s="101">
        <f t="shared" si="80"/>
        <v>-1.4313286119384176</v>
      </c>
      <c r="R291" s="101">
        <f t="shared" si="81"/>
        <v>0.23986353081698275</v>
      </c>
      <c r="S291" s="101">
        <f t="shared" si="82"/>
        <v>-1.3041804597384283</v>
      </c>
      <c r="T291" s="101">
        <f t="shared" si="83"/>
        <v>1.6696187335848258</v>
      </c>
      <c r="U291" s="101">
        <f t="shared" si="84"/>
        <v>-0.98284285676650562</v>
      </c>
      <c r="V291" s="101">
        <f t="shared" si="85"/>
        <v>-0.64285107746984649</v>
      </c>
      <c r="W291" s="101">
        <f t="shared" si="86"/>
        <v>-1.4590003802772493</v>
      </c>
      <c r="X291" s="101">
        <f t="shared" si="87"/>
        <v>0.41714963138674116</v>
      </c>
      <c r="Y291" s="101">
        <f t="shared" si="88"/>
        <v>-0.61999750860492175</v>
      </c>
      <c r="Z291" s="101">
        <f t="shared" si="89"/>
        <v>-5.7989296322174963E-2</v>
      </c>
      <c r="AQ291" s="101">
        <v>-3.0716419472809227</v>
      </c>
      <c r="AR291" s="101">
        <v>-0.88975581322730002</v>
      </c>
      <c r="AS291" s="101">
        <v>0.42147817118713204</v>
      </c>
      <c r="AT291" s="101">
        <v>-0.96129337585191399</v>
      </c>
      <c r="AU291" s="101">
        <v>-0.66515982438256416</v>
      </c>
      <c r="AV291" s="101">
        <v>-0.43879271502115991</v>
      </c>
      <c r="AW291" s="101">
        <v>-0.48448932939995132</v>
      </c>
      <c r="AX291" s="101">
        <v>0.243053383170479</v>
      </c>
      <c r="AY291" s="101">
        <v>7.1780173796943091E-3</v>
      </c>
      <c r="AZ291" s="101">
        <v>0.14767387571377127</v>
      </c>
      <c r="BA291" s="101">
        <v>-0.46357645475472237</v>
      </c>
      <c r="BB291" s="101">
        <v>0.16619868629629916</v>
      </c>
    </row>
    <row r="292" spans="2:54">
      <c r="B292">
        <v>1.9650000000000001E-2</v>
      </c>
      <c r="C292">
        <v>1.76</v>
      </c>
      <c r="D292">
        <v>0.38500000000000001</v>
      </c>
      <c r="E292">
        <v>6.23</v>
      </c>
      <c r="F292">
        <v>31.5</v>
      </c>
      <c r="G292">
        <v>9.0891999999999999</v>
      </c>
      <c r="H292">
        <v>1</v>
      </c>
      <c r="I292">
        <v>241</v>
      </c>
      <c r="J292">
        <v>18.2</v>
      </c>
      <c r="K292">
        <v>341.6</v>
      </c>
      <c r="L292">
        <v>12.93</v>
      </c>
      <c r="M292">
        <v>20.100000000000001</v>
      </c>
      <c r="O292" s="101">
        <f t="shared" si="78"/>
        <v>-0.41823068345531966</v>
      </c>
      <c r="P292" s="101">
        <f t="shared" si="79"/>
        <v>-1.3681596391303612</v>
      </c>
      <c r="Q292" s="101">
        <f t="shared" si="80"/>
        <v>-1.4658819321903134</v>
      </c>
      <c r="R292" s="101">
        <f t="shared" si="81"/>
        <v>-7.7835353954394351E-2</v>
      </c>
      <c r="S292" s="101">
        <f t="shared" si="82"/>
        <v>-1.3184046884896641</v>
      </c>
      <c r="T292" s="101">
        <f t="shared" si="83"/>
        <v>2.5166790019187548</v>
      </c>
      <c r="U292" s="101">
        <f t="shared" si="84"/>
        <v>-0.98284285676650562</v>
      </c>
      <c r="V292" s="101">
        <f t="shared" si="85"/>
        <v>-0.99326876785081353</v>
      </c>
      <c r="W292" s="101">
        <f t="shared" si="86"/>
        <v>-0.11814915085480289</v>
      </c>
      <c r="X292" s="101">
        <f t="shared" si="87"/>
        <v>-0.16527708458650875</v>
      </c>
      <c r="Y292" s="101">
        <f t="shared" si="88"/>
        <v>3.8819273249186242E-2</v>
      </c>
      <c r="Z292" s="101">
        <f t="shared" si="89"/>
        <v>-0.26478050360754674</v>
      </c>
      <c r="AQ292" s="101">
        <v>-2.7429654642041505</v>
      </c>
      <c r="AR292" s="101">
        <v>-2.0670696240987239</v>
      </c>
      <c r="AS292" s="101">
        <v>0.93454266482584447</v>
      </c>
      <c r="AT292" s="101">
        <v>-0.90223062347114225</v>
      </c>
      <c r="AU292" s="101">
        <v>9.1114622691201339E-2</v>
      </c>
      <c r="AV292" s="101">
        <v>0.10003133996750659</v>
      </c>
      <c r="AW292" s="101">
        <v>-0.69009755876330625</v>
      </c>
      <c r="AX292" s="101">
        <v>0.20056065093341355</v>
      </c>
      <c r="AY292" s="101">
        <v>0.20054054673316246</v>
      </c>
      <c r="AZ292" s="101">
        <v>0.27671479421738493</v>
      </c>
      <c r="BA292" s="101">
        <v>0.4469862831654291</v>
      </c>
      <c r="BB292" s="101">
        <v>5.9884689852200142E-2</v>
      </c>
    </row>
    <row r="293" spans="2:54">
      <c r="B293">
        <v>3.8710000000000001E-2</v>
      </c>
      <c r="C293">
        <v>5.32</v>
      </c>
      <c r="D293">
        <v>0.40500000000000003</v>
      </c>
      <c r="E293">
        <v>6.2089999999999996</v>
      </c>
      <c r="F293">
        <v>31.3</v>
      </c>
      <c r="G293">
        <v>7.3171999999999997</v>
      </c>
      <c r="H293">
        <v>6</v>
      </c>
      <c r="I293">
        <v>293</v>
      </c>
      <c r="J293">
        <v>16.600000000000001</v>
      </c>
      <c r="K293">
        <v>396.9</v>
      </c>
      <c r="L293">
        <v>7.14</v>
      </c>
      <c r="M293">
        <v>23.2</v>
      </c>
      <c r="O293" s="101">
        <f t="shared" si="78"/>
        <v>-0.41601260964177678</v>
      </c>
      <c r="P293" s="101">
        <f t="shared" si="79"/>
        <v>-0.84872236819491553</v>
      </c>
      <c r="Q293" s="101">
        <f t="shared" si="80"/>
        <v>-1.2931153309308347</v>
      </c>
      <c r="R293" s="101">
        <f t="shared" si="81"/>
        <v>-0.10775318615259694</v>
      </c>
      <c r="S293" s="101">
        <f t="shared" si="82"/>
        <v>-1.3255168028652822</v>
      </c>
      <c r="T293" s="101">
        <f t="shared" si="83"/>
        <v>1.6743248880584247</v>
      </c>
      <c r="U293" s="101">
        <f t="shared" si="84"/>
        <v>-0.40804109356279333</v>
      </c>
      <c r="V293" s="101">
        <f t="shared" si="85"/>
        <v>-0.68442605768453757</v>
      </c>
      <c r="W293" s="101">
        <f t="shared" si="86"/>
        <v>-0.85792913950166927</v>
      </c>
      <c r="X293" s="101">
        <f t="shared" si="87"/>
        <v>0.44105193260702835</v>
      </c>
      <c r="Y293" s="101">
        <f t="shared" si="88"/>
        <v>-0.7727869324817257</v>
      </c>
      <c r="Z293" s="101">
        <f t="shared" si="89"/>
        <v>7.261567670016511E-2</v>
      </c>
      <c r="AQ293" s="101">
        <v>-2.6026232763808919</v>
      </c>
      <c r="AR293" s="101">
        <v>-1.0212551828084799</v>
      </c>
      <c r="AS293" s="101">
        <v>0.64938279119115794</v>
      </c>
      <c r="AT293" s="101">
        <v>-0.43263096130070228</v>
      </c>
      <c r="AU293" s="101">
        <v>-0.46546874759682932</v>
      </c>
      <c r="AV293" s="101">
        <v>-0.65068226091638548</v>
      </c>
      <c r="AW293" s="101">
        <v>-0.15885849661075513</v>
      </c>
      <c r="AX293" s="101">
        <v>0.11565977946349924</v>
      </c>
      <c r="AY293" s="101">
        <v>-1.1853076014879532E-3</v>
      </c>
      <c r="AZ293" s="101">
        <v>0.30690697734859163</v>
      </c>
      <c r="BA293" s="101">
        <v>-0.17945273811337728</v>
      </c>
      <c r="BB293" s="101">
        <v>-0.27377959478677028</v>
      </c>
    </row>
    <row r="294" spans="2:54">
      <c r="B294">
        <v>4.5900000000000003E-2</v>
      </c>
      <c r="C294">
        <v>5.32</v>
      </c>
      <c r="D294">
        <v>0.40500000000000003</v>
      </c>
      <c r="E294">
        <v>6.3150000000000004</v>
      </c>
      <c r="F294">
        <v>45.6</v>
      </c>
      <c r="G294">
        <v>7.3171999999999997</v>
      </c>
      <c r="H294">
        <v>6</v>
      </c>
      <c r="I294">
        <v>293</v>
      </c>
      <c r="J294">
        <v>16.600000000000001</v>
      </c>
      <c r="K294">
        <v>396.9</v>
      </c>
      <c r="L294">
        <v>7.6</v>
      </c>
      <c r="M294">
        <v>22.3</v>
      </c>
      <c r="O294" s="101">
        <f t="shared" si="78"/>
        <v>-0.41517588609931227</v>
      </c>
      <c r="P294" s="101">
        <f t="shared" si="79"/>
        <v>-0.84872236819491553</v>
      </c>
      <c r="Q294" s="101">
        <f t="shared" si="80"/>
        <v>-1.2931153309308347</v>
      </c>
      <c r="R294" s="101">
        <f t="shared" si="81"/>
        <v>4.3260633514516228E-2</v>
      </c>
      <c r="S294" s="101">
        <f t="shared" si="82"/>
        <v>-0.81700062500860349</v>
      </c>
      <c r="T294" s="101">
        <f t="shared" si="83"/>
        <v>1.6743248880584247</v>
      </c>
      <c r="U294" s="101">
        <f t="shared" si="84"/>
        <v>-0.40804109356279333</v>
      </c>
      <c r="V294" s="101">
        <f t="shared" si="85"/>
        <v>-0.68442605768453757</v>
      </c>
      <c r="W294" s="101">
        <f t="shared" si="86"/>
        <v>-0.85792913950166927</v>
      </c>
      <c r="X294" s="101">
        <f t="shared" si="87"/>
        <v>0.44105193260702835</v>
      </c>
      <c r="Y294" s="101">
        <f t="shared" si="88"/>
        <v>-0.708306992130047</v>
      </c>
      <c r="Z294" s="101">
        <f t="shared" si="89"/>
        <v>-2.5338053066589851E-2</v>
      </c>
      <c r="AQ294" s="101">
        <v>-2.4337761102201845</v>
      </c>
      <c r="AR294" s="101">
        <v>-0.88876088479289106</v>
      </c>
      <c r="AS294" s="101">
        <v>0.48565985434361947</v>
      </c>
      <c r="AT294" s="101">
        <v>-0.41838516115770447</v>
      </c>
      <c r="AU294" s="101">
        <v>-0.41371904049434471</v>
      </c>
      <c r="AV294" s="101">
        <v>-0.38141356061313081</v>
      </c>
      <c r="AW294" s="101">
        <v>-0.44727615685265742</v>
      </c>
      <c r="AX294" s="101">
        <v>0.12648626048847625</v>
      </c>
      <c r="AY294" s="101">
        <v>-5.3903108230965002E-2</v>
      </c>
      <c r="AZ294" s="101">
        <v>0.53867833565408429</v>
      </c>
      <c r="BA294" s="101">
        <v>-0.2606834750411971</v>
      </c>
      <c r="BB294" s="101">
        <v>-0.29599983844028455</v>
      </c>
    </row>
    <row r="295" spans="2:54">
      <c r="B295">
        <v>4.2970000000000001E-2</v>
      </c>
      <c r="C295">
        <v>5.32</v>
      </c>
      <c r="D295">
        <v>0.40500000000000003</v>
      </c>
      <c r="E295">
        <v>6.5650000000000004</v>
      </c>
      <c r="F295">
        <v>22.9</v>
      </c>
      <c r="G295">
        <v>7.3171999999999997</v>
      </c>
      <c r="H295">
        <v>6</v>
      </c>
      <c r="I295">
        <v>293</v>
      </c>
      <c r="J295">
        <v>16.600000000000001</v>
      </c>
      <c r="K295">
        <v>371.72</v>
      </c>
      <c r="L295">
        <v>9.51</v>
      </c>
      <c r="M295">
        <v>24.8</v>
      </c>
      <c r="O295" s="101">
        <f t="shared" si="78"/>
        <v>-0.41551685967085905</v>
      </c>
      <c r="P295" s="101">
        <f t="shared" si="79"/>
        <v>-0.84872236819491553</v>
      </c>
      <c r="Q295" s="101">
        <f t="shared" si="80"/>
        <v>-1.2931153309308347</v>
      </c>
      <c r="R295" s="101">
        <f t="shared" si="81"/>
        <v>0.39942530254072395</v>
      </c>
      <c r="S295" s="101">
        <f t="shared" si="82"/>
        <v>-1.6242256066412331</v>
      </c>
      <c r="T295" s="101">
        <f t="shared" si="83"/>
        <v>1.6743248880584247</v>
      </c>
      <c r="U295" s="101">
        <f t="shared" si="84"/>
        <v>-0.40804109356279333</v>
      </c>
      <c r="V295" s="101">
        <f t="shared" si="85"/>
        <v>-0.68442605768453757</v>
      </c>
      <c r="W295" s="101">
        <f t="shared" si="86"/>
        <v>-0.85792913950166927</v>
      </c>
      <c r="X295" s="101">
        <f t="shared" si="87"/>
        <v>0.16496938915434758</v>
      </c>
      <c r="Y295" s="101">
        <f t="shared" si="88"/>
        <v>-0.44057506588720735</v>
      </c>
      <c r="Z295" s="101">
        <f t="shared" si="89"/>
        <v>0.24675564072995212</v>
      </c>
      <c r="AQ295" s="101">
        <v>-2.6809059821135222</v>
      </c>
      <c r="AR295" s="101">
        <v>-0.78093696805560753</v>
      </c>
      <c r="AS295" s="101">
        <v>0.92174195899193334</v>
      </c>
      <c r="AT295" s="101">
        <v>-0.63371265004978061</v>
      </c>
      <c r="AU295" s="101">
        <v>-0.29025485381947935</v>
      </c>
      <c r="AV295" s="101">
        <v>-0.57214071343059136</v>
      </c>
      <c r="AW295" s="101">
        <v>-0.3134543424837089</v>
      </c>
      <c r="AX295" s="101">
        <v>0.27997499296385103</v>
      </c>
      <c r="AY295" s="101">
        <v>0.36308323387419716</v>
      </c>
      <c r="AZ295" s="101">
        <v>-5.8947199076126777E-2</v>
      </c>
      <c r="BA295" s="101">
        <v>-1.3949373107333546E-2</v>
      </c>
      <c r="BB295" s="101">
        <v>-0.21744498863101491</v>
      </c>
    </row>
    <row r="296" spans="2:54">
      <c r="B296">
        <v>3.5020000000000003E-2</v>
      </c>
      <c r="C296">
        <v>4.95</v>
      </c>
      <c r="D296">
        <v>0.41099999999999998</v>
      </c>
      <c r="E296">
        <v>6.8609999999999998</v>
      </c>
      <c r="F296">
        <v>27.9</v>
      </c>
      <c r="G296">
        <v>5.1166999999999998</v>
      </c>
      <c r="H296">
        <v>4</v>
      </c>
      <c r="I296">
        <v>245</v>
      </c>
      <c r="J296">
        <v>19.2</v>
      </c>
      <c r="K296">
        <v>396.9</v>
      </c>
      <c r="L296">
        <v>3.33</v>
      </c>
      <c r="M296">
        <v>28.5</v>
      </c>
      <c r="O296" s="101">
        <f t="shared" si="78"/>
        <v>-0.41644202687010695</v>
      </c>
      <c r="P296" s="101">
        <f t="shared" si="79"/>
        <v>-0.90270882612921743</v>
      </c>
      <c r="Q296" s="101">
        <f t="shared" si="80"/>
        <v>-1.2412853505529917</v>
      </c>
      <c r="R296" s="101">
        <f t="shared" si="81"/>
        <v>0.82112427066775295</v>
      </c>
      <c r="S296" s="101">
        <f t="shared" si="82"/>
        <v>-1.446422747250786</v>
      </c>
      <c r="T296" s="101">
        <f t="shared" si="83"/>
        <v>0.62827509824484906</v>
      </c>
      <c r="U296" s="101">
        <f t="shared" si="84"/>
        <v>-0.63796179884427828</v>
      </c>
      <c r="V296" s="101">
        <f t="shared" si="85"/>
        <v>-0.9695116362995615</v>
      </c>
      <c r="W296" s="101">
        <f t="shared" si="86"/>
        <v>0.34421334204948922</v>
      </c>
      <c r="X296" s="101">
        <f t="shared" si="87"/>
        <v>0.44105193260702835</v>
      </c>
      <c r="Y296" s="101">
        <f t="shared" si="88"/>
        <v>-1.3068490471336729</v>
      </c>
      <c r="Z296" s="101">
        <f t="shared" si="89"/>
        <v>0.64945430754883415</v>
      </c>
      <c r="AQ296" s="101">
        <v>-2.7725454798130933</v>
      </c>
      <c r="AR296" s="101">
        <v>-0.21331847812564542</v>
      </c>
      <c r="AS296" s="101">
        <v>0.8640115333399313</v>
      </c>
      <c r="AT296" s="101">
        <v>0.55321093920719622</v>
      </c>
      <c r="AU296" s="101">
        <v>0.33935315478342337</v>
      </c>
      <c r="AV296" s="101">
        <v>0.27545650015188061</v>
      </c>
      <c r="AW296" s="101">
        <v>0.53769708857690635</v>
      </c>
      <c r="AX296" s="101">
        <v>0.2043991271136551</v>
      </c>
      <c r="AY296" s="101">
        <v>-5.9460537600269037E-2</v>
      </c>
      <c r="AZ296" s="101">
        <v>-0.36593058733578254</v>
      </c>
      <c r="BA296" s="101">
        <v>-0.1210593578388145</v>
      </c>
      <c r="BB296" s="101">
        <v>-0.1439144141999299</v>
      </c>
    </row>
    <row r="297" spans="2:54">
      <c r="B297">
        <v>7.886E-2</v>
      </c>
      <c r="C297">
        <v>4.95</v>
      </c>
      <c r="D297">
        <v>0.41099999999999998</v>
      </c>
      <c r="E297">
        <v>7.1479999999999997</v>
      </c>
      <c r="F297">
        <v>27.7</v>
      </c>
      <c r="G297">
        <v>5.1166999999999998</v>
      </c>
      <c r="H297">
        <v>4</v>
      </c>
      <c r="I297">
        <v>245</v>
      </c>
      <c r="J297">
        <v>19.2</v>
      </c>
      <c r="K297">
        <v>396.9</v>
      </c>
      <c r="L297">
        <v>3.56</v>
      </c>
      <c r="M297">
        <v>37.299999999999997</v>
      </c>
      <c r="O297" s="101">
        <f t="shared" si="78"/>
        <v>-0.41134022435249318</v>
      </c>
      <c r="P297" s="101">
        <f t="shared" si="79"/>
        <v>-0.90270882612921743</v>
      </c>
      <c r="Q297" s="101">
        <f t="shared" si="80"/>
        <v>-1.2412853505529917</v>
      </c>
      <c r="R297" s="101">
        <f t="shared" si="81"/>
        <v>1.2300013107098393</v>
      </c>
      <c r="S297" s="101">
        <f t="shared" si="82"/>
        <v>-1.4535348616264037</v>
      </c>
      <c r="T297" s="101">
        <f t="shared" si="83"/>
        <v>0.62827509824484906</v>
      </c>
      <c r="U297" s="101">
        <f t="shared" si="84"/>
        <v>-0.63796179884427828</v>
      </c>
      <c r="V297" s="101">
        <f t="shared" si="85"/>
        <v>-0.9695116362995615</v>
      </c>
      <c r="W297" s="101">
        <f t="shared" si="86"/>
        <v>0.34421334204948922</v>
      </c>
      <c r="X297" s="101">
        <f t="shared" si="87"/>
        <v>0.44105193260702835</v>
      </c>
      <c r="Y297" s="101">
        <f t="shared" si="88"/>
        <v>-1.2746090769578335</v>
      </c>
      <c r="Z297" s="101">
        <f t="shared" si="89"/>
        <v>1.6072241097126616</v>
      </c>
      <c r="AQ297" s="101">
        <v>-3.112695577835253</v>
      </c>
      <c r="AR297" s="101">
        <v>0.47610342275934653</v>
      </c>
      <c r="AS297" s="101">
        <v>1.0134199848675232</v>
      </c>
      <c r="AT297" s="101">
        <v>0.71739039203902333</v>
      </c>
      <c r="AU297" s="101">
        <v>0.37738127816710543</v>
      </c>
      <c r="AV297" s="101">
        <v>0.35321683368852147</v>
      </c>
      <c r="AW297" s="101">
        <v>0.59269327395235238</v>
      </c>
      <c r="AX297" s="101">
        <v>-1.9850126603550233E-2</v>
      </c>
      <c r="AY297" s="101">
        <v>0.37574956052165942</v>
      </c>
      <c r="AZ297" s="101">
        <v>-0.32297940438314177</v>
      </c>
      <c r="BA297" s="101">
        <v>0.30154511273236195</v>
      </c>
      <c r="BB297" s="101">
        <v>-2.2733799770799173E-2</v>
      </c>
    </row>
    <row r="298" spans="2:54">
      <c r="B298">
        <v>3.6150000000000002E-2</v>
      </c>
      <c r="C298">
        <v>4.95</v>
      </c>
      <c r="D298">
        <v>0.41099999999999998</v>
      </c>
      <c r="E298">
        <v>6.63</v>
      </c>
      <c r="F298">
        <v>23.4</v>
      </c>
      <c r="G298">
        <v>5.1166999999999998</v>
      </c>
      <c r="H298">
        <v>4</v>
      </c>
      <c r="I298">
        <v>245</v>
      </c>
      <c r="J298">
        <v>19.2</v>
      </c>
      <c r="K298">
        <v>396.9</v>
      </c>
      <c r="L298">
        <v>4.7</v>
      </c>
      <c r="M298">
        <v>27.9</v>
      </c>
      <c r="O298" s="101">
        <f t="shared" si="78"/>
        <v>-0.41631052511725786</v>
      </c>
      <c r="P298" s="101">
        <f t="shared" si="79"/>
        <v>-0.90270882612921743</v>
      </c>
      <c r="Q298" s="101">
        <f t="shared" si="80"/>
        <v>-1.2412853505529917</v>
      </c>
      <c r="R298" s="101">
        <f t="shared" si="81"/>
        <v>0.49202811648753725</v>
      </c>
      <c r="S298" s="101">
        <f t="shared" si="82"/>
        <v>-1.6064453207021883</v>
      </c>
      <c r="T298" s="101">
        <f t="shared" si="83"/>
        <v>0.62827509824484906</v>
      </c>
      <c r="U298" s="101">
        <f t="shared" si="84"/>
        <v>-0.63796179884427828</v>
      </c>
      <c r="V298" s="101">
        <f t="shared" si="85"/>
        <v>-0.9695116362995615</v>
      </c>
      <c r="W298" s="101">
        <f t="shared" si="86"/>
        <v>0.34421334204948922</v>
      </c>
      <c r="X298" s="101">
        <f t="shared" si="87"/>
        <v>0.44105193260702835</v>
      </c>
      <c r="Y298" s="101">
        <f t="shared" si="88"/>
        <v>-1.1148109639123691</v>
      </c>
      <c r="Z298" s="101">
        <f t="shared" si="89"/>
        <v>0.58415182103766394</v>
      </c>
      <c r="AQ298" s="101">
        <v>-2.6718859871252389</v>
      </c>
      <c r="AR298" s="101">
        <v>-0.51125896653997227</v>
      </c>
      <c r="AS298" s="101">
        <v>0.80062743432622141</v>
      </c>
      <c r="AT298" s="101">
        <v>0.46724078159663746</v>
      </c>
      <c r="AU298" s="101">
        <v>0.25605374221251531</v>
      </c>
      <c r="AV298" s="101">
        <v>0.14421235875548177</v>
      </c>
      <c r="AW298" s="101">
        <v>0.63801969435550954</v>
      </c>
      <c r="AX298" s="101">
        <v>9.0475644191280458E-2</v>
      </c>
      <c r="AY298" s="101">
        <v>2.5149458889938053E-2</v>
      </c>
      <c r="AZ298" s="101">
        <v>-0.45365935984579137</v>
      </c>
      <c r="BA298" s="101">
        <v>-7.0345729969394311E-2</v>
      </c>
      <c r="BB298" s="101">
        <v>-0.13336846796922375</v>
      </c>
    </row>
    <row r="299" spans="2:54">
      <c r="B299">
        <v>8.2650000000000001E-2</v>
      </c>
      <c r="C299">
        <v>13.92</v>
      </c>
      <c r="D299">
        <v>0.437</v>
      </c>
      <c r="E299">
        <v>6.1269999999999998</v>
      </c>
      <c r="F299">
        <v>18.399999999999999</v>
      </c>
      <c r="G299">
        <v>5.5026999999999999</v>
      </c>
      <c r="H299">
        <v>4</v>
      </c>
      <c r="I299">
        <v>289</v>
      </c>
      <c r="J299">
        <v>16</v>
      </c>
      <c r="K299">
        <v>396.9</v>
      </c>
      <c r="L299">
        <v>8.58</v>
      </c>
      <c r="M299">
        <v>23.9</v>
      </c>
      <c r="O299" s="101">
        <f t="shared" si="78"/>
        <v>-0.41089916980090202</v>
      </c>
      <c r="P299" s="101">
        <f t="shared" si="79"/>
        <v>0.40609800541318314</v>
      </c>
      <c r="Q299" s="101">
        <f t="shared" si="80"/>
        <v>-1.0166887689156694</v>
      </c>
      <c r="R299" s="101">
        <f t="shared" si="81"/>
        <v>-0.22457519759319286</v>
      </c>
      <c r="S299" s="101">
        <f t="shared" si="82"/>
        <v>-1.7842481800926353</v>
      </c>
      <c r="T299" s="101">
        <f t="shared" si="83"/>
        <v>0.81176758580133179</v>
      </c>
      <c r="U299" s="101">
        <f t="shared" si="84"/>
        <v>-0.63796179884427828</v>
      </c>
      <c r="V299" s="101">
        <f t="shared" si="85"/>
        <v>-0.70818318923578949</v>
      </c>
      <c r="W299" s="101">
        <f t="shared" si="86"/>
        <v>-1.1353466352442452</v>
      </c>
      <c r="X299" s="101">
        <f t="shared" si="87"/>
        <v>0.44105193260702835</v>
      </c>
      <c r="Y299" s="101">
        <f t="shared" si="88"/>
        <v>-0.57093668442429679</v>
      </c>
      <c r="Z299" s="101">
        <f t="shared" si="89"/>
        <v>0.14880191096319678</v>
      </c>
      <c r="AQ299" s="101">
        <v>-2.0361128457116924</v>
      </c>
      <c r="AR299" s="101">
        <v>-0.6455665982156541</v>
      </c>
      <c r="AS299" s="101">
        <v>4.9017435753976067E-2</v>
      </c>
      <c r="AT299" s="101">
        <v>-0.48401010446599796</v>
      </c>
      <c r="AU299" s="101">
        <v>-0.43771880038292588</v>
      </c>
      <c r="AV299" s="101">
        <v>-1.1454704509482772</v>
      </c>
      <c r="AW299" s="101">
        <v>0.73407175497394672</v>
      </c>
      <c r="AX299" s="101">
        <v>0.74512892028153521</v>
      </c>
      <c r="AY299" s="101">
        <v>0.61420333935206506</v>
      </c>
      <c r="AZ299" s="101">
        <v>-5.5659967412865455E-2</v>
      </c>
      <c r="BA299" s="101">
        <v>-0.28157852298284414</v>
      </c>
      <c r="BB299" s="101">
        <v>-0.37938228733465568</v>
      </c>
    </row>
    <row r="300" spans="2:54">
      <c r="B300">
        <v>8.1989999999999993E-2</v>
      </c>
      <c r="C300">
        <v>13.92</v>
      </c>
      <c r="D300">
        <v>0.437</v>
      </c>
      <c r="E300">
        <v>6.0090000000000003</v>
      </c>
      <c r="F300">
        <v>42.3</v>
      </c>
      <c r="G300">
        <v>5.5026999999999999</v>
      </c>
      <c r="H300">
        <v>4</v>
      </c>
      <c r="I300">
        <v>289</v>
      </c>
      <c r="J300">
        <v>16</v>
      </c>
      <c r="K300">
        <v>396.9</v>
      </c>
      <c r="L300">
        <v>10.4</v>
      </c>
      <c r="M300">
        <v>21.7</v>
      </c>
      <c r="O300" s="101">
        <f t="shared" si="78"/>
        <v>-0.41097597613442455</v>
      </c>
      <c r="P300" s="101">
        <f t="shared" si="79"/>
        <v>0.40609800541318314</v>
      </c>
      <c r="Q300" s="101">
        <f t="shared" si="80"/>
        <v>-1.0166887689156694</v>
      </c>
      <c r="R300" s="101">
        <f t="shared" si="81"/>
        <v>-0.39268492137356209</v>
      </c>
      <c r="S300" s="101">
        <f t="shared" si="82"/>
        <v>-0.93435051220629861</v>
      </c>
      <c r="T300" s="101">
        <f t="shared" si="83"/>
        <v>0.81176758580133179</v>
      </c>
      <c r="U300" s="101">
        <f t="shared" si="84"/>
        <v>-0.63796179884427828</v>
      </c>
      <c r="V300" s="101">
        <f t="shared" si="85"/>
        <v>-0.70818318923578949</v>
      </c>
      <c r="W300" s="101">
        <f t="shared" si="86"/>
        <v>-1.1353466352442452</v>
      </c>
      <c r="X300" s="101">
        <f t="shared" si="87"/>
        <v>0.44105193260702835</v>
      </c>
      <c r="Y300" s="101">
        <f t="shared" si="88"/>
        <v>-0.31582039868504636</v>
      </c>
      <c r="Z300" s="101">
        <f t="shared" si="89"/>
        <v>-9.0640539577760082E-2</v>
      </c>
      <c r="AQ300" s="101">
        <v>-1.598271287952221</v>
      </c>
      <c r="AR300" s="101">
        <v>-0.73134400375540098</v>
      </c>
      <c r="AS300" s="101">
        <v>-0.36100547265670324</v>
      </c>
      <c r="AT300" s="101">
        <v>-0.53805596530694821</v>
      </c>
      <c r="AU300" s="101">
        <v>-0.43196832821078718</v>
      </c>
      <c r="AV300" s="101">
        <v>-0.79232218358900763</v>
      </c>
      <c r="AW300" s="101">
        <v>0.34955278671482021</v>
      </c>
      <c r="AX300" s="101">
        <v>0.58322696308449928</v>
      </c>
      <c r="AY300" s="101">
        <v>0.54881838745937739</v>
      </c>
      <c r="AZ300" s="101">
        <v>0.37624523154403305</v>
      </c>
      <c r="BA300" s="101">
        <v>-0.39122961751398994</v>
      </c>
      <c r="BB300" s="101">
        <v>-0.41469094298181997</v>
      </c>
    </row>
    <row r="301" spans="2:54">
      <c r="B301">
        <v>0.12931999999999999</v>
      </c>
      <c r="C301">
        <v>13.92</v>
      </c>
      <c r="D301">
        <v>0.437</v>
      </c>
      <c r="E301">
        <v>6.6779999999999999</v>
      </c>
      <c r="F301">
        <v>31.1</v>
      </c>
      <c r="G301">
        <v>5.9603999999999999</v>
      </c>
      <c r="H301">
        <v>4</v>
      </c>
      <c r="I301">
        <v>289</v>
      </c>
      <c r="J301">
        <v>16</v>
      </c>
      <c r="K301">
        <v>396.9</v>
      </c>
      <c r="L301">
        <v>6.27</v>
      </c>
      <c r="M301">
        <v>28.6</v>
      </c>
      <c r="O301" s="101">
        <f t="shared" si="78"/>
        <v>-0.40546803103500251</v>
      </c>
      <c r="P301" s="101">
        <f t="shared" si="79"/>
        <v>0.40609800541318314</v>
      </c>
      <c r="Q301" s="101">
        <f t="shared" si="80"/>
        <v>-1.0166887689156694</v>
      </c>
      <c r="R301" s="101">
        <f t="shared" si="81"/>
        <v>0.56041173294056923</v>
      </c>
      <c r="S301" s="101">
        <f t="shared" si="82"/>
        <v>-1.3326289172408998</v>
      </c>
      <c r="T301" s="101">
        <f t="shared" si="83"/>
        <v>1.0293440406060006</v>
      </c>
      <c r="U301" s="101">
        <f t="shared" si="84"/>
        <v>-0.63796179884427828</v>
      </c>
      <c r="V301" s="101">
        <f t="shared" si="85"/>
        <v>-0.70818318923578949</v>
      </c>
      <c r="W301" s="101">
        <f t="shared" si="86"/>
        <v>-1.1353466352442452</v>
      </c>
      <c r="X301" s="101">
        <f t="shared" si="87"/>
        <v>0.44105193260702835</v>
      </c>
      <c r="Y301" s="101">
        <f t="shared" si="88"/>
        <v>-0.89473812401642228</v>
      </c>
      <c r="Z301" s="101">
        <f t="shared" si="89"/>
        <v>0.660338055300696</v>
      </c>
      <c r="AQ301" s="101">
        <v>-2.3733204518867299</v>
      </c>
      <c r="AR301" s="101">
        <v>0.14949143235263054</v>
      </c>
      <c r="AS301" s="101">
        <v>0.2370311541610825</v>
      </c>
      <c r="AT301" s="101">
        <v>-0.27440716696642514</v>
      </c>
      <c r="AU301" s="101">
        <v>-0.27288528649028054</v>
      </c>
      <c r="AV301" s="101">
        <v>-0.83913105150611678</v>
      </c>
      <c r="AW301" s="101">
        <v>0.41584867483680799</v>
      </c>
      <c r="AX301" s="101">
        <v>0.88347131784389854</v>
      </c>
      <c r="AY301" s="101">
        <v>0.6170953740776115</v>
      </c>
      <c r="AZ301" s="101">
        <v>0.31751487515972754</v>
      </c>
      <c r="BA301" s="101">
        <v>-0.11492212714972488</v>
      </c>
      <c r="BB301" s="101">
        <v>-0.35745936276635015</v>
      </c>
    </row>
    <row r="302" spans="2:54">
      <c r="B302">
        <v>5.3719999999999997E-2</v>
      </c>
      <c r="C302">
        <v>13.92</v>
      </c>
      <c r="D302">
        <v>0.437</v>
      </c>
      <c r="E302">
        <v>6.5490000000000004</v>
      </c>
      <c r="F302">
        <v>51</v>
      </c>
      <c r="G302">
        <v>5.9603999999999999</v>
      </c>
      <c r="H302">
        <v>4</v>
      </c>
      <c r="I302">
        <v>289</v>
      </c>
      <c r="J302">
        <v>16</v>
      </c>
      <c r="K302">
        <v>392.85</v>
      </c>
      <c r="L302">
        <v>7.39</v>
      </c>
      <c r="M302">
        <v>27.1</v>
      </c>
      <c r="O302" s="101">
        <f t="shared" si="78"/>
        <v>-0.41426584742030359</v>
      </c>
      <c r="P302" s="101">
        <f t="shared" si="79"/>
        <v>0.40609800541318314</v>
      </c>
      <c r="Q302" s="101">
        <f t="shared" si="80"/>
        <v>-1.0166887689156694</v>
      </c>
      <c r="R302" s="101">
        <f t="shared" si="81"/>
        <v>0.3766307637230466</v>
      </c>
      <c r="S302" s="101">
        <f t="shared" si="82"/>
        <v>-0.6249735368669207</v>
      </c>
      <c r="T302" s="101">
        <f t="shared" si="83"/>
        <v>1.0293440406060006</v>
      </c>
      <c r="U302" s="101">
        <f t="shared" si="84"/>
        <v>-0.63796179884427828</v>
      </c>
      <c r="V302" s="101">
        <f t="shared" si="85"/>
        <v>-0.70818318923578949</v>
      </c>
      <c r="W302" s="101">
        <f t="shared" si="86"/>
        <v>-1.1353466352442452</v>
      </c>
      <c r="X302" s="101">
        <f t="shared" si="87"/>
        <v>0.39664628125741175</v>
      </c>
      <c r="Y302" s="101">
        <f t="shared" si="88"/>
        <v>-0.73774348663842204</v>
      </c>
      <c r="Z302" s="101">
        <f t="shared" si="89"/>
        <v>0.49708183902277087</v>
      </c>
      <c r="AQ302" s="101">
        <v>-2.0204860648024354</v>
      </c>
      <c r="AR302" s="101">
        <v>8.8461799051470252E-2</v>
      </c>
      <c r="AS302" s="101">
        <v>-9.1051003727829136E-2</v>
      </c>
      <c r="AT302" s="101">
        <v>-0.33622474822933224</v>
      </c>
      <c r="AU302" s="101">
        <v>-0.2386066173824366</v>
      </c>
      <c r="AV302" s="101">
        <v>-0.56751226214114281</v>
      </c>
      <c r="AW302" s="101">
        <v>0.14875662129690179</v>
      </c>
      <c r="AX302" s="101">
        <v>0.71083573712367798</v>
      </c>
      <c r="AY302" s="101">
        <v>0.53882770679487835</v>
      </c>
      <c r="AZ302" s="101">
        <v>0.71479694819792983</v>
      </c>
      <c r="BA302" s="101">
        <v>-0.20075399497884144</v>
      </c>
      <c r="BB302" s="101">
        <v>-0.38584477685806617</v>
      </c>
    </row>
    <row r="303" spans="2:54">
      <c r="B303">
        <v>0.14102999999999999</v>
      </c>
      <c r="C303">
        <v>13.92</v>
      </c>
      <c r="D303">
        <v>0.437</v>
      </c>
      <c r="E303">
        <v>5.79</v>
      </c>
      <c r="F303">
        <v>58</v>
      </c>
      <c r="G303">
        <v>6.32</v>
      </c>
      <c r="H303">
        <v>4</v>
      </c>
      <c r="I303">
        <v>289</v>
      </c>
      <c r="J303">
        <v>16</v>
      </c>
      <c r="K303">
        <v>396.9</v>
      </c>
      <c r="L303">
        <v>15.84</v>
      </c>
      <c r="M303">
        <v>20.3</v>
      </c>
      <c r="O303" s="101">
        <f t="shared" si="78"/>
        <v>-0.40410530048114168</v>
      </c>
      <c r="P303" s="101">
        <f t="shared" si="79"/>
        <v>0.40609800541318314</v>
      </c>
      <c r="Q303" s="101">
        <f t="shared" si="80"/>
        <v>-1.0166887689156694</v>
      </c>
      <c r="R303" s="101">
        <f t="shared" si="81"/>
        <v>-0.70468517144052045</v>
      </c>
      <c r="S303" s="101">
        <f t="shared" si="82"/>
        <v>-0.37604953372029487</v>
      </c>
      <c r="T303" s="101">
        <f t="shared" si="83"/>
        <v>1.2002867828995532</v>
      </c>
      <c r="U303" s="101">
        <f t="shared" si="84"/>
        <v>-0.63796179884427828</v>
      </c>
      <c r="V303" s="101">
        <f t="shared" si="85"/>
        <v>-0.70818318923578949</v>
      </c>
      <c r="W303" s="101">
        <f t="shared" si="86"/>
        <v>-1.1353466352442452</v>
      </c>
      <c r="X303" s="101">
        <f t="shared" si="87"/>
        <v>0.44105193260702835</v>
      </c>
      <c r="Y303" s="101">
        <f t="shared" si="88"/>
        <v>0.44672498286524043</v>
      </c>
      <c r="Z303" s="101">
        <f t="shared" si="89"/>
        <v>-0.24301300810382345</v>
      </c>
      <c r="AQ303" s="101">
        <v>-1.1915641977505667</v>
      </c>
      <c r="AR303" s="101">
        <v>-1.1754913220255832</v>
      </c>
      <c r="AS303" s="101">
        <v>-0.67145035657505869</v>
      </c>
      <c r="AT303" s="101">
        <v>-0.74977078519292417</v>
      </c>
      <c r="AU303" s="101">
        <v>-0.55460979525524767</v>
      </c>
      <c r="AV303" s="101">
        <v>-0.60627439190993138</v>
      </c>
      <c r="AW303" s="101">
        <v>-0.21260592167537837</v>
      </c>
      <c r="AX303" s="101">
        <v>0.41008768040896493</v>
      </c>
      <c r="AY303" s="101">
        <v>0.84278327468893344</v>
      </c>
      <c r="AZ303" s="101">
        <v>0.70609489135045</v>
      </c>
      <c r="BA303" s="101">
        <v>-0.12690473751172709</v>
      </c>
      <c r="BB303" s="101">
        <v>-0.40389645777823385</v>
      </c>
    </row>
    <row r="304" spans="2:54">
      <c r="B304">
        <v>6.4659999999999995E-2</v>
      </c>
      <c r="C304">
        <v>2.2400000000000002</v>
      </c>
      <c r="D304">
        <v>0.4</v>
      </c>
      <c r="E304">
        <v>6.3449999999999998</v>
      </c>
      <c r="F304">
        <v>20.100000000000001</v>
      </c>
      <c r="G304">
        <v>7.8277999999999999</v>
      </c>
      <c r="H304">
        <v>5</v>
      </c>
      <c r="I304">
        <v>358</v>
      </c>
      <c r="J304">
        <v>14.8</v>
      </c>
      <c r="K304">
        <v>368.24</v>
      </c>
      <c r="L304">
        <v>4.97</v>
      </c>
      <c r="M304">
        <v>22.5</v>
      </c>
      <c r="O304" s="101">
        <f t="shared" si="78"/>
        <v>-0.41299272425555239</v>
      </c>
      <c r="P304" s="101">
        <f t="shared" si="79"/>
        <v>-1.2981231531615369</v>
      </c>
      <c r="Q304" s="101">
        <f t="shared" si="80"/>
        <v>-1.3363069812457045</v>
      </c>
      <c r="R304" s="101">
        <f t="shared" si="81"/>
        <v>8.6000393797660238E-2</v>
      </c>
      <c r="S304" s="101">
        <f t="shared" si="82"/>
        <v>-1.7237952078998833</v>
      </c>
      <c r="T304" s="101">
        <f t="shared" si="83"/>
        <v>1.9170483703028292</v>
      </c>
      <c r="U304" s="101">
        <f t="shared" si="84"/>
        <v>-0.52300144620353584</v>
      </c>
      <c r="V304" s="101">
        <f t="shared" si="85"/>
        <v>-0.29837266997669254</v>
      </c>
      <c r="W304" s="101">
        <f t="shared" si="86"/>
        <v>-1.6901816267293954</v>
      </c>
      <c r="X304" s="101">
        <f t="shared" si="87"/>
        <v>0.12681342206875046</v>
      </c>
      <c r="Y304" s="101">
        <f t="shared" si="88"/>
        <v>-1.0769640424016012</v>
      </c>
      <c r="Z304" s="101">
        <f t="shared" si="89"/>
        <v>-3.5705575628665683E-3</v>
      </c>
      <c r="AQ304" s="101">
        <v>-3.092017568824827</v>
      </c>
      <c r="AR304" s="101">
        <v>-0.78421728804014412</v>
      </c>
      <c r="AS304" s="101">
        <v>1.0110269910494807</v>
      </c>
      <c r="AT304" s="101">
        <v>-1.1291726048591084</v>
      </c>
      <c r="AU304" s="101">
        <v>-0.69050836061209386</v>
      </c>
      <c r="AV304" s="101">
        <v>-1.1037498855294876</v>
      </c>
      <c r="AW304" s="101">
        <v>-0.34582937536601355</v>
      </c>
      <c r="AX304" s="101">
        <v>0.13208453902757913</v>
      </c>
      <c r="AY304" s="101">
        <v>-0.26161789652352591</v>
      </c>
      <c r="AZ304" s="101">
        <v>0.22902425660871556</v>
      </c>
      <c r="BA304" s="101">
        <v>-0.50807325309592088</v>
      </c>
      <c r="BB304" s="101">
        <v>8.1486403623080961E-2</v>
      </c>
    </row>
    <row r="305" spans="2:54">
      <c r="B305">
        <v>5.561E-2</v>
      </c>
      <c r="C305">
        <v>2.2400000000000002</v>
      </c>
      <c r="D305">
        <v>0.4</v>
      </c>
      <c r="E305">
        <v>7.0410000000000004</v>
      </c>
      <c r="F305">
        <v>10</v>
      </c>
      <c r="G305">
        <v>7.8277999999999999</v>
      </c>
      <c r="H305">
        <v>5</v>
      </c>
      <c r="I305">
        <v>358</v>
      </c>
      <c r="J305">
        <v>14.8</v>
      </c>
      <c r="K305">
        <v>371.58</v>
      </c>
      <c r="L305">
        <v>4.74</v>
      </c>
      <c r="M305">
        <v>29</v>
      </c>
      <c r="O305" s="101">
        <f t="shared" si="78"/>
        <v>-0.4140459020106711</v>
      </c>
      <c r="P305" s="101">
        <f t="shared" si="79"/>
        <v>-1.2981231531615369</v>
      </c>
      <c r="Q305" s="101">
        <f t="shared" si="80"/>
        <v>-1.3363069812457045</v>
      </c>
      <c r="R305" s="101">
        <f t="shared" si="81"/>
        <v>1.0775628323666233</v>
      </c>
      <c r="S305" s="101">
        <f t="shared" si="82"/>
        <v>-2.0829569838685864</v>
      </c>
      <c r="T305" s="101">
        <f t="shared" si="83"/>
        <v>1.9170483703028292</v>
      </c>
      <c r="U305" s="101">
        <f t="shared" si="84"/>
        <v>-0.52300144620353584</v>
      </c>
      <c r="V305" s="101">
        <f t="shared" si="85"/>
        <v>-0.29837266997669254</v>
      </c>
      <c r="W305" s="101">
        <f t="shared" si="86"/>
        <v>-1.6901816267293954</v>
      </c>
      <c r="X305" s="101">
        <f t="shared" si="87"/>
        <v>0.16343437898423691</v>
      </c>
      <c r="Y305" s="101">
        <f t="shared" si="88"/>
        <v>-1.1092040125774405</v>
      </c>
      <c r="Z305" s="101">
        <f t="shared" si="89"/>
        <v>0.70387304630814262</v>
      </c>
      <c r="AQ305" s="101">
        <v>-3.6197454177924953</v>
      </c>
      <c r="AR305" s="101">
        <v>3.9702609213885187E-2</v>
      </c>
      <c r="AS305" s="101">
        <v>1.4156989332983307</v>
      </c>
      <c r="AT305" s="101">
        <v>-0.92789488731306302</v>
      </c>
      <c r="AU305" s="101">
        <v>-0.58843271499069993</v>
      </c>
      <c r="AV305" s="101">
        <v>-1.0100403550699242</v>
      </c>
      <c r="AW305" s="101">
        <v>-0.45404111281836534</v>
      </c>
      <c r="AX305" s="101">
        <v>0.37028306857362087</v>
      </c>
      <c r="AY305" s="101">
        <v>0.13676693017907704</v>
      </c>
      <c r="AZ305" s="101">
        <v>-0.11100355374165767</v>
      </c>
      <c r="BA305" s="101">
        <v>-0.22025357453220168</v>
      </c>
      <c r="BB305" s="101">
        <v>0.17432906814232846</v>
      </c>
    </row>
    <row r="306" spans="2:54">
      <c r="B306">
        <v>4.4170000000000001E-2</v>
      </c>
      <c r="C306">
        <v>2.2400000000000002</v>
      </c>
      <c r="D306">
        <v>0.4</v>
      </c>
      <c r="E306">
        <v>6.8710000000000004</v>
      </c>
      <c r="F306">
        <v>47.4</v>
      </c>
      <c r="G306">
        <v>7.8277999999999999</v>
      </c>
      <c r="H306">
        <v>5</v>
      </c>
      <c r="I306">
        <v>358</v>
      </c>
      <c r="J306">
        <v>14.8</v>
      </c>
      <c r="K306">
        <v>390.86</v>
      </c>
      <c r="L306">
        <v>6.07</v>
      </c>
      <c r="M306">
        <v>24.8</v>
      </c>
      <c r="O306" s="101">
        <f t="shared" si="78"/>
        <v>-0.41537721179172726</v>
      </c>
      <c r="P306" s="101">
        <f t="shared" si="79"/>
        <v>-1.2981231531615369</v>
      </c>
      <c r="Q306" s="101">
        <f t="shared" si="80"/>
        <v>-1.3363069812457045</v>
      </c>
      <c r="R306" s="101">
        <f t="shared" si="81"/>
        <v>0.83537085742880224</v>
      </c>
      <c r="S306" s="101">
        <f t="shared" si="82"/>
        <v>-0.75299159562804263</v>
      </c>
      <c r="T306" s="101">
        <f t="shared" si="83"/>
        <v>1.9170483703028292</v>
      </c>
      <c r="U306" s="101">
        <f t="shared" si="84"/>
        <v>-0.52300144620353584</v>
      </c>
      <c r="V306" s="101">
        <f t="shared" si="85"/>
        <v>-0.29837266997669254</v>
      </c>
      <c r="W306" s="101">
        <f t="shared" si="86"/>
        <v>-1.6901816267293954</v>
      </c>
      <c r="X306" s="101">
        <f t="shared" si="87"/>
        <v>0.37482720812513065</v>
      </c>
      <c r="Y306" s="101">
        <f t="shared" si="88"/>
        <v>-0.92277288069106511</v>
      </c>
      <c r="Z306" s="101">
        <f t="shared" si="89"/>
        <v>0.24675564072995212</v>
      </c>
      <c r="AQ306" s="101">
        <v>-3.0291851986859495</v>
      </c>
      <c r="AR306" s="101">
        <v>-8.7605785674483239E-2</v>
      </c>
      <c r="AS306" s="101">
        <v>0.74346491836164441</v>
      </c>
      <c r="AT306" s="101">
        <v>-0.83499096574538223</v>
      </c>
      <c r="AU306" s="101">
        <v>-0.66944758281860628</v>
      </c>
      <c r="AV306" s="101">
        <v>-0.49325223315368039</v>
      </c>
      <c r="AW306" s="101">
        <v>-1.0325686716757247</v>
      </c>
      <c r="AX306" s="101">
        <v>0.20361678983903198</v>
      </c>
      <c r="AY306" s="101">
        <v>-0.12967215577554247</v>
      </c>
      <c r="AZ306" s="101">
        <v>0.59900166448925196</v>
      </c>
      <c r="BA306" s="101">
        <v>-0.48882802225930266</v>
      </c>
      <c r="BB306" s="101">
        <v>9.0463816820526885E-2</v>
      </c>
    </row>
    <row r="307" spans="2:54">
      <c r="B307">
        <v>3.5369999999999999E-2</v>
      </c>
      <c r="C307">
        <v>6.09</v>
      </c>
      <c r="D307">
        <v>0.433</v>
      </c>
      <c r="E307">
        <v>6.59</v>
      </c>
      <c r="F307">
        <v>40.4</v>
      </c>
      <c r="G307">
        <v>5.4916999999999998</v>
      </c>
      <c r="H307">
        <v>7</v>
      </c>
      <c r="I307">
        <v>329</v>
      </c>
      <c r="J307">
        <v>16.100000000000001</v>
      </c>
      <c r="K307">
        <v>395.75</v>
      </c>
      <c r="L307">
        <v>9.5</v>
      </c>
      <c r="M307">
        <v>22</v>
      </c>
      <c r="O307" s="101">
        <f t="shared" si="78"/>
        <v>-0.41640129623869354</v>
      </c>
      <c r="P307" s="101">
        <f t="shared" si="79"/>
        <v>-0.73637217195326021</v>
      </c>
      <c r="Q307" s="101">
        <f t="shared" si="80"/>
        <v>-1.0512420891675651</v>
      </c>
      <c r="R307" s="101">
        <f t="shared" si="81"/>
        <v>0.43504176944334394</v>
      </c>
      <c r="S307" s="101">
        <f t="shared" si="82"/>
        <v>-1.0019155987746684</v>
      </c>
      <c r="T307" s="101">
        <f t="shared" si="83"/>
        <v>0.80653852527511072</v>
      </c>
      <c r="U307" s="101">
        <f t="shared" si="84"/>
        <v>-0.29308074092205089</v>
      </c>
      <c r="V307" s="101">
        <f t="shared" si="85"/>
        <v>-0.47061187372326957</v>
      </c>
      <c r="W307" s="101">
        <f t="shared" si="86"/>
        <v>-1.0891103859538154</v>
      </c>
      <c r="X307" s="101">
        <f t="shared" si="87"/>
        <v>0.42844292049540894</v>
      </c>
      <c r="Y307" s="101">
        <f t="shared" si="88"/>
        <v>-0.44197680372093945</v>
      </c>
      <c r="Z307" s="101">
        <f t="shared" si="89"/>
        <v>-5.7989296322174963E-2</v>
      </c>
      <c r="AQ307" s="101">
        <v>-2.0362789465234821</v>
      </c>
      <c r="AR307" s="101">
        <v>-0.31153419593595699</v>
      </c>
      <c r="AS307" s="101">
        <v>0.30938287885985005</v>
      </c>
      <c r="AT307" s="101">
        <v>-0.45727575461934727</v>
      </c>
      <c r="AU307" s="101">
        <v>-0.45346206945468731</v>
      </c>
      <c r="AV307" s="101">
        <v>-0.42432423539927733</v>
      </c>
      <c r="AW307" s="101">
        <v>-0.37355268665268382</v>
      </c>
      <c r="AX307" s="101">
        <v>0.20024509420997835</v>
      </c>
      <c r="AY307" s="101">
        <v>0.13081853013939354</v>
      </c>
      <c r="AZ307" s="101">
        <v>-0.17929631425415329</v>
      </c>
      <c r="BA307" s="101">
        <v>-0.57821609564156329</v>
      </c>
      <c r="BB307" s="101">
        <v>-0.20719536228870433</v>
      </c>
    </row>
    <row r="308" spans="2:54">
      <c r="B308">
        <v>9.2660000000000006E-2</v>
      </c>
      <c r="C308">
        <v>6.09</v>
      </c>
      <c r="D308">
        <v>0.433</v>
      </c>
      <c r="E308">
        <v>6.4950000000000001</v>
      </c>
      <c r="F308">
        <v>18.399999999999999</v>
      </c>
      <c r="G308">
        <v>5.4916999999999998</v>
      </c>
      <c r="H308">
        <v>7</v>
      </c>
      <c r="I308">
        <v>329</v>
      </c>
      <c r="J308">
        <v>16.100000000000001</v>
      </c>
      <c r="K308">
        <v>383.61</v>
      </c>
      <c r="L308">
        <v>8.67</v>
      </c>
      <c r="M308">
        <v>26.4</v>
      </c>
      <c r="O308" s="101">
        <f t="shared" si="78"/>
        <v>-0.40973427374247789</v>
      </c>
      <c r="P308" s="101">
        <f t="shared" si="79"/>
        <v>-0.73637217195326021</v>
      </c>
      <c r="Q308" s="101">
        <f t="shared" si="80"/>
        <v>-1.0512420891675651</v>
      </c>
      <c r="R308" s="101">
        <f t="shared" si="81"/>
        <v>0.29969919521338539</v>
      </c>
      <c r="S308" s="101">
        <f t="shared" si="82"/>
        <v>-1.7842481800926353</v>
      </c>
      <c r="T308" s="101">
        <f t="shared" si="83"/>
        <v>0.80653852527511072</v>
      </c>
      <c r="U308" s="101">
        <f t="shared" si="84"/>
        <v>-0.29308074092205089</v>
      </c>
      <c r="V308" s="101">
        <f t="shared" si="85"/>
        <v>-0.47061187372326957</v>
      </c>
      <c r="W308" s="101">
        <f t="shared" si="86"/>
        <v>-1.0891103859538154</v>
      </c>
      <c r="X308" s="101">
        <f t="shared" si="87"/>
        <v>0.29533561003013697</v>
      </c>
      <c r="Y308" s="101">
        <f t="shared" si="88"/>
        <v>-0.55832104392070747</v>
      </c>
      <c r="Z308" s="101">
        <f t="shared" si="89"/>
        <v>0.42089560475973875</v>
      </c>
      <c r="AQ308" s="101">
        <v>-2.382645962603632</v>
      </c>
      <c r="AR308" s="101">
        <v>-0.28466276250817968</v>
      </c>
      <c r="AS308" s="101">
        <v>0.65390081228187324</v>
      </c>
      <c r="AT308" s="101">
        <v>-0.51290836981063659</v>
      </c>
      <c r="AU308" s="101">
        <v>-0.45188115240171134</v>
      </c>
      <c r="AV308" s="101">
        <v>-0.81460499647960882</v>
      </c>
      <c r="AW308" s="101">
        <v>0.139341153168203</v>
      </c>
      <c r="AX308" s="101">
        <v>7.5357262908741313E-2</v>
      </c>
      <c r="AY308" s="101">
        <v>0.33987379273568208</v>
      </c>
      <c r="AZ308" s="101">
        <v>-0.48868268898084333</v>
      </c>
      <c r="BA308" s="101">
        <v>-0.30933422603353722</v>
      </c>
      <c r="BB308" s="101">
        <v>-0.1309673260113339</v>
      </c>
    </row>
    <row r="309" spans="2:54">
      <c r="B309">
        <v>0.1</v>
      </c>
      <c r="C309">
        <v>6.09</v>
      </c>
      <c r="D309">
        <v>0.433</v>
      </c>
      <c r="E309">
        <v>6.9820000000000002</v>
      </c>
      <c r="F309">
        <v>17.7</v>
      </c>
      <c r="G309">
        <v>5.4916999999999998</v>
      </c>
      <c r="H309">
        <v>7</v>
      </c>
      <c r="I309">
        <v>329</v>
      </c>
      <c r="J309">
        <v>16.100000000000001</v>
      </c>
      <c r="K309">
        <v>390.43</v>
      </c>
      <c r="L309">
        <v>4.8600000000000003</v>
      </c>
      <c r="M309">
        <v>33.1</v>
      </c>
      <c r="O309" s="101">
        <f t="shared" si="78"/>
        <v>-0.40888009421512195</v>
      </c>
      <c r="P309" s="101">
        <f t="shared" si="79"/>
        <v>-0.73637217195326021</v>
      </c>
      <c r="Q309" s="101">
        <f t="shared" si="80"/>
        <v>-1.0512420891675651</v>
      </c>
      <c r="R309" s="101">
        <f t="shared" si="81"/>
        <v>0.99350797047643813</v>
      </c>
      <c r="S309" s="101">
        <f t="shared" si="82"/>
        <v>-1.8091405804072977</v>
      </c>
      <c r="T309" s="101">
        <f t="shared" si="83"/>
        <v>0.80653852527511072</v>
      </c>
      <c r="U309" s="101">
        <f t="shared" si="84"/>
        <v>-0.29308074092205089</v>
      </c>
      <c r="V309" s="101">
        <f t="shared" si="85"/>
        <v>-0.47061187372326957</v>
      </c>
      <c r="W309" s="101">
        <f t="shared" si="86"/>
        <v>-1.0891103859538154</v>
      </c>
      <c r="X309" s="101">
        <f t="shared" si="87"/>
        <v>0.37011253403122057</v>
      </c>
      <c r="Y309" s="101">
        <f t="shared" si="88"/>
        <v>-1.0923831585726547</v>
      </c>
      <c r="Z309" s="101">
        <f t="shared" si="89"/>
        <v>1.1501067041344717</v>
      </c>
      <c r="AQ309" s="101">
        <v>-2.9236898085140188</v>
      </c>
      <c r="AR309" s="101">
        <v>0.58066128706988929</v>
      </c>
      <c r="AS309" s="101">
        <v>0.94929093261224751</v>
      </c>
      <c r="AT309" s="101">
        <v>-0.19111635448155437</v>
      </c>
      <c r="AU309" s="101">
        <v>-0.34060988546493493</v>
      </c>
      <c r="AV309" s="101">
        <v>-0.73851440807703228</v>
      </c>
      <c r="AW309" s="101">
        <v>0.23815294746028276</v>
      </c>
      <c r="AX309" s="101">
        <v>0.1467863665635557</v>
      </c>
      <c r="AY309" s="101">
        <v>0.36171222305827422</v>
      </c>
      <c r="AZ309" s="101">
        <v>-0.38710669685313237</v>
      </c>
      <c r="BA309" s="101">
        <v>-0.14887173815594279</v>
      </c>
      <c r="BB309" s="101">
        <v>-7.9446568892617808E-2</v>
      </c>
    </row>
    <row r="310" spans="2:54">
      <c r="B310">
        <v>5.5149999999999998E-2</v>
      </c>
      <c r="C310">
        <v>2.1800000000000002</v>
      </c>
      <c r="D310">
        <v>0.47199999999999998</v>
      </c>
      <c r="E310">
        <v>7.2359999999999998</v>
      </c>
      <c r="F310">
        <v>41.1</v>
      </c>
      <c r="G310">
        <v>4.0220000000000002</v>
      </c>
      <c r="H310">
        <v>7</v>
      </c>
      <c r="I310">
        <v>222</v>
      </c>
      <c r="J310">
        <v>18.399999999999999</v>
      </c>
      <c r="K310">
        <v>393.68</v>
      </c>
      <c r="L310">
        <v>6.93</v>
      </c>
      <c r="M310">
        <v>36.1</v>
      </c>
      <c r="O310" s="101">
        <f t="shared" si="78"/>
        <v>-0.41409943369767166</v>
      </c>
      <c r="P310" s="101">
        <f t="shared" si="79"/>
        <v>-1.30687771390764</v>
      </c>
      <c r="Q310" s="101">
        <f t="shared" si="80"/>
        <v>-0.7143472167115823</v>
      </c>
      <c r="R310" s="101">
        <f t="shared" si="81"/>
        <v>1.3553712742070645</v>
      </c>
      <c r="S310" s="101">
        <f t="shared" si="82"/>
        <v>-0.97702319846000574</v>
      </c>
      <c r="T310" s="101">
        <f t="shared" si="83"/>
        <v>0.10788850205810925</v>
      </c>
      <c r="U310" s="101">
        <f t="shared" si="84"/>
        <v>-0.29308074092205089</v>
      </c>
      <c r="V310" s="101">
        <f t="shared" si="85"/>
        <v>-1.1061151427192606</v>
      </c>
      <c r="W310" s="101">
        <f t="shared" si="86"/>
        <v>-2.5676652273944795E-2</v>
      </c>
      <c r="X310" s="101">
        <f t="shared" si="87"/>
        <v>0.40574669869449359</v>
      </c>
      <c r="Y310" s="101">
        <f t="shared" si="88"/>
        <v>-0.80222342699010074</v>
      </c>
      <c r="Z310" s="101">
        <f t="shared" si="89"/>
        <v>1.4766191366903221</v>
      </c>
      <c r="AQ310" s="101">
        <v>-2.6228188526873928</v>
      </c>
      <c r="AR310" s="101">
        <v>0.89291274946997035</v>
      </c>
      <c r="AS310" s="101">
        <v>0.57055100966867534</v>
      </c>
      <c r="AT310" s="101">
        <v>0.40171881442699109</v>
      </c>
      <c r="AU310" s="101">
        <v>0.17311820524032503</v>
      </c>
      <c r="AV310" s="101">
        <v>0.5995972943911162</v>
      </c>
      <c r="AW310" s="101">
        <v>0.12750602117014775</v>
      </c>
      <c r="AX310" s="101">
        <v>-0.41780101539863734</v>
      </c>
      <c r="AY310" s="101">
        <v>0.15152624436721296</v>
      </c>
      <c r="AZ310" s="101">
        <v>-0.76798797286518439</v>
      </c>
      <c r="BA310" s="101">
        <v>0.30094621548041656</v>
      </c>
      <c r="BB310" s="101">
        <v>-0.2111240695260308</v>
      </c>
    </row>
    <row r="311" spans="2:54">
      <c r="B311">
        <v>5.4789999999999998E-2</v>
      </c>
      <c r="C311">
        <v>2.1800000000000002</v>
      </c>
      <c r="D311">
        <v>0.47199999999999998</v>
      </c>
      <c r="E311">
        <v>6.6159999999999997</v>
      </c>
      <c r="F311">
        <v>58.1</v>
      </c>
      <c r="G311">
        <v>3.37</v>
      </c>
      <c r="H311">
        <v>7</v>
      </c>
      <c r="I311">
        <v>222</v>
      </c>
      <c r="J311">
        <v>18.399999999999999</v>
      </c>
      <c r="K311">
        <v>393.36</v>
      </c>
      <c r="L311">
        <v>8.93</v>
      </c>
      <c r="M311">
        <v>28.4</v>
      </c>
      <c r="O311" s="101">
        <f t="shared" si="78"/>
        <v>-0.41414132806141113</v>
      </c>
      <c r="P311" s="101">
        <f t="shared" si="79"/>
        <v>-1.30687771390764</v>
      </c>
      <c r="Q311" s="101">
        <f t="shared" si="80"/>
        <v>-0.7143472167115823</v>
      </c>
      <c r="R311" s="101">
        <f t="shared" si="81"/>
        <v>0.47208289502206929</v>
      </c>
      <c r="S311" s="101">
        <f t="shared" si="82"/>
        <v>-0.37249347653248588</v>
      </c>
      <c r="T311" s="101">
        <f t="shared" si="83"/>
        <v>-0.20205217640517253</v>
      </c>
      <c r="U311" s="101">
        <f t="shared" si="84"/>
        <v>-0.29308074092205089</v>
      </c>
      <c r="V311" s="101">
        <f t="shared" si="85"/>
        <v>-1.1061151427192606</v>
      </c>
      <c r="W311" s="101">
        <f t="shared" si="86"/>
        <v>-2.5676652273944795E-2</v>
      </c>
      <c r="X311" s="101">
        <f t="shared" si="87"/>
        <v>0.40223810401995602</v>
      </c>
      <c r="Y311" s="101">
        <f t="shared" si="88"/>
        <v>-0.52187586024367172</v>
      </c>
      <c r="Z311" s="101">
        <f t="shared" si="89"/>
        <v>0.63857055979697241</v>
      </c>
      <c r="AQ311" s="101">
        <v>-1.8433022764763805</v>
      </c>
      <c r="AR311" s="101">
        <v>0.15949003505083698</v>
      </c>
      <c r="AS311" s="101">
        <v>-5.7337706437013511E-2</v>
      </c>
      <c r="AT311" s="101">
        <v>0.20897832263052679</v>
      </c>
      <c r="AU311" s="101">
        <v>7.835619608176457E-2</v>
      </c>
      <c r="AV311" s="101">
        <v>0.73528628664099804</v>
      </c>
      <c r="AW311" s="101">
        <v>9.8209600990889934E-2</v>
      </c>
      <c r="AX311" s="101">
        <v>-0.67935113906083466</v>
      </c>
      <c r="AY311" s="101">
        <v>-0.15418327965273515</v>
      </c>
      <c r="AZ311" s="101">
        <v>-0.56309982314309326</v>
      </c>
      <c r="BA311" s="101">
        <v>-0.15190692176269877</v>
      </c>
      <c r="BB311" s="101">
        <v>-0.30348548008052129</v>
      </c>
    </row>
    <row r="312" spans="2:54">
      <c r="B312">
        <v>7.5029999999999999E-2</v>
      </c>
      <c r="C312">
        <v>2.1800000000000002</v>
      </c>
      <c r="D312">
        <v>0.47199999999999998</v>
      </c>
      <c r="E312">
        <v>7.42</v>
      </c>
      <c r="F312">
        <v>71.900000000000006</v>
      </c>
      <c r="G312">
        <v>3.0992000000000002</v>
      </c>
      <c r="H312">
        <v>7</v>
      </c>
      <c r="I312">
        <v>222</v>
      </c>
      <c r="J312">
        <v>18.399999999999999</v>
      </c>
      <c r="K312">
        <v>396.9</v>
      </c>
      <c r="L312">
        <v>6.47</v>
      </c>
      <c r="M312">
        <v>33.4</v>
      </c>
      <c r="O312" s="101">
        <f t="shared" si="78"/>
        <v>-0.41178593383338874</v>
      </c>
      <c r="P312" s="101">
        <f t="shared" si="79"/>
        <v>-1.30687771390764</v>
      </c>
      <c r="Q312" s="101">
        <f t="shared" si="80"/>
        <v>-0.7143472167115823</v>
      </c>
      <c r="R312" s="101">
        <f t="shared" si="81"/>
        <v>1.6175084706103537</v>
      </c>
      <c r="S312" s="101">
        <f t="shared" si="82"/>
        <v>0.11824241538514808</v>
      </c>
      <c r="T312" s="101">
        <f t="shared" si="83"/>
        <v>-0.33078213917795884</v>
      </c>
      <c r="U312" s="101">
        <f t="shared" si="84"/>
        <v>-0.29308074092205089</v>
      </c>
      <c r="V312" s="101">
        <f t="shared" si="85"/>
        <v>-1.1061151427192606</v>
      </c>
      <c r="W312" s="101">
        <f t="shared" si="86"/>
        <v>-2.5676652273944795E-2</v>
      </c>
      <c r="X312" s="101">
        <f t="shared" si="87"/>
        <v>0.44105193260702835</v>
      </c>
      <c r="Y312" s="101">
        <f t="shared" si="88"/>
        <v>-0.86670336734177944</v>
      </c>
      <c r="Z312" s="101">
        <f t="shared" si="89"/>
        <v>1.1827579473900562</v>
      </c>
      <c r="AQ312" s="101">
        <v>-2.165807644124139</v>
      </c>
      <c r="AR312" s="101">
        <v>1.2980831276361031</v>
      </c>
      <c r="AS312" s="101">
        <v>9.0318581876095164E-2</v>
      </c>
      <c r="AT312" s="101">
        <v>0.52338732328892679</v>
      </c>
      <c r="AU312" s="101">
        <v>0.30414345370114371</v>
      </c>
      <c r="AV312" s="101">
        <v>1.2178592398582933</v>
      </c>
      <c r="AW312" s="101">
        <v>-0.2306973486588193</v>
      </c>
      <c r="AX312" s="101">
        <v>-0.45969114237830122</v>
      </c>
      <c r="AY312" s="101">
        <v>-0.1090874903700661</v>
      </c>
      <c r="AZ312" s="101">
        <v>-0.41589433970647749</v>
      </c>
      <c r="BA312" s="101">
        <v>-0.15597846212319866</v>
      </c>
      <c r="BB312" s="101">
        <v>-0.2737363387883141</v>
      </c>
    </row>
    <row r="313" spans="2:54">
      <c r="B313">
        <v>4.9320000000000003E-2</v>
      </c>
      <c r="C313">
        <v>2.1800000000000002</v>
      </c>
      <c r="D313">
        <v>0.47199999999999998</v>
      </c>
      <c r="E313">
        <v>6.8490000000000002</v>
      </c>
      <c r="F313">
        <v>70.3</v>
      </c>
      <c r="G313">
        <v>3.1827000000000001</v>
      </c>
      <c r="H313">
        <v>7</v>
      </c>
      <c r="I313">
        <v>222</v>
      </c>
      <c r="J313">
        <v>18.399999999999999</v>
      </c>
      <c r="K313">
        <v>396.9</v>
      </c>
      <c r="L313">
        <v>7.53</v>
      </c>
      <c r="M313">
        <v>28.2</v>
      </c>
      <c r="O313" s="101">
        <f t="shared" si="78"/>
        <v>-0.41477788964378681</v>
      </c>
      <c r="P313" s="101">
        <f t="shared" si="79"/>
        <v>-1.30687771390764</v>
      </c>
      <c r="Q313" s="101">
        <f t="shared" si="80"/>
        <v>-0.7143472167115823</v>
      </c>
      <c r="R313" s="101">
        <f t="shared" si="81"/>
        <v>0.80402836655449561</v>
      </c>
      <c r="S313" s="101">
        <f t="shared" si="82"/>
        <v>6.1345500380204733E-2</v>
      </c>
      <c r="T313" s="101">
        <f t="shared" si="83"/>
        <v>-0.29108881609255394</v>
      </c>
      <c r="U313" s="101">
        <f t="shared" si="84"/>
        <v>-0.29308074092205089</v>
      </c>
      <c r="V313" s="101">
        <f t="shared" si="85"/>
        <v>-1.1061151427192606</v>
      </c>
      <c r="W313" s="101">
        <f t="shared" si="86"/>
        <v>-2.5676652273944795E-2</v>
      </c>
      <c r="X313" s="101">
        <f t="shared" si="87"/>
        <v>0.44105193260702835</v>
      </c>
      <c r="Y313" s="101">
        <f t="shared" si="88"/>
        <v>-0.71811915696617201</v>
      </c>
      <c r="Z313" s="101">
        <f t="shared" si="89"/>
        <v>0.61680306429324905</v>
      </c>
      <c r="AQ313" s="101">
        <v>-1.821702708691374</v>
      </c>
      <c r="AR313" s="101">
        <v>0.50489834719127602</v>
      </c>
      <c r="AS313" s="101">
        <v>-0.13670566177022675</v>
      </c>
      <c r="AT313" s="101">
        <v>0.33401120695260644</v>
      </c>
      <c r="AU313" s="101">
        <v>0.16591994764757664</v>
      </c>
      <c r="AV313" s="101">
        <v>0.99887433003054171</v>
      </c>
      <c r="AW313" s="101">
        <v>-8.7049734532031436E-2</v>
      </c>
      <c r="AX313" s="101">
        <v>-0.5934497628306965</v>
      </c>
      <c r="AY313" s="101">
        <v>-0.30874332223862833</v>
      </c>
      <c r="AZ313" s="101">
        <v>-0.37020139862308965</v>
      </c>
      <c r="BA313" s="101">
        <v>-0.30809193103295579</v>
      </c>
      <c r="BB313" s="101">
        <v>-0.33140164037692788</v>
      </c>
    </row>
    <row r="314" spans="2:54">
      <c r="B314">
        <v>0.49297999999999997</v>
      </c>
      <c r="C314">
        <v>9.9</v>
      </c>
      <c r="D314">
        <v>0.54400000000000004</v>
      </c>
      <c r="E314">
        <v>6.6349999999999998</v>
      </c>
      <c r="F314">
        <v>82.5</v>
      </c>
      <c r="G314">
        <v>3.3174999999999999</v>
      </c>
      <c r="H314">
        <v>4</v>
      </c>
      <c r="I314">
        <v>304</v>
      </c>
      <c r="J314">
        <v>18.399999999999999</v>
      </c>
      <c r="K314">
        <v>396.9</v>
      </c>
      <c r="L314">
        <v>4.54</v>
      </c>
      <c r="M314">
        <v>22.8</v>
      </c>
      <c r="O314" s="101">
        <f t="shared" si="78"/>
        <v>-0.36314774126412153</v>
      </c>
      <c r="P314" s="101">
        <f t="shared" si="79"/>
        <v>-0.18045756457571877</v>
      </c>
      <c r="Q314" s="101">
        <f t="shared" si="80"/>
        <v>-9.2387452177459389E-2</v>
      </c>
      <c r="R314" s="101">
        <f t="shared" si="81"/>
        <v>0.49915140986806122</v>
      </c>
      <c r="S314" s="101">
        <f t="shared" si="82"/>
        <v>0.49518447729289561</v>
      </c>
      <c r="T314" s="101">
        <f t="shared" si="83"/>
        <v>-0.22700905618940925</v>
      </c>
      <c r="U314" s="101">
        <f t="shared" si="84"/>
        <v>-0.63796179884427828</v>
      </c>
      <c r="V314" s="101">
        <f t="shared" si="85"/>
        <v>-0.61909394591859457</v>
      </c>
      <c r="W314" s="101">
        <f t="shared" si="86"/>
        <v>-2.5676652273944795E-2</v>
      </c>
      <c r="X314" s="101">
        <f t="shared" si="87"/>
        <v>0.44105193260702835</v>
      </c>
      <c r="Y314" s="101">
        <f t="shared" si="88"/>
        <v>-1.1372387692520831</v>
      </c>
      <c r="Z314" s="101">
        <f t="shared" si="89"/>
        <v>2.9080685692718548E-2</v>
      </c>
      <c r="AQ314" s="101">
        <v>-0.96120483214121888</v>
      </c>
      <c r="AR314" s="101">
        <v>0.51332598368957472</v>
      </c>
      <c r="AS314" s="101">
        <v>-0.6009942976536552</v>
      </c>
      <c r="AT314" s="101">
        <v>0.43578023079744144</v>
      </c>
      <c r="AU314" s="101">
        <v>0.30520233365506222</v>
      </c>
      <c r="AV314" s="101">
        <v>0.51005097421553702</v>
      </c>
      <c r="AW314" s="101">
        <v>0.20678252232283562</v>
      </c>
      <c r="AX314" s="101">
        <v>0.29965987933621768</v>
      </c>
      <c r="AY314" s="101">
        <v>-0.73073663092796792</v>
      </c>
      <c r="AZ314" s="101">
        <v>0.31816253283199508</v>
      </c>
      <c r="BA314" s="101">
        <v>-0.36115981163259731</v>
      </c>
      <c r="BB314" s="101">
        <v>-9.2052922590293851E-2</v>
      </c>
    </row>
    <row r="315" spans="2:54">
      <c r="B315">
        <v>0.34939999999999999</v>
      </c>
      <c r="C315">
        <v>9.9</v>
      </c>
      <c r="D315">
        <v>0.54400000000000004</v>
      </c>
      <c r="E315">
        <v>5.9720000000000004</v>
      </c>
      <c r="F315">
        <v>76.7</v>
      </c>
      <c r="G315">
        <v>3.1025</v>
      </c>
      <c r="H315">
        <v>4</v>
      </c>
      <c r="I315">
        <v>304</v>
      </c>
      <c r="J315">
        <v>18.399999999999999</v>
      </c>
      <c r="K315">
        <v>396.24</v>
      </c>
      <c r="L315">
        <v>9.9700000000000006</v>
      </c>
      <c r="M315">
        <v>20.3</v>
      </c>
      <c r="O315" s="101">
        <f t="shared" si="78"/>
        <v>-0.37985661000223703</v>
      </c>
      <c r="P315" s="101">
        <f t="shared" si="79"/>
        <v>-0.18045756457571877</v>
      </c>
      <c r="Q315" s="101">
        <f t="shared" si="80"/>
        <v>-9.2387452177459389E-2</v>
      </c>
      <c r="R315" s="101">
        <f t="shared" si="81"/>
        <v>-0.4453972923894407</v>
      </c>
      <c r="S315" s="101">
        <f t="shared" si="82"/>
        <v>0.28893316039997713</v>
      </c>
      <c r="T315" s="101">
        <f t="shared" si="83"/>
        <v>-0.3292134210200926</v>
      </c>
      <c r="U315" s="101">
        <f t="shared" si="84"/>
        <v>-0.63796179884427828</v>
      </c>
      <c r="V315" s="101">
        <f t="shared" si="85"/>
        <v>-0.61909394591859457</v>
      </c>
      <c r="W315" s="101">
        <f t="shared" si="86"/>
        <v>-2.5676652273944795E-2</v>
      </c>
      <c r="X315" s="101">
        <f t="shared" si="87"/>
        <v>0.4338154560907948</v>
      </c>
      <c r="Y315" s="101">
        <f t="shared" si="88"/>
        <v>-0.37609512553552854</v>
      </c>
      <c r="Z315" s="101">
        <f t="shared" si="89"/>
        <v>-0.24301300810382345</v>
      </c>
      <c r="AQ315" s="101">
        <v>-0.47799657329613221</v>
      </c>
      <c r="AR315" s="101">
        <v>-0.34513659798212853</v>
      </c>
      <c r="AS315" s="101">
        <v>-0.95464674317464615</v>
      </c>
      <c r="AT315" s="101">
        <v>0.15647920524103667</v>
      </c>
      <c r="AU315" s="101">
        <v>8.1576680283285768E-2</v>
      </c>
      <c r="AV315" s="101">
        <v>0.28420220456513523</v>
      </c>
      <c r="AW315" s="101">
        <v>0.3411851205756874</v>
      </c>
      <c r="AX315" s="101">
        <v>-8.3120023064929313E-2</v>
      </c>
      <c r="AY315" s="101">
        <v>-0.41986452227787086</v>
      </c>
      <c r="AZ315" s="101">
        <v>8.5454413647581065E-2</v>
      </c>
      <c r="BA315" s="101">
        <v>-0.27112774525738215</v>
      </c>
      <c r="BB315" s="101">
        <v>-6.3147831054504389E-2</v>
      </c>
    </row>
    <row r="316" spans="2:54">
      <c r="B316">
        <v>2.6354799999999998</v>
      </c>
      <c r="C316">
        <v>9.9</v>
      </c>
      <c r="D316">
        <v>0.54400000000000004</v>
      </c>
      <c r="E316">
        <v>4.9729999999999999</v>
      </c>
      <c r="F316">
        <v>37.799999999999997</v>
      </c>
      <c r="G316">
        <v>2.5194000000000001</v>
      </c>
      <c r="H316">
        <v>4</v>
      </c>
      <c r="I316">
        <v>304</v>
      </c>
      <c r="J316">
        <v>18.399999999999999</v>
      </c>
      <c r="K316">
        <v>350.45</v>
      </c>
      <c r="L316">
        <v>12.64</v>
      </c>
      <c r="M316">
        <v>16.100000000000001</v>
      </c>
      <c r="O316" s="101">
        <f t="shared" si="78"/>
        <v>-0.11381809039761824</v>
      </c>
      <c r="P316" s="101">
        <f t="shared" si="79"/>
        <v>-0.18045756457571877</v>
      </c>
      <c r="Q316" s="101">
        <f t="shared" si="80"/>
        <v>-9.2387452177459389E-2</v>
      </c>
      <c r="R316" s="101">
        <f t="shared" si="81"/>
        <v>-1.8686313098181675</v>
      </c>
      <c r="S316" s="101">
        <f t="shared" si="82"/>
        <v>-1.094373085657701</v>
      </c>
      <c r="T316" s="101">
        <f t="shared" si="83"/>
        <v>-0.60640116582368087</v>
      </c>
      <c r="U316" s="101">
        <f t="shared" si="84"/>
        <v>-0.63796179884427828</v>
      </c>
      <c r="V316" s="101">
        <f t="shared" si="85"/>
        <v>-0.61909394591859457</v>
      </c>
      <c r="W316" s="101">
        <f t="shared" si="86"/>
        <v>-2.5676652273944795E-2</v>
      </c>
      <c r="X316" s="101">
        <f t="shared" si="87"/>
        <v>-6.8242513118827258E-2</v>
      </c>
      <c r="Y316" s="101">
        <f t="shared" si="88"/>
        <v>-1.8311239290458405E-3</v>
      </c>
      <c r="Z316" s="101">
        <f t="shared" si="89"/>
        <v>-0.7001304136820139</v>
      </c>
      <c r="AQ316" s="101">
        <v>-9.3327783625143212E-2</v>
      </c>
      <c r="AR316" s="101">
        <v>-1.6148653057483944</v>
      </c>
      <c r="AS316" s="101">
        <v>-0.7115246531830588</v>
      </c>
      <c r="AT316" s="101">
        <v>-0.54062464097562279</v>
      </c>
      <c r="AU316" s="101">
        <v>-0.13826111584711562</v>
      </c>
      <c r="AV316" s="101">
        <v>-0.41981322471379479</v>
      </c>
      <c r="AW316" s="101">
        <v>1.4250126104683807</v>
      </c>
      <c r="AX316" s="101">
        <v>-0.39216597683725396</v>
      </c>
      <c r="AY316" s="101">
        <v>-0.30610519129374902</v>
      </c>
      <c r="AZ316" s="101">
        <v>-0.65882165608423737</v>
      </c>
      <c r="BA316" s="101">
        <v>-0.27168942497822507</v>
      </c>
      <c r="BB316" s="101">
        <v>-2.386072466387873E-2</v>
      </c>
    </row>
    <row r="317" spans="2:54">
      <c r="B317">
        <v>0.79040999999999995</v>
      </c>
      <c r="C317">
        <v>9.9</v>
      </c>
      <c r="D317">
        <v>0.54400000000000004</v>
      </c>
      <c r="E317">
        <v>6.1219999999999999</v>
      </c>
      <c r="F317">
        <v>52.8</v>
      </c>
      <c r="G317">
        <v>2.6402999999999999</v>
      </c>
      <c r="H317">
        <v>4</v>
      </c>
      <c r="I317">
        <v>304</v>
      </c>
      <c r="J317">
        <v>18.399999999999999</v>
      </c>
      <c r="K317">
        <v>396.9</v>
      </c>
      <c r="L317">
        <v>5.98</v>
      </c>
      <c r="M317">
        <v>22.1</v>
      </c>
      <c r="O317" s="101">
        <f t="shared" si="78"/>
        <v>-0.32853485068898775</v>
      </c>
      <c r="P317" s="101">
        <f t="shared" si="79"/>
        <v>-0.18045756457571877</v>
      </c>
      <c r="Q317" s="101">
        <f t="shared" si="80"/>
        <v>-9.2387452177459389E-2</v>
      </c>
      <c r="R317" s="101">
        <f t="shared" si="81"/>
        <v>-0.23169849097371686</v>
      </c>
      <c r="S317" s="101">
        <f t="shared" si="82"/>
        <v>-0.56096450748635984</v>
      </c>
      <c r="T317" s="101">
        <f t="shared" si="83"/>
        <v>-0.54892903694912454</v>
      </c>
      <c r="U317" s="101">
        <f t="shared" si="84"/>
        <v>-0.63796179884427828</v>
      </c>
      <c r="V317" s="101">
        <f t="shared" si="85"/>
        <v>-0.61909394591859457</v>
      </c>
      <c r="W317" s="101">
        <f t="shared" si="86"/>
        <v>-2.5676652273944795E-2</v>
      </c>
      <c r="X317" s="101">
        <f t="shared" si="87"/>
        <v>0.44105193260702835</v>
      </c>
      <c r="Y317" s="101">
        <f t="shared" si="88"/>
        <v>-0.93538852119465443</v>
      </c>
      <c r="Z317" s="101">
        <f t="shared" si="89"/>
        <v>-4.7105548570313134E-2</v>
      </c>
      <c r="AQ317" s="101">
        <v>-0.93457863824277176</v>
      </c>
      <c r="AR317" s="101">
        <v>-0.10421868961392418</v>
      </c>
      <c r="AS317" s="101">
        <v>-0.52734103165958157</v>
      </c>
      <c r="AT317" s="101">
        <v>0.28860066869276058</v>
      </c>
      <c r="AU317" s="101">
        <v>9.4224989170752754E-2</v>
      </c>
      <c r="AV317" s="101">
        <v>-3.2109401641947186E-2</v>
      </c>
      <c r="AW317" s="101">
        <v>0.92223476356264444</v>
      </c>
      <c r="AX317" s="101">
        <v>0.10917029463824277</v>
      </c>
      <c r="AY317" s="101">
        <v>-0.54893053865734465</v>
      </c>
      <c r="AZ317" s="101">
        <v>-0.36744686175092856</v>
      </c>
      <c r="BA317" s="101">
        <v>-0.35324236836716022</v>
      </c>
      <c r="BB317" s="101">
        <v>-4.7000125950525488E-2</v>
      </c>
    </row>
    <row r="318" spans="2:54">
      <c r="B318">
        <v>0.26168999999999998</v>
      </c>
      <c r="C318">
        <v>9.9</v>
      </c>
      <c r="D318">
        <v>0.54400000000000004</v>
      </c>
      <c r="E318">
        <v>6.0229999999999997</v>
      </c>
      <c r="F318">
        <v>90.4</v>
      </c>
      <c r="G318">
        <v>2.8340000000000001</v>
      </c>
      <c r="H318">
        <v>4</v>
      </c>
      <c r="I318">
        <v>304</v>
      </c>
      <c r="J318">
        <v>18.399999999999999</v>
      </c>
      <c r="K318">
        <v>396.3</v>
      </c>
      <c r="L318">
        <v>11.72</v>
      </c>
      <c r="M318">
        <v>19.399999999999999</v>
      </c>
      <c r="O318" s="101">
        <f t="shared" si="78"/>
        <v>-0.39006370623444286</v>
      </c>
      <c r="P318" s="101">
        <f t="shared" si="79"/>
        <v>-0.18045756457571877</v>
      </c>
      <c r="Q318" s="101">
        <f t="shared" si="80"/>
        <v>-9.2387452177459389E-2</v>
      </c>
      <c r="R318" s="101">
        <f t="shared" si="81"/>
        <v>-0.37273969990809541</v>
      </c>
      <c r="S318" s="101">
        <f t="shared" si="82"/>
        <v>0.77611299512980214</v>
      </c>
      <c r="T318" s="101">
        <f t="shared" si="83"/>
        <v>-0.45685003477375996</v>
      </c>
      <c r="U318" s="101">
        <f t="shared" si="84"/>
        <v>-0.63796179884427828</v>
      </c>
      <c r="V318" s="101">
        <f t="shared" si="85"/>
        <v>-0.61909394591859457</v>
      </c>
      <c r="W318" s="101">
        <f t="shared" si="86"/>
        <v>-2.5676652273944795E-2</v>
      </c>
      <c r="X318" s="101">
        <f t="shared" si="87"/>
        <v>0.43447331759227065</v>
      </c>
      <c r="Y318" s="101">
        <f t="shared" si="88"/>
        <v>-0.13079100463240317</v>
      </c>
      <c r="Z318" s="101">
        <f t="shared" si="89"/>
        <v>-0.3409667378705788</v>
      </c>
      <c r="AQ318" s="101">
        <v>-0.20599679147286246</v>
      </c>
      <c r="AR318" s="101">
        <v>-0.26321563238156293</v>
      </c>
      <c r="AS318" s="101">
        <v>-1.2083481090420087</v>
      </c>
      <c r="AT318" s="101">
        <v>0.14107796879793708</v>
      </c>
      <c r="AU318" s="101">
        <v>0.11288598715385408</v>
      </c>
      <c r="AV318" s="101">
        <v>0.56641953871618811</v>
      </c>
      <c r="AW318" s="101">
        <v>7.0390242962639765E-2</v>
      </c>
      <c r="AX318" s="101">
        <v>-0.15029734205631348</v>
      </c>
      <c r="AY318" s="101">
        <v>-0.35899548689131461</v>
      </c>
      <c r="AZ318" s="101">
        <v>0.20166934752075807</v>
      </c>
      <c r="BA318" s="101">
        <v>-0.35927289946281282</v>
      </c>
      <c r="BB318" s="101">
        <v>-6.9590259750201527E-2</v>
      </c>
    </row>
    <row r="319" spans="2:54">
      <c r="B319">
        <v>0.26938000000000001</v>
      </c>
      <c r="C319">
        <v>9.9</v>
      </c>
      <c r="D319">
        <v>0.54400000000000004</v>
      </c>
      <c r="E319">
        <v>6.266</v>
      </c>
      <c r="F319">
        <v>82.8</v>
      </c>
      <c r="G319">
        <v>3.2627999999999999</v>
      </c>
      <c r="H319">
        <v>4</v>
      </c>
      <c r="I319">
        <v>304</v>
      </c>
      <c r="J319">
        <v>18.399999999999999</v>
      </c>
      <c r="K319">
        <v>393.39</v>
      </c>
      <c r="L319">
        <v>7.9</v>
      </c>
      <c r="M319">
        <v>21.6</v>
      </c>
      <c r="O319" s="101">
        <f t="shared" si="78"/>
        <v>-0.38916879607567351</v>
      </c>
      <c r="P319" s="101">
        <f t="shared" si="79"/>
        <v>-0.18045756457571877</v>
      </c>
      <c r="Q319" s="101">
        <f t="shared" si="80"/>
        <v>-9.2387452177459389E-2</v>
      </c>
      <c r="R319" s="101">
        <f t="shared" si="81"/>
        <v>-2.6547641614621025E-2</v>
      </c>
      <c r="S319" s="101">
        <f t="shared" si="82"/>
        <v>0.50585264885632231</v>
      </c>
      <c r="T319" s="101">
        <f t="shared" si="83"/>
        <v>-0.2530117480788901</v>
      </c>
      <c r="U319" s="101">
        <f t="shared" si="84"/>
        <v>-0.63796179884427828</v>
      </c>
      <c r="V319" s="101">
        <f t="shared" si="85"/>
        <v>-0.61909394591859457</v>
      </c>
      <c r="W319" s="101">
        <f t="shared" si="86"/>
        <v>-2.5676652273944795E-2</v>
      </c>
      <c r="X319" s="101">
        <f t="shared" si="87"/>
        <v>0.40256703477069361</v>
      </c>
      <c r="Y319" s="101">
        <f t="shared" si="88"/>
        <v>-0.66625485711808263</v>
      </c>
      <c r="Z319" s="101">
        <f t="shared" si="89"/>
        <v>-0.10152428732962153</v>
      </c>
      <c r="AQ319" s="101">
        <v>-0.65147395626279792</v>
      </c>
      <c r="AR319" s="101">
        <v>5.3499117622933093E-2</v>
      </c>
      <c r="AS319" s="101">
        <v>-0.83653578634692061</v>
      </c>
      <c r="AT319" s="101">
        <v>0.25641991293941946</v>
      </c>
      <c r="AU319" s="101">
        <v>0.21177796890362391</v>
      </c>
      <c r="AV319" s="101">
        <v>0.43161661483777874</v>
      </c>
      <c r="AW319" s="101">
        <v>0.2117022329742696</v>
      </c>
      <c r="AX319" s="101">
        <v>4.9221576760369319E-2</v>
      </c>
      <c r="AY319" s="101">
        <v>-0.53752809929799372</v>
      </c>
      <c r="AZ319" s="101">
        <v>0.26826320300037892</v>
      </c>
      <c r="BA319" s="101">
        <v>-0.28754747678352582</v>
      </c>
      <c r="BB319" s="101">
        <v>-7.4577576797567019E-2</v>
      </c>
    </row>
    <row r="320" spans="2:54">
      <c r="B320">
        <v>0.36919999999999997</v>
      </c>
      <c r="C320">
        <v>9.9</v>
      </c>
      <c r="D320">
        <v>0.54400000000000004</v>
      </c>
      <c r="E320">
        <v>6.5670000000000002</v>
      </c>
      <c r="F320">
        <v>87.3</v>
      </c>
      <c r="G320">
        <v>3.6023000000000001</v>
      </c>
      <c r="H320">
        <v>4</v>
      </c>
      <c r="I320">
        <v>304</v>
      </c>
      <c r="J320">
        <v>18.399999999999999</v>
      </c>
      <c r="K320">
        <v>395.69</v>
      </c>
      <c r="L320">
        <v>9.2799999999999994</v>
      </c>
      <c r="M320">
        <v>23.8</v>
      </c>
      <c r="O320" s="101">
        <f t="shared" si="78"/>
        <v>-0.37755241999656297</v>
      </c>
      <c r="P320" s="101">
        <f t="shared" si="79"/>
        <v>-0.18045756457571877</v>
      </c>
      <c r="Q320" s="101">
        <f t="shared" si="80"/>
        <v>-9.2387452177459389E-2</v>
      </c>
      <c r="R320" s="101">
        <f t="shared" si="81"/>
        <v>0.40227461989293328</v>
      </c>
      <c r="S320" s="101">
        <f t="shared" si="82"/>
        <v>0.66587522230772467</v>
      </c>
      <c r="T320" s="101">
        <f t="shared" si="83"/>
        <v>-9.1623925474159748E-2</v>
      </c>
      <c r="U320" s="101">
        <f t="shared" si="84"/>
        <v>-0.63796179884427828</v>
      </c>
      <c r="V320" s="101">
        <f t="shared" si="85"/>
        <v>-0.61909394591859457</v>
      </c>
      <c r="W320" s="101">
        <f t="shared" si="86"/>
        <v>-2.5676652273944795E-2</v>
      </c>
      <c r="X320" s="101">
        <f t="shared" si="87"/>
        <v>0.4277850589939331</v>
      </c>
      <c r="Y320" s="101">
        <f t="shared" si="88"/>
        <v>-0.4728150360630467</v>
      </c>
      <c r="Z320" s="101">
        <f t="shared" si="89"/>
        <v>0.13791816321133535</v>
      </c>
      <c r="AQ320" s="101">
        <v>-0.74675233310315736</v>
      </c>
      <c r="AR320" s="101">
        <v>0.34097900340039289</v>
      </c>
      <c r="AS320" s="101">
        <v>-0.7675023859612895</v>
      </c>
      <c r="AT320" s="101">
        <v>0.29820041100888284</v>
      </c>
      <c r="AU320" s="101">
        <v>0.23230923100867529</v>
      </c>
      <c r="AV320" s="101">
        <v>0.60971523176536169</v>
      </c>
      <c r="AW320" s="101">
        <v>-0.10746954637267558</v>
      </c>
      <c r="AX320" s="101">
        <v>0.13941404849184083</v>
      </c>
      <c r="AY320" s="101">
        <v>-0.31186778468750775</v>
      </c>
      <c r="AZ320" s="101">
        <v>0.31157145969152356</v>
      </c>
      <c r="BA320" s="101">
        <v>-9.5945470351081211E-2</v>
      </c>
      <c r="BB320" s="101">
        <v>-4.0299549355384941E-2</v>
      </c>
    </row>
    <row r="321" spans="2:54">
      <c r="B321">
        <v>0.25356000000000001</v>
      </c>
      <c r="C321">
        <v>9.9</v>
      </c>
      <c r="D321">
        <v>0.54400000000000004</v>
      </c>
      <c r="E321">
        <v>5.7050000000000001</v>
      </c>
      <c r="F321">
        <v>77.7</v>
      </c>
      <c r="G321">
        <v>3.9449999999999998</v>
      </c>
      <c r="H321">
        <v>4</v>
      </c>
      <c r="I321">
        <v>304</v>
      </c>
      <c r="J321">
        <v>18.399999999999999</v>
      </c>
      <c r="K321">
        <v>396.42</v>
      </c>
      <c r="L321">
        <v>11.5</v>
      </c>
      <c r="M321">
        <v>16.2</v>
      </c>
      <c r="O321" s="101">
        <f t="shared" si="78"/>
        <v>-0.39100982061556061</v>
      </c>
      <c r="P321" s="101">
        <f t="shared" si="79"/>
        <v>-0.18045756457571877</v>
      </c>
      <c r="Q321" s="101">
        <f t="shared" si="80"/>
        <v>-9.2387452177459389E-2</v>
      </c>
      <c r="R321" s="101">
        <f t="shared" si="81"/>
        <v>-0.82578115890943105</v>
      </c>
      <c r="S321" s="101">
        <f t="shared" si="82"/>
        <v>0.32449373227806655</v>
      </c>
      <c r="T321" s="101">
        <f t="shared" si="83"/>
        <v>7.128507837456198E-2</v>
      </c>
      <c r="U321" s="101">
        <f t="shared" si="84"/>
        <v>-0.63796179884427828</v>
      </c>
      <c r="V321" s="101">
        <f t="shared" si="85"/>
        <v>-0.61909394591859457</v>
      </c>
      <c r="W321" s="101">
        <f t="shared" si="86"/>
        <v>-2.5676652273944795E-2</v>
      </c>
      <c r="X321" s="101">
        <f t="shared" si="87"/>
        <v>0.43578904059522233</v>
      </c>
      <c r="Y321" s="101">
        <f t="shared" si="88"/>
        <v>-0.16162923697451045</v>
      </c>
      <c r="Z321" s="101">
        <f t="shared" si="89"/>
        <v>-0.68924666593015249</v>
      </c>
      <c r="AQ321" s="101">
        <v>-0.31776709612673382</v>
      </c>
      <c r="AR321" s="101">
        <v>-0.95711100004509952</v>
      </c>
      <c r="AS321" s="101">
        <v>-1.0076395634949378</v>
      </c>
      <c r="AT321" s="101">
        <v>-1.8486796597935243E-2</v>
      </c>
      <c r="AU321" s="101">
        <v>-8.5199014119702113E-3</v>
      </c>
      <c r="AV321" s="101">
        <v>0.15907474368729019</v>
      </c>
      <c r="AW321" s="101">
        <v>0.12363043871260732</v>
      </c>
      <c r="AX321" s="101">
        <v>-1.1594114489931751E-2</v>
      </c>
      <c r="AY321" s="101">
        <v>-0.51823864753532367</v>
      </c>
      <c r="AZ321" s="101">
        <v>0.25084714631467869</v>
      </c>
      <c r="BA321" s="101">
        <v>-0.22441172425273823</v>
      </c>
      <c r="BB321" s="101">
        <v>-0.1137590479975724</v>
      </c>
    </row>
    <row r="322" spans="2:54">
      <c r="B322">
        <v>0.31827</v>
      </c>
      <c r="C322">
        <v>9.9</v>
      </c>
      <c r="D322">
        <v>0.54400000000000004</v>
      </c>
      <c r="E322">
        <v>5.9139999999999997</v>
      </c>
      <c r="F322">
        <v>83.2</v>
      </c>
      <c r="G322">
        <v>3.9986000000000002</v>
      </c>
      <c r="H322">
        <v>4</v>
      </c>
      <c r="I322">
        <v>304</v>
      </c>
      <c r="J322">
        <v>18.399999999999999</v>
      </c>
      <c r="K322">
        <v>390.7</v>
      </c>
      <c r="L322">
        <v>18.329999999999998</v>
      </c>
      <c r="M322">
        <v>17.8</v>
      </c>
      <c r="O322" s="101">
        <f t="shared" si="78"/>
        <v>-0.38347930873338021</v>
      </c>
      <c r="P322" s="101">
        <f t="shared" si="79"/>
        <v>-0.18045756457571877</v>
      </c>
      <c r="Q322" s="101">
        <f t="shared" si="80"/>
        <v>-9.2387452177459389E-2</v>
      </c>
      <c r="R322" s="101">
        <f t="shared" si="81"/>
        <v>-0.52802749560352191</v>
      </c>
      <c r="S322" s="101">
        <f t="shared" si="82"/>
        <v>0.52007687760755827</v>
      </c>
      <c r="T322" s="101">
        <f t="shared" si="83"/>
        <v>9.6764864211420873E-2</v>
      </c>
      <c r="U322" s="101">
        <f t="shared" si="84"/>
        <v>-0.63796179884427828</v>
      </c>
      <c r="V322" s="101">
        <f t="shared" si="85"/>
        <v>-0.61909394591859457</v>
      </c>
      <c r="W322" s="101">
        <f t="shared" si="86"/>
        <v>-2.5676652273944795E-2</v>
      </c>
      <c r="X322" s="101">
        <f t="shared" si="87"/>
        <v>0.37307291078786153</v>
      </c>
      <c r="Y322" s="101">
        <f t="shared" si="88"/>
        <v>0.79575770346454433</v>
      </c>
      <c r="Z322" s="101">
        <f t="shared" si="89"/>
        <v>-0.51510670190036545</v>
      </c>
      <c r="AQ322" s="101">
        <v>-5.3006265525624818E-2</v>
      </c>
      <c r="AR322" s="101">
        <v>-0.90357130592869694</v>
      </c>
      <c r="AS322" s="101">
        <v>-1.1468805092994525</v>
      </c>
      <c r="AT322" s="101">
        <v>-0.19469519204309882</v>
      </c>
      <c r="AU322" s="101">
        <v>-3.1890121000468875E-2</v>
      </c>
      <c r="AV322" s="101">
        <v>0.45361576973220097</v>
      </c>
      <c r="AW322" s="101">
        <v>-0.40395069395504091</v>
      </c>
      <c r="AX322" s="101">
        <v>-6.8323806515892538E-2</v>
      </c>
      <c r="AY322" s="101">
        <v>0.14615113322768319</v>
      </c>
      <c r="AZ322" s="101">
        <v>2.8093906358658674E-2</v>
      </c>
      <c r="BA322" s="101">
        <v>7.2682905789610702E-2</v>
      </c>
      <c r="BB322" s="101">
        <v>-3.0675968415120894E-2</v>
      </c>
    </row>
    <row r="323" spans="2:54">
      <c r="B323">
        <v>0.24521999999999999</v>
      </c>
      <c r="C323">
        <v>9.9</v>
      </c>
      <c r="D323">
        <v>0.54400000000000004</v>
      </c>
      <c r="E323">
        <v>5.782</v>
      </c>
      <c r="F323">
        <v>71.7</v>
      </c>
      <c r="G323">
        <v>4.0316999999999998</v>
      </c>
      <c r="H323">
        <v>4</v>
      </c>
      <c r="I323">
        <v>304</v>
      </c>
      <c r="J323">
        <v>18.399999999999999</v>
      </c>
      <c r="K323">
        <v>396.9</v>
      </c>
      <c r="L323">
        <v>15.94</v>
      </c>
      <c r="M323">
        <v>19.8</v>
      </c>
      <c r="O323" s="101">
        <f t="shared" si="78"/>
        <v>-0.39198037337552633</v>
      </c>
      <c r="P323" s="101">
        <f t="shared" si="79"/>
        <v>-0.18045756457571877</v>
      </c>
      <c r="Q323" s="101">
        <f t="shared" si="80"/>
        <v>-9.2387452177459389E-2</v>
      </c>
      <c r="R323" s="101">
        <f t="shared" si="81"/>
        <v>-0.71608244084935913</v>
      </c>
      <c r="S323" s="101">
        <f t="shared" si="82"/>
        <v>0.1111303010095301</v>
      </c>
      <c r="T323" s="101">
        <f t="shared" si="83"/>
        <v>0.11249958270395849</v>
      </c>
      <c r="U323" s="101">
        <f t="shared" si="84"/>
        <v>-0.63796179884427828</v>
      </c>
      <c r="V323" s="101">
        <f t="shared" si="85"/>
        <v>-0.61909394591859457</v>
      </c>
      <c r="W323" s="101">
        <f t="shared" si="86"/>
        <v>-2.5676652273944795E-2</v>
      </c>
      <c r="X323" s="101">
        <f t="shared" si="87"/>
        <v>0.44105193260702835</v>
      </c>
      <c r="Y323" s="101">
        <f t="shared" si="88"/>
        <v>0.46074236120256185</v>
      </c>
      <c r="Z323" s="101">
        <f t="shared" si="89"/>
        <v>-0.29743174686313184</v>
      </c>
      <c r="AQ323" s="101">
        <v>-0.3255002972376333</v>
      </c>
      <c r="AR323" s="101">
        <v>-0.91940699792110614</v>
      </c>
      <c r="AS323" s="101">
        <v>-0.99147470781949609</v>
      </c>
      <c r="AT323" s="101">
        <v>-8.9870305591735589E-2</v>
      </c>
      <c r="AU323" s="101">
        <v>-8.8958189259942796E-2</v>
      </c>
      <c r="AV323" s="101">
        <v>0.16123839181663935</v>
      </c>
      <c r="AW323" s="101">
        <v>-1.7301989736499573E-2</v>
      </c>
      <c r="AX323" s="101">
        <v>-0.13511729350358151</v>
      </c>
      <c r="AY323" s="101">
        <v>5.9931256670186395E-2</v>
      </c>
      <c r="AZ323" s="101">
        <v>-2.4207756662972021E-2</v>
      </c>
      <c r="BA323" s="101">
        <v>0.13945547822187318</v>
      </c>
      <c r="BB323" s="101">
        <v>-1.6897448982108754E-2</v>
      </c>
    </row>
    <row r="324" spans="2:54">
      <c r="B324">
        <v>0.40201999999999999</v>
      </c>
      <c r="C324">
        <v>9.9</v>
      </c>
      <c r="D324">
        <v>0.54400000000000004</v>
      </c>
      <c r="E324">
        <v>6.3819999999999997</v>
      </c>
      <c r="F324">
        <v>67.2</v>
      </c>
      <c r="G324">
        <v>3.5325000000000002</v>
      </c>
      <c r="H324">
        <v>4</v>
      </c>
      <c r="I324">
        <v>304</v>
      </c>
      <c r="J324">
        <v>18.399999999999999</v>
      </c>
      <c r="K324">
        <v>395.21</v>
      </c>
      <c r="L324">
        <v>10.36</v>
      </c>
      <c r="M324">
        <v>23.1</v>
      </c>
      <c r="O324" s="101">
        <f t="shared" si="78"/>
        <v>-0.37373305050230921</v>
      </c>
      <c r="P324" s="101">
        <f t="shared" si="79"/>
        <v>-0.18045756457571877</v>
      </c>
      <c r="Q324" s="101">
        <f t="shared" si="80"/>
        <v>-9.2387452177459389E-2</v>
      </c>
      <c r="R324" s="101">
        <f t="shared" si="81"/>
        <v>0.13871276481353886</v>
      </c>
      <c r="S324" s="101">
        <f t="shared" si="82"/>
        <v>-4.8892272441872227E-2</v>
      </c>
      <c r="T324" s="101">
        <f t="shared" si="83"/>
        <v>-0.12480469135872574</v>
      </c>
      <c r="U324" s="101">
        <f t="shared" si="84"/>
        <v>-0.63796179884427828</v>
      </c>
      <c r="V324" s="101">
        <f t="shared" si="85"/>
        <v>-0.61909394591859457</v>
      </c>
      <c r="W324" s="101">
        <f t="shared" si="86"/>
        <v>-2.5676652273944795E-2</v>
      </c>
      <c r="X324" s="101">
        <f t="shared" si="87"/>
        <v>0.42252216698212641</v>
      </c>
      <c r="Y324" s="101">
        <f t="shared" si="88"/>
        <v>-0.32142735001997508</v>
      </c>
      <c r="Z324" s="101">
        <f t="shared" si="89"/>
        <v>6.1731928948303663E-2</v>
      </c>
      <c r="AQ324" s="101">
        <v>-0.82400998205244325</v>
      </c>
      <c r="AR324" s="101">
        <v>-2.7333916440418292E-2</v>
      </c>
      <c r="AS324" s="101">
        <v>-0.6139745860535577</v>
      </c>
      <c r="AT324" s="101">
        <v>0.19394335630177409</v>
      </c>
      <c r="AU324" s="101">
        <v>0.12980295277544618</v>
      </c>
      <c r="AV324" s="101">
        <v>0.26851520224232661</v>
      </c>
      <c r="AW324" s="101">
        <v>0.18713062195731484</v>
      </c>
      <c r="AX324" s="101">
        <v>0.16501510840047823</v>
      </c>
      <c r="AY324" s="101">
        <v>-0.1747928311107998</v>
      </c>
      <c r="AZ324" s="101">
        <v>-0.13137526477297715</v>
      </c>
      <c r="BA324" s="101">
        <v>-3.0483201249418123E-2</v>
      </c>
      <c r="BB324" s="101">
        <v>-1.7640056490593008E-2</v>
      </c>
    </row>
    <row r="325" spans="2:54">
      <c r="B325">
        <v>0.47547</v>
      </c>
      <c r="C325">
        <v>9.9</v>
      </c>
      <c r="D325">
        <v>0.54400000000000004</v>
      </c>
      <c r="E325">
        <v>6.1130000000000004</v>
      </c>
      <c r="F325">
        <v>58.8</v>
      </c>
      <c r="G325">
        <v>4.0019</v>
      </c>
      <c r="H325">
        <v>4</v>
      </c>
      <c r="I325">
        <v>304</v>
      </c>
      <c r="J325">
        <v>18.399999999999999</v>
      </c>
      <c r="K325">
        <v>396.23</v>
      </c>
      <c r="L325">
        <v>12.73</v>
      </c>
      <c r="M325">
        <v>21</v>
      </c>
      <c r="O325" s="101">
        <f t="shared" si="78"/>
        <v>-0.36518543656711916</v>
      </c>
      <c r="P325" s="101">
        <f t="shared" si="79"/>
        <v>-0.18045756457571877</v>
      </c>
      <c r="Q325" s="101">
        <f t="shared" si="80"/>
        <v>-9.2387452177459389E-2</v>
      </c>
      <c r="R325" s="101">
        <f t="shared" si="81"/>
        <v>-0.24452041905865954</v>
      </c>
      <c r="S325" s="101">
        <f t="shared" si="82"/>
        <v>-0.34760107621782343</v>
      </c>
      <c r="T325" s="101">
        <f t="shared" si="83"/>
        <v>9.8333582369287117E-2</v>
      </c>
      <c r="U325" s="101">
        <f t="shared" si="84"/>
        <v>-0.63796179884427828</v>
      </c>
      <c r="V325" s="101">
        <f t="shared" si="85"/>
        <v>-0.61909394591859457</v>
      </c>
      <c r="W325" s="101">
        <f t="shared" si="86"/>
        <v>-2.5676652273944795E-2</v>
      </c>
      <c r="X325" s="101">
        <f t="shared" si="87"/>
        <v>0.43370581250721563</v>
      </c>
      <c r="Y325" s="101">
        <f t="shared" si="88"/>
        <v>1.0784516574543445E-2</v>
      </c>
      <c r="Z325" s="101">
        <f t="shared" si="89"/>
        <v>-0.16682677384079175</v>
      </c>
      <c r="AQ325" s="101">
        <v>-0.72962578143056733</v>
      </c>
      <c r="AR325" s="101">
        <v>-0.57713260153539758</v>
      </c>
      <c r="AS325" s="101">
        <v>-0.60784869476625225</v>
      </c>
      <c r="AT325" s="101">
        <v>2.8769242696942619E-2</v>
      </c>
      <c r="AU325" s="101">
        <v>-8.4899058185424498E-3</v>
      </c>
      <c r="AV325" s="101">
        <v>5.1195291937550867E-2</v>
      </c>
      <c r="AW325" s="101">
        <v>0.17117051567927299</v>
      </c>
      <c r="AX325" s="101">
        <v>0.16097004052529446</v>
      </c>
      <c r="AY325" s="101">
        <v>-6.3048701189435688E-2</v>
      </c>
      <c r="AZ325" s="101">
        <v>-0.25400305648070309</v>
      </c>
      <c r="BA325" s="101">
        <v>9.6130660616521063E-2</v>
      </c>
      <c r="BB325" s="101">
        <v>-1.8601835551572649E-2</v>
      </c>
    </row>
    <row r="326" spans="2:54">
      <c r="B326">
        <v>0.1676</v>
      </c>
      <c r="C326">
        <v>7.38</v>
      </c>
      <c r="D326">
        <v>0.49299999999999999</v>
      </c>
      <c r="E326">
        <v>6.4260000000000002</v>
      </c>
      <c r="F326">
        <v>52.3</v>
      </c>
      <c r="G326">
        <v>4.5404</v>
      </c>
      <c r="H326">
        <v>5</v>
      </c>
      <c r="I326">
        <v>287</v>
      </c>
      <c r="J326">
        <v>19.600000000000001</v>
      </c>
      <c r="K326">
        <v>396.9</v>
      </c>
      <c r="L326">
        <v>7.2</v>
      </c>
      <c r="M326">
        <v>23.8</v>
      </c>
      <c r="O326" s="101">
        <f t="shared" ref="O326:O389" si="90">(B326-B$1)/B$2</f>
        <v>-0.40101326369069923</v>
      </c>
      <c r="P326" s="101">
        <f t="shared" ref="P326:P389" si="91">(C326-C$1)/C$2</f>
        <v>-0.5481491159120454</v>
      </c>
      <c r="Q326" s="101">
        <f t="shared" ref="Q326:Q389" si="92">(D326-D$1)/D$2</f>
        <v>-0.5329422853891298</v>
      </c>
      <c r="R326" s="101">
        <f t="shared" ref="R326:R389" si="93">(E326-E$1)/E$2</f>
        <v>0.20139774656215212</v>
      </c>
      <c r="S326" s="101">
        <f t="shared" ref="S326:S389" si="94">(F326-F$1)/F$2</f>
        <v>-0.57874479342540464</v>
      </c>
      <c r="T326" s="101">
        <f t="shared" ref="T326:T389" si="95">(G326-G$1)/G$2</f>
        <v>0.35431986358474293</v>
      </c>
      <c r="U326" s="101">
        <f t="shared" ref="U326:U389" si="96">(H326-H$1)/H$2</f>
        <v>-0.52300144620353584</v>
      </c>
      <c r="V326" s="101">
        <f t="shared" ref="V326:V389" si="97">(I326-I$1)/I$2</f>
        <v>-0.72006175501141556</v>
      </c>
      <c r="W326" s="101">
        <f t="shared" ref="W326:W389" si="98">(J326-J$1)/J$2</f>
        <v>0.52915833921120703</v>
      </c>
      <c r="X326" s="101">
        <f t="shared" ref="X326:X389" si="99">(K326-K$1)/K$2</f>
        <v>0.44105193260702835</v>
      </c>
      <c r="Y326" s="101">
        <f t="shared" ref="Y326:Y389" si="100">(L326-L$1)/L$2</f>
        <v>-0.76437650547933278</v>
      </c>
      <c r="Z326" s="101">
        <f t="shared" ref="Z326:Z389" si="101">(M326-M$1)/M$2</f>
        <v>0.13791816321133535</v>
      </c>
      <c r="AQ326" s="101">
        <v>-1.4651801724078815</v>
      </c>
      <c r="AR326" s="101">
        <v>-0.45525124702415493</v>
      </c>
      <c r="AS326" s="101">
        <v>0.13593869250937884</v>
      </c>
      <c r="AT326" s="101">
        <v>0.55619084534989804</v>
      </c>
      <c r="AU326" s="101">
        <v>0.33428185060231924</v>
      </c>
      <c r="AV326" s="101">
        <v>0.30678741158574224</v>
      </c>
      <c r="AW326" s="101">
        <v>0.30420470377998116</v>
      </c>
      <c r="AX326" s="101">
        <v>9.7048896890603753E-2</v>
      </c>
      <c r="AY326" s="101">
        <v>-0.31015957927176296</v>
      </c>
      <c r="AZ326" s="101">
        <v>-0.14419454848137486</v>
      </c>
      <c r="BA326" s="101">
        <v>3.8462971821817973E-2</v>
      </c>
      <c r="BB326" s="101">
        <v>-8.9871412745000129E-2</v>
      </c>
    </row>
    <row r="327" spans="2:54">
      <c r="B327">
        <v>0.18159</v>
      </c>
      <c r="C327">
        <v>7.38</v>
      </c>
      <c r="D327">
        <v>0.49299999999999999</v>
      </c>
      <c r="E327">
        <v>6.3760000000000003</v>
      </c>
      <c r="F327">
        <v>54.3</v>
      </c>
      <c r="G327">
        <v>4.5404</v>
      </c>
      <c r="H327">
        <v>5</v>
      </c>
      <c r="I327">
        <v>287</v>
      </c>
      <c r="J327">
        <v>19.600000000000001</v>
      </c>
      <c r="K327">
        <v>396.9</v>
      </c>
      <c r="L327">
        <v>6.87</v>
      </c>
      <c r="M327">
        <v>23.1</v>
      </c>
      <c r="O327" s="101">
        <f t="shared" si="90"/>
        <v>-0.3993852021664881</v>
      </c>
      <c r="P327" s="101">
        <f t="shared" si="91"/>
        <v>-0.5481491159120454</v>
      </c>
      <c r="Q327" s="101">
        <f t="shared" si="92"/>
        <v>-0.5329422853891298</v>
      </c>
      <c r="R327" s="101">
        <f t="shared" si="93"/>
        <v>0.13016481275691083</v>
      </c>
      <c r="S327" s="101">
        <f t="shared" si="94"/>
        <v>-0.5076236496692258</v>
      </c>
      <c r="T327" s="101">
        <f t="shared" si="95"/>
        <v>0.35431986358474293</v>
      </c>
      <c r="U327" s="101">
        <f t="shared" si="96"/>
        <v>-0.52300144620353584</v>
      </c>
      <c r="V327" s="101">
        <f t="shared" si="97"/>
        <v>-0.72006175501141556</v>
      </c>
      <c r="W327" s="101">
        <f t="shared" si="98"/>
        <v>0.52915833921120703</v>
      </c>
      <c r="X327" s="101">
        <f t="shared" si="99"/>
        <v>0.44105193260702835</v>
      </c>
      <c r="Y327" s="101">
        <f t="shared" si="100"/>
        <v>-0.81063385399249355</v>
      </c>
      <c r="Z327" s="101">
        <f t="shared" si="101"/>
        <v>6.1731928948303663E-2</v>
      </c>
      <c r="AQ327" s="101">
        <v>-1.422515880608707</v>
      </c>
      <c r="AR327" s="101">
        <v>-0.50495760878560425</v>
      </c>
      <c r="AS327" s="101">
        <v>9.8165238114244865E-2</v>
      </c>
      <c r="AT327" s="101">
        <v>0.55189716171505365</v>
      </c>
      <c r="AU327" s="101">
        <v>0.3335267623781486</v>
      </c>
      <c r="AV327" s="101">
        <v>0.31390458861047271</v>
      </c>
      <c r="AW327" s="101">
        <v>0.30940629570836675</v>
      </c>
      <c r="AX327" s="101">
        <v>8.7093781928886102E-2</v>
      </c>
      <c r="AY327" s="101">
        <v>-0.38510614654088032</v>
      </c>
      <c r="AZ327" s="101">
        <v>-8.0787231709661941E-2</v>
      </c>
      <c r="BA327" s="101">
        <v>-9.6964207247011817E-3</v>
      </c>
      <c r="BB327" s="101">
        <v>-0.10431652432996467</v>
      </c>
    </row>
    <row r="328" spans="2:54">
      <c r="B328">
        <v>0.35114000000000001</v>
      </c>
      <c r="C328">
        <v>7.38</v>
      </c>
      <c r="D328">
        <v>0.49299999999999999</v>
      </c>
      <c r="E328">
        <v>6.0410000000000004</v>
      </c>
      <c r="F328">
        <v>49.9</v>
      </c>
      <c r="G328">
        <v>4.7210999999999999</v>
      </c>
      <c r="H328">
        <v>5</v>
      </c>
      <c r="I328">
        <v>287</v>
      </c>
      <c r="J328">
        <v>19.600000000000001</v>
      </c>
      <c r="K328">
        <v>396.9</v>
      </c>
      <c r="L328">
        <v>7.7</v>
      </c>
      <c r="M328">
        <v>20.399999999999999</v>
      </c>
      <c r="O328" s="101">
        <f t="shared" si="90"/>
        <v>-0.37965412057749598</v>
      </c>
      <c r="P328" s="101">
        <f t="shared" si="91"/>
        <v>-0.5481491159120454</v>
      </c>
      <c r="Q328" s="101">
        <f t="shared" si="92"/>
        <v>-0.5329422853891298</v>
      </c>
      <c r="R328" s="101">
        <f t="shared" si="93"/>
        <v>-0.34709584373820745</v>
      </c>
      <c r="S328" s="101">
        <f t="shared" si="94"/>
        <v>-0.66409016593281911</v>
      </c>
      <c r="T328" s="101">
        <f t="shared" si="95"/>
        <v>0.44021906695639162</v>
      </c>
      <c r="U328" s="101">
        <f t="shared" si="96"/>
        <v>-0.52300144620353584</v>
      </c>
      <c r="V328" s="101">
        <f t="shared" si="97"/>
        <v>-0.72006175501141556</v>
      </c>
      <c r="W328" s="101">
        <f t="shared" si="98"/>
        <v>0.52915833921120703</v>
      </c>
      <c r="X328" s="101">
        <f t="shared" si="99"/>
        <v>0.44105193260702835</v>
      </c>
      <c r="Y328" s="101">
        <f t="shared" si="100"/>
        <v>-0.69428961379272547</v>
      </c>
      <c r="Z328" s="101">
        <f t="shared" si="101"/>
        <v>-0.23212926035196199</v>
      </c>
      <c r="AQ328" s="101">
        <v>-1.2716562676090954</v>
      </c>
      <c r="AR328" s="101">
        <v>-1.0062456476935329</v>
      </c>
      <c r="AS328" s="101">
        <v>3.356792297122356E-2</v>
      </c>
      <c r="AT328" s="101">
        <v>0.42428640540368651</v>
      </c>
      <c r="AU328" s="101">
        <v>0.22281763497212692</v>
      </c>
      <c r="AV328" s="101">
        <v>0.13405342217095523</v>
      </c>
      <c r="AW328" s="101">
        <v>0.4147864760378161</v>
      </c>
      <c r="AX328" s="101">
        <v>3.0095680044406339E-2</v>
      </c>
      <c r="AY328" s="101">
        <v>-0.45573895098177769</v>
      </c>
      <c r="AZ328" s="101">
        <v>-9.8791702823595562E-2</v>
      </c>
      <c r="BA328" s="101">
        <v>-3.3542654589898399E-2</v>
      </c>
      <c r="BB328" s="101">
        <v>-0.12826896763359757</v>
      </c>
    </row>
    <row r="329" spans="2:54">
      <c r="B329">
        <v>0.28392000000000001</v>
      </c>
      <c r="C329">
        <v>7.38</v>
      </c>
      <c r="D329">
        <v>0.49299999999999999</v>
      </c>
      <c r="E329">
        <v>5.7080000000000002</v>
      </c>
      <c r="F329">
        <v>74.3</v>
      </c>
      <c r="G329">
        <v>4.7210999999999999</v>
      </c>
      <c r="H329">
        <v>5</v>
      </c>
      <c r="I329">
        <v>287</v>
      </c>
      <c r="J329">
        <v>19.600000000000001</v>
      </c>
      <c r="K329">
        <v>391.13</v>
      </c>
      <c r="L329">
        <v>11.74</v>
      </c>
      <c r="M329">
        <v>18.5</v>
      </c>
      <c r="O329" s="101">
        <f t="shared" si="90"/>
        <v>-0.38747672927352694</v>
      </c>
      <c r="P329" s="101">
        <f t="shared" si="91"/>
        <v>-0.5481491159120454</v>
      </c>
      <c r="Q329" s="101">
        <f t="shared" si="92"/>
        <v>-0.5329422853891298</v>
      </c>
      <c r="R329" s="101">
        <f t="shared" si="93"/>
        <v>-0.82150718288111646</v>
      </c>
      <c r="S329" s="101">
        <f t="shared" si="94"/>
        <v>0.20358778789256235</v>
      </c>
      <c r="T329" s="101">
        <f t="shared" si="95"/>
        <v>0.44021906695639162</v>
      </c>
      <c r="U329" s="101">
        <f t="shared" si="96"/>
        <v>-0.52300144620353584</v>
      </c>
      <c r="V329" s="101">
        <f t="shared" si="97"/>
        <v>-0.72006175501141556</v>
      </c>
      <c r="W329" s="101">
        <f t="shared" si="98"/>
        <v>0.52915833921120703</v>
      </c>
      <c r="X329" s="101">
        <f t="shared" si="99"/>
        <v>0.37778758488177155</v>
      </c>
      <c r="Y329" s="101">
        <f t="shared" si="100"/>
        <v>-0.12798752896493895</v>
      </c>
      <c r="Z329" s="101">
        <f t="shared" si="101"/>
        <v>-0.43892046763733372</v>
      </c>
      <c r="AQ329" s="101">
        <v>-0.66214243407568263</v>
      </c>
      <c r="AR329" s="101">
        <v>-1.314446931871291</v>
      </c>
      <c r="AS329" s="101">
        <v>-0.49779207121046926</v>
      </c>
      <c r="AT329" s="101">
        <v>0.24381294189198122</v>
      </c>
      <c r="AU329" s="101">
        <v>0.18611295651214407</v>
      </c>
      <c r="AV329" s="101">
        <v>0.45000648566344753</v>
      </c>
      <c r="AW329" s="101">
        <v>4.3275639216910189E-2</v>
      </c>
      <c r="AX329" s="101">
        <v>-0.33046096691111149</v>
      </c>
      <c r="AY329" s="101">
        <v>-0.34508884829423614</v>
      </c>
      <c r="AZ329" s="101">
        <v>0.32844703395022401</v>
      </c>
      <c r="BA329" s="101">
        <v>-3.4056668176852684E-2</v>
      </c>
      <c r="BB329" s="101">
        <v>-0.13690028511639599</v>
      </c>
    </row>
    <row r="330" spans="2:54">
      <c r="B330">
        <v>0.34109</v>
      </c>
      <c r="C330">
        <v>7.38</v>
      </c>
      <c r="D330">
        <v>0.49299999999999999</v>
      </c>
      <c r="E330">
        <v>6.415</v>
      </c>
      <c r="F330">
        <v>40.1</v>
      </c>
      <c r="G330">
        <v>4.7210999999999999</v>
      </c>
      <c r="H330">
        <v>5</v>
      </c>
      <c r="I330">
        <v>287</v>
      </c>
      <c r="J330">
        <v>19.600000000000001</v>
      </c>
      <c r="K330">
        <v>396.9</v>
      </c>
      <c r="L330">
        <v>6.12</v>
      </c>
      <c r="M330">
        <v>25</v>
      </c>
      <c r="O330" s="101">
        <f t="shared" si="90"/>
        <v>-0.38082367156522451</v>
      </c>
      <c r="P330" s="101">
        <f t="shared" si="91"/>
        <v>-0.5481491159120454</v>
      </c>
      <c r="Q330" s="101">
        <f t="shared" si="92"/>
        <v>-0.5329422853891298</v>
      </c>
      <c r="R330" s="101">
        <f t="shared" si="93"/>
        <v>0.18572650112499881</v>
      </c>
      <c r="S330" s="101">
        <f t="shared" si="94"/>
        <v>-1.0125837703380951</v>
      </c>
      <c r="T330" s="101">
        <f t="shared" si="95"/>
        <v>0.44021906695639162</v>
      </c>
      <c r="U330" s="101">
        <f t="shared" si="96"/>
        <v>-0.52300144620353584</v>
      </c>
      <c r="V330" s="101">
        <f t="shared" si="97"/>
        <v>-0.72006175501141556</v>
      </c>
      <c r="W330" s="101">
        <f t="shared" si="98"/>
        <v>0.52915833921120703</v>
      </c>
      <c r="X330" s="101">
        <f t="shared" si="99"/>
        <v>0.44105193260702835</v>
      </c>
      <c r="Y330" s="101">
        <f t="shared" si="100"/>
        <v>-0.9157641915224044</v>
      </c>
      <c r="Z330" s="101">
        <f t="shared" si="101"/>
        <v>0.26852313623367541</v>
      </c>
      <c r="AQ330" s="101">
        <v>-1.6969866869236403</v>
      </c>
      <c r="AR330" s="101">
        <v>-0.48646205021926137</v>
      </c>
      <c r="AS330" s="101">
        <v>0.35902528380660859</v>
      </c>
      <c r="AT330" s="101">
        <v>0.56853169391508007</v>
      </c>
      <c r="AU330" s="101">
        <v>0.29976877926352202</v>
      </c>
      <c r="AV330" s="101">
        <v>8.6979285457935901E-2</v>
      </c>
      <c r="AW330" s="101">
        <v>0.52374665724558223</v>
      </c>
      <c r="AX330" s="101">
        <v>0.15137773018608225</v>
      </c>
      <c r="AY330" s="101">
        <v>-0.30022500147068387</v>
      </c>
      <c r="AZ330" s="101">
        <v>-0.28703478693362922</v>
      </c>
      <c r="BA330" s="101">
        <v>0.13921475366053104</v>
      </c>
      <c r="BB330" s="101">
        <v>-7.2968042568818947E-2</v>
      </c>
    </row>
    <row r="331" spans="2:54">
      <c r="B331">
        <v>0.19186</v>
      </c>
      <c r="C331">
        <v>7.38</v>
      </c>
      <c r="D331">
        <v>0.49299999999999999</v>
      </c>
      <c r="E331">
        <v>6.431</v>
      </c>
      <c r="F331">
        <v>14.7</v>
      </c>
      <c r="G331">
        <v>5.4158999999999997</v>
      </c>
      <c r="H331">
        <v>5</v>
      </c>
      <c r="I331">
        <v>287</v>
      </c>
      <c r="J331">
        <v>19.600000000000001</v>
      </c>
      <c r="K331">
        <v>393.68</v>
      </c>
      <c r="L331">
        <v>5.08</v>
      </c>
      <c r="M331">
        <v>24.6</v>
      </c>
      <c r="O331" s="101">
        <f t="shared" si="90"/>
        <v>-0.39819004906758543</v>
      </c>
      <c r="P331" s="101">
        <f t="shared" si="91"/>
        <v>-0.5481491159120454</v>
      </c>
      <c r="Q331" s="101">
        <f t="shared" si="92"/>
        <v>-0.5329422853891298</v>
      </c>
      <c r="R331" s="101">
        <f t="shared" si="93"/>
        <v>0.20852103994267612</v>
      </c>
      <c r="S331" s="101">
        <f t="shared" si="94"/>
        <v>-1.9158222960415661</v>
      </c>
      <c r="T331" s="101">
        <f t="shared" si="95"/>
        <v>0.77050554455806053</v>
      </c>
      <c r="U331" s="101">
        <f t="shared" si="96"/>
        <v>-0.52300144620353584</v>
      </c>
      <c r="V331" s="101">
        <f t="shared" si="97"/>
        <v>-0.72006175501141556</v>
      </c>
      <c r="W331" s="101">
        <f t="shared" si="98"/>
        <v>0.52915833921120703</v>
      </c>
      <c r="X331" s="101">
        <f t="shared" si="99"/>
        <v>0.40574669869449359</v>
      </c>
      <c r="Y331" s="101">
        <f t="shared" si="100"/>
        <v>-1.0615449262305474</v>
      </c>
      <c r="Z331" s="101">
        <f t="shared" si="101"/>
        <v>0.22498814522622887</v>
      </c>
      <c r="AQ331" s="101">
        <v>-2.1021978207344092</v>
      </c>
      <c r="AR331" s="101">
        <v>-0.7690999862067367</v>
      </c>
      <c r="AS331" s="101">
        <v>0.82338838823326688</v>
      </c>
      <c r="AT331" s="101">
        <v>0.49048095142485121</v>
      </c>
      <c r="AU331" s="101">
        <v>0.27305156960481447</v>
      </c>
      <c r="AV331" s="101">
        <v>-0.36996795865614973</v>
      </c>
      <c r="AW331" s="101">
        <v>0.73810312901999997</v>
      </c>
      <c r="AX331" s="101">
        <v>0.43178564620649523</v>
      </c>
      <c r="AY331" s="101">
        <v>-0.29727117279893961</v>
      </c>
      <c r="AZ331" s="101">
        <v>-0.63644926771696808</v>
      </c>
      <c r="BA331" s="101">
        <v>0.30698041279620275</v>
      </c>
      <c r="BB331" s="101">
        <v>-7.1463429294223432E-2</v>
      </c>
    </row>
    <row r="332" spans="2:54">
      <c r="B332">
        <v>0.30347000000000002</v>
      </c>
      <c r="C332">
        <v>7.38</v>
      </c>
      <c r="D332">
        <v>0.49299999999999999</v>
      </c>
      <c r="E332">
        <v>6.3120000000000003</v>
      </c>
      <c r="F332">
        <v>28.9</v>
      </c>
      <c r="G332">
        <v>5.4158999999999997</v>
      </c>
      <c r="H332">
        <v>5</v>
      </c>
      <c r="I332">
        <v>287</v>
      </c>
      <c r="J332">
        <v>19.600000000000001</v>
      </c>
      <c r="K332">
        <v>396.9</v>
      </c>
      <c r="L332">
        <v>6.15</v>
      </c>
      <c r="M332">
        <v>23</v>
      </c>
      <c r="O332" s="101">
        <f t="shared" si="90"/>
        <v>-0.38520163257600532</v>
      </c>
      <c r="P332" s="101">
        <f t="shared" si="91"/>
        <v>-0.5481491159120454</v>
      </c>
      <c r="Q332" s="101">
        <f t="shared" si="92"/>
        <v>-0.5329422853891298</v>
      </c>
      <c r="R332" s="101">
        <f t="shared" si="93"/>
        <v>3.8986657486201573E-2</v>
      </c>
      <c r="S332" s="101">
        <f t="shared" si="94"/>
        <v>-1.4108621753726966</v>
      </c>
      <c r="T332" s="101">
        <f t="shared" si="95"/>
        <v>0.77050554455806053</v>
      </c>
      <c r="U332" s="101">
        <f t="shared" si="96"/>
        <v>-0.52300144620353584</v>
      </c>
      <c r="V332" s="101">
        <f t="shared" si="97"/>
        <v>-0.72006175501141556</v>
      </c>
      <c r="W332" s="101">
        <f t="shared" si="98"/>
        <v>0.52915833921120703</v>
      </c>
      <c r="X332" s="101">
        <f t="shared" si="99"/>
        <v>0.44105193260702835</v>
      </c>
      <c r="Y332" s="101">
        <f t="shared" si="100"/>
        <v>-0.911558978021208</v>
      </c>
      <c r="Z332" s="101">
        <f t="shared" si="101"/>
        <v>5.0848181196441827E-2</v>
      </c>
      <c r="AQ332" s="101">
        <v>-1.8232638100712844</v>
      </c>
      <c r="AR332" s="101">
        <v>-0.87624422890457387</v>
      </c>
      <c r="AS332" s="101">
        <v>0.55439165140884628</v>
      </c>
      <c r="AT332" s="101">
        <v>0.47011446356517128</v>
      </c>
      <c r="AU332" s="101">
        <v>0.23790140920304387</v>
      </c>
      <c r="AV332" s="101">
        <v>-0.17559017300987215</v>
      </c>
      <c r="AW332" s="101">
        <v>0.53009897140566864</v>
      </c>
      <c r="AX332" s="101">
        <v>0.32248890002392849</v>
      </c>
      <c r="AY332" s="101">
        <v>-0.35672502189003269</v>
      </c>
      <c r="AZ332" s="101">
        <v>-0.36850395133716279</v>
      </c>
      <c r="BA332" s="101">
        <v>0.23127809975618724</v>
      </c>
      <c r="BB332" s="101">
        <v>-9.6245129375483629E-2</v>
      </c>
    </row>
    <row r="333" spans="2:54">
      <c r="B333">
        <v>0.24102999999999999</v>
      </c>
      <c r="C333">
        <v>7.38</v>
      </c>
      <c r="D333">
        <v>0.49299999999999999</v>
      </c>
      <c r="E333">
        <v>6.0830000000000002</v>
      </c>
      <c r="F333">
        <v>43.7</v>
      </c>
      <c r="G333">
        <v>5.4158999999999997</v>
      </c>
      <c r="H333">
        <v>5</v>
      </c>
      <c r="I333">
        <v>287</v>
      </c>
      <c r="J333">
        <v>19.600000000000001</v>
      </c>
      <c r="K333">
        <v>396.9</v>
      </c>
      <c r="L333">
        <v>12.79</v>
      </c>
      <c r="M333">
        <v>22.2</v>
      </c>
      <c r="O333" s="101">
        <f t="shared" si="90"/>
        <v>-0.39246797722016141</v>
      </c>
      <c r="P333" s="101">
        <f t="shared" si="91"/>
        <v>-0.5481491159120454</v>
      </c>
      <c r="Q333" s="101">
        <f t="shared" si="92"/>
        <v>-0.5329422853891298</v>
      </c>
      <c r="R333" s="101">
        <f t="shared" si="93"/>
        <v>-0.28726017934180481</v>
      </c>
      <c r="S333" s="101">
        <f t="shared" si="94"/>
        <v>-0.88456571157697328</v>
      </c>
      <c r="T333" s="101">
        <f t="shared" si="95"/>
        <v>0.77050554455806053</v>
      </c>
      <c r="U333" s="101">
        <f t="shared" si="96"/>
        <v>-0.52300144620353584</v>
      </c>
      <c r="V333" s="101">
        <f t="shared" si="97"/>
        <v>-0.72006175501141556</v>
      </c>
      <c r="W333" s="101">
        <f t="shared" si="98"/>
        <v>0.52915833921120703</v>
      </c>
      <c r="X333" s="101">
        <f t="shared" si="99"/>
        <v>0.44105193260702835</v>
      </c>
      <c r="Y333" s="101">
        <f t="shared" si="100"/>
        <v>1.9194943576936133E-2</v>
      </c>
      <c r="Z333" s="101">
        <f t="shared" si="101"/>
        <v>-3.6221800818451687E-2</v>
      </c>
      <c r="AQ333" s="101">
        <v>-1.2753244774773882</v>
      </c>
      <c r="AR333" s="101">
        <v>-1.2145470149498985</v>
      </c>
      <c r="AS333" s="101">
        <v>9.8291239980839579E-2</v>
      </c>
      <c r="AT333" s="101">
        <v>0.27161492001051435</v>
      </c>
      <c r="AU333" s="101">
        <v>0.12161323157929982</v>
      </c>
      <c r="AV333" s="101">
        <v>8.0682174857010985E-2</v>
      </c>
      <c r="AW333" s="101">
        <v>9.0655365035373969E-2</v>
      </c>
      <c r="AX333" s="101">
        <v>2.0489013433965138E-2</v>
      </c>
      <c r="AY333" s="101">
        <v>8.6894338458653214E-2</v>
      </c>
      <c r="AZ333" s="101">
        <v>-0.28864428689263599</v>
      </c>
      <c r="BA333" s="101">
        <v>0.39549852497900373</v>
      </c>
      <c r="BB333" s="101">
        <v>-5.6386040784521668E-2</v>
      </c>
    </row>
    <row r="334" spans="2:54">
      <c r="B334">
        <v>6.6170000000000007E-2</v>
      </c>
      <c r="C334">
        <v>3.24</v>
      </c>
      <c r="D334">
        <v>0.46</v>
      </c>
      <c r="E334">
        <v>5.8680000000000003</v>
      </c>
      <c r="F334">
        <v>25.8</v>
      </c>
      <c r="G334">
        <v>5.2145999999999999</v>
      </c>
      <c r="H334">
        <v>4</v>
      </c>
      <c r="I334">
        <v>430</v>
      </c>
      <c r="J334">
        <v>16.899999999999999</v>
      </c>
      <c r="K334">
        <v>382.44</v>
      </c>
      <c r="L334">
        <v>9.9700000000000006</v>
      </c>
      <c r="M334">
        <v>19.3</v>
      </c>
      <c r="O334" s="101">
        <f t="shared" si="90"/>
        <v>-0.4128170006743116</v>
      </c>
      <c r="P334" s="101">
        <f t="shared" si="91"/>
        <v>-1.1522138073931534</v>
      </c>
      <c r="Q334" s="101">
        <f t="shared" si="92"/>
        <v>-0.81800717746726903</v>
      </c>
      <c r="R334" s="101">
        <f t="shared" si="93"/>
        <v>-0.59356179470434323</v>
      </c>
      <c r="S334" s="101">
        <f t="shared" si="94"/>
        <v>-1.5210999481947738</v>
      </c>
      <c r="T334" s="101">
        <f t="shared" si="95"/>
        <v>0.67481373692821611</v>
      </c>
      <c r="U334" s="101">
        <f t="shared" si="96"/>
        <v>-0.63796179884427828</v>
      </c>
      <c r="V334" s="101">
        <f t="shared" si="97"/>
        <v>0.12925569794584341</v>
      </c>
      <c r="W334" s="101">
        <f t="shared" si="98"/>
        <v>-0.71922039163038298</v>
      </c>
      <c r="X334" s="101">
        <f t="shared" si="99"/>
        <v>0.28250731075135854</v>
      </c>
      <c r="Y334" s="101">
        <f t="shared" si="100"/>
        <v>-0.37609512553552854</v>
      </c>
      <c r="Z334" s="101">
        <f t="shared" si="101"/>
        <v>-0.35185048562244026</v>
      </c>
      <c r="AQ334" s="101">
        <v>-1.6956710910038597</v>
      </c>
      <c r="AR334" s="101">
        <v>-1.1941763927254474</v>
      </c>
      <c r="AS334" s="101">
        <v>0.3732228350761983</v>
      </c>
      <c r="AT334" s="101">
        <v>-0.52833369204744351</v>
      </c>
      <c r="AU334" s="101">
        <v>-0.4569613548621973</v>
      </c>
      <c r="AV334" s="101">
        <v>-0.81094313474480972</v>
      </c>
      <c r="AW334" s="101">
        <v>9.9102451253849186E-2</v>
      </c>
      <c r="AX334" s="101">
        <v>-0.23944701789577008</v>
      </c>
      <c r="AY334" s="101">
        <v>-0.2256943925624304</v>
      </c>
      <c r="AZ334" s="101">
        <v>-0.47998235916141962</v>
      </c>
      <c r="BA334" s="101">
        <v>-0.55638358749695671</v>
      </c>
      <c r="BB334" s="101">
        <v>0.57476051180757837</v>
      </c>
    </row>
    <row r="335" spans="2:54">
      <c r="B335">
        <v>6.7239999999999994E-2</v>
      </c>
      <c r="C335">
        <v>3.24</v>
      </c>
      <c r="D335">
        <v>0.46</v>
      </c>
      <c r="E335">
        <v>6.3330000000000002</v>
      </c>
      <c r="F335">
        <v>17.2</v>
      </c>
      <c r="G335">
        <v>5.2145999999999999</v>
      </c>
      <c r="H335">
        <v>4</v>
      </c>
      <c r="I335">
        <v>430</v>
      </c>
      <c r="J335">
        <v>16.899999999999999</v>
      </c>
      <c r="K335">
        <v>375.21</v>
      </c>
      <c r="L335">
        <v>7.34</v>
      </c>
      <c r="M335">
        <v>22.6</v>
      </c>
      <c r="O335" s="101">
        <f t="shared" si="90"/>
        <v>-0.41269248131541908</v>
      </c>
      <c r="P335" s="101">
        <f t="shared" si="91"/>
        <v>-1.1522138073931534</v>
      </c>
      <c r="Q335" s="101">
        <f t="shared" si="92"/>
        <v>-0.81800717746726903</v>
      </c>
      <c r="R335" s="101">
        <f t="shared" si="93"/>
        <v>6.8904489684402881E-2</v>
      </c>
      <c r="S335" s="101">
        <f t="shared" si="94"/>
        <v>-1.8269208663463425</v>
      </c>
      <c r="T335" s="101">
        <f t="shared" si="95"/>
        <v>0.67481373692821611</v>
      </c>
      <c r="U335" s="101">
        <f t="shared" si="96"/>
        <v>-0.63796179884427828</v>
      </c>
      <c r="V335" s="101">
        <f t="shared" si="97"/>
        <v>0.12925569794584341</v>
      </c>
      <c r="W335" s="101">
        <f t="shared" si="98"/>
        <v>-0.71922039163038298</v>
      </c>
      <c r="X335" s="101">
        <f t="shared" si="99"/>
        <v>0.2032349998235233</v>
      </c>
      <c r="Y335" s="101">
        <f t="shared" si="100"/>
        <v>-0.74475217580708275</v>
      </c>
      <c r="Z335" s="101">
        <f t="shared" si="101"/>
        <v>7.3131901889952663E-3</v>
      </c>
      <c r="AQ335" s="101">
        <v>-2.126766020174192</v>
      </c>
      <c r="AR335" s="101">
        <v>-0.61983121938548802</v>
      </c>
      <c r="AS335" s="101">
        <v>0.76332705787521427</v>
      </c>
      <c r="AT335" s="101">
        <v>-0.41491625002675059</v>
      </c>
      <c r="AU335" s="101">
        <v>-0.29291231241897414</v>
      </c>
      <c r="AV335" s="101">
        <v>-0.81086538072402248</v>
      </c>
      <c r="AW335" s="101">
        <v>0.17557224063831134</v>
      </c>
      <c r="AX335" s="101">
        <v>1.8201196977221468E-3</v>
      </c>
      <c r="AY335" s="101">
        <v>-0.21045590636171915</v>
      </c>
      <c r="AZ335" s="101">
        <v>-0.6442006310484294</v>
      </c>
      <c r="BA335" s="101">
        <v>-0.49385479474991023</v>
      </c>
      <c r="BB335" s="101">
        <v>0.60195241517523601</v>
      </c>
    </row>
    <row r="336" spans="2:54">
      <c r="B336">
        <v>4.5440000000000001E-2</v>
      </c>
      <c r="C336">
        <v>3.24</v>
      </c>
      <c r="D336">
        <v>0.46</v>
      </c>
      <c r="E336">
        <v>6.1440000000000001</v>
      </c>
      <c r="F336">
        <v>32.200000000000003</v>
      </c>
      <c r="G336">
        <v>5.8735999999999997</v>
      </c>
      <c r="H336">
        <v>4</v>
      </c>
      <c r="I336">
        <v>430</v>
      </c>
      <c r="J336">
        <v>16.899999999999999</v>
      </c>
      <c r="K336">
        <v>368.57</v>
      </c>
      <c r="L336">
        <v>9.09</v>
      </c>
      <c r="M336">
        <v>19.8</v>
      </c>
      <c r="O336" s="101">
        <f t="shared" si="90"/>
        <v>-0.41522941778631278</v>
      </c>
      <c r="P336" s="101">
        <f t="shared" si="91"/>
        <v>-1.1522138073931534</v>
      </c>
      <c r="Q336" s="101">
        <f t="shared" si="92"/>
        <v>-0.81800717746726903</v>
      </c>
      <c r="R336" s="101">
        <f t="shared" si="93"/>
        <v>-0.20035600009941024</v>
      </c>
      <c r="S336" s="101">
        <f t="shared" si="94"/>
        <v>-1.2935122881750014</v>
      </c>
      <c r="T336" s="101">
        <f t="shared" si="95"/>
        <v>0.98808199936272922</v>
      </c>
      <c r="U336" s="101">
        <f t="shared" si="96"/>
        <v>-0.63796179884427828</v>
      </c>
      <c r="V336" s="101">
        <f t="shared" si="97"/>
        <v>0.12925569794584341</v>
      </c>
      <c r="W336" s="101">
        <f t="shared" si="98"/>
        <v>-0.71922039163038298</v>
      </c>
      <c r="X336" s="101">
        <f t="shared" si="99"/>
        <v>0.13043166032686723</v>
      </c>
      <c r="Y336" s="101">
        <f t="shared" si="100"/>
        <v>-0.49944805490395738</v>
      </c>
      <c r="Z336" s="101">
        <f t="shared" si="101"/>
        <v>-0.29743174686313184</v>
      </c>
      <c r="AQ336" s="101">
        <v>-1.8261134942823822</v>
      </c>
      <c r="AR336" s="101">
        <v>-0.96175791827472279</v>
      </c>
      <c r="AS336" s="101">
        <v>0.56121548934091481</v>
      </c>
      <c r="AT336" s="101">
        <v>-0.5829179199745419</v>
      </c>
      <c r="AU336" s="101">
        <v>-0.29675209282250875</v>
      </c>
      <c r="AV336" s="101">
        <v>-0.67241334688254317</v>
      </c>
      <c r="AW336" s="101">
        <v>-0.18851061997906496</v>
      </c>
      <c r="AX336" s="101">
        <v>-5.9271915955020932E-2</v>
      </c>
      <c r="AY336" s="101">
        <v>-0.28682580713563854</v>
      </c>
      <c r="AZ336" s="101">
        <v>-0.22823302584075489</v>
      </c>
      <c r="BA336" s="101">
        <v>-0.46075640405244278</v>
      </c>
      <c r="BB336" s="101">
        <v>0.5606652261518722</v>
      </c>
    </row>
    <row r="337" spans="2:54">
      <c r="B337">
        <v>5.0229999999999997E-2</v>
      </c>
      <c r="C337">
        <v>6.06</v>
      </c>
      <c r="D337">
        <v>0.43790000000000001</v>
      </c>
      <c r="E337">
        <v>5.7060000000000004</v>
      </c>
      <c r="F337">
        <v>28.4</v>
      </c>
      <c r="G337">
        <v>6.6406999999999998</v>
      </c>
      <c r="H337">
        <v>1</v>
      </c>
      <c r="I337">
        <v>304</v>
      </c>
      <c r="J337">
        <v>16.899999999999999</v>
      </c>
      <c r="K337">
        <v>394.02</v>
      </c>
      <c r="L337">
        <v>12.43</v>
      </c>
      <c r="M337">
        <v>17.100000000000001</v>
      </c>
      <c r="O337" s="101">
        <f t="shared" si="90"/>
        <v>-0.41467199000211186</v>
      </c>
      <c r="P337" s="101">
        <f t="shared" si="91"/>
        <v>-0.74074945232631173</v>
      </c>
      <c r="Q337" s="101">
        <f t="shared" si="92"/>
        <v>-1.0089142718589927</v>
      </c>
      <c r="R337" s="101">
        <f t="shared" si="93"/>
        <v>-0.82435650023332574</v>
      </c>
      <c r="S337" s="101">
        <f t="shared" si="94"/>
        <v>-1.4286424613117414</v>
      </c>
      <c r="T337" s="101">
        <f t="shared" si="95"/>
        <v>1.3527376656958328</v>
      </c>
      <c r="U337" s="101">
        <f t="shared" si="96"/>
        <v>-0.98284285676650562</v>
      </c>
      <c r="V337" s="101">
        <f t="shared" si="97"/>
        <v>-0.61909394591859457</v>
      </c>
      <c r="W337" s="101">
        <f t="shared" si="98"/>
        <v>-0.71922039163038298</v>
      </c>
      <c r="X337" s="101">
        <f t="shared" si="99"/>
        <v>0.40947458053618957</v>
      </c>
      <c r="Y337" s="101">
        <f t="shared" si="100"/>
        <v>-3.1267618437421006E-2</v>
      </c>
      <c r="Z337" s="101">
        <f t="shared" si="101"/>
        <v>-0.59129293616339706</v>
      </c>
      <c r="AQ337" s="101">
        <v>-1.9600523594867165</v>
      </c>
      <c r="AR337" s="101">
        <v>-1.8792019713405519</v>
      </c>
      <c r="AS337" s="101">
        <v>-1.7278959921377304E-2</v>
      </c>
      <c r="AT337" s="101">
        <v>-0.74732931080434661</v>
      </c>
      <c r="AU337" s="101">
        <v>-0.49761415629701439</v>
      </c>
      <c r="AV337" s="101">
        <v>-0.61864974832580755</v>
      </c>
      <c r="AW337" s="101">
        <v>2.0768716488959948E-2</v>
      </c>
      <c r="AX337" s="101">
        <v>0.23117966610681134</v>
      </c>
      <c r="AY337" s="101">
        <v>7.1395373332464901E-2</v>
      </c>
      <c r="AZ337" s="101">
        <v>-7.8802000507784506E-2</v>
      </c>
      <c r="BA337" s="101">
        <v>-0.16357561090110506</v>
      </c>
      <c r="BB337" s="101">
        <v>0.13989566405010487</v>
      </c>
    </row>
    <row r="338" spans="2:54">
      <c r="B338">
        <v>3.4660000000000003E-2</v>
      </c>
      <c r="C338">
        <v>6.06</v>
      </c>
      <c r="D338">
        <v>0.43790000000000001</v>
      </c>
      <c r="E338">
        <v>6.0309999999999997</v>
      </c>
      <c r="F338">
        <v>23.3</v>
      </c>
      <c r="G338">
        <v>6.6406999999999998</v>
      </c>
      <c r="H338">
        <v>1</v>
      </c>
      <c r="I338">
        <v>304</v>
      </c>
      <c r="J338">
        <v>16.899999999999999</v>
      </c>
      <c r="K338">
        <v>362.25</v>
      </c>
      <c r="L338">
        <v>7.83</v>
      </c>
      <c r="M338">
        <v>19.399999999999999</v>
      </c>
      <c r="O338" s="101">
        <f t="shared" si="90"/>
        <v>-0.41648392123384648</v>
      </c>
      <c r="P338" s="101">
        <f t="shared" si="91"/>
        <v>-0.74074945232631173</v>
      </c>
      <c r="Q338" s="101">
        <f t="shared" si="92"/>
        <v>-1.0089142718589927</v>
      </c>
      <c r="R338" s="101">
        <f t="shared" si="93"/>
        <v>-0.36134243049925674</v>
      </c>
      <c r="S338" s="101">
        <f t="shared" si="94"/>
        <v>-1.6100013778899973</v>
      </c>
      <c r="T338" s="101">
        <f t="shared" si="95"/>
        <v>1.3527376656958328</v>
      </c>
      <c r="U338" s="101">
        <f t="shared" si="96"/>
        <v>-0.98284285676650562</v>
      </c>
      <c r="V338" s="101">
        <f t="shared" si="97"/>
        <v>-0.61909394591859457</v>
      </c>
      <c r="W338" s="101">
        <f t="shared" si="98"/>
        <v>-0.71922039163038298</v>
      </c>
      <c r="X338" s="101">
        <f t="shared" si="99"/>
        <v>6.1136915504748708E-2</v>
      </c>
      <c r="Y338" s="101">
        <f t="shared" si="100"/>
        <v>-0.67606702195420765</v>
      </c>
      <c r="Z338" s="101">
        <f t="shared" si="101"/>
        <v>-0.3409667378705788</v>
      </c>
      <c r="AQ338" s="101">
        <v>-2.3158010578820325</v>
      </c>
      <c r="AR338" s="101">
        <v>-1.3516497690985771</v>
      </c>
      <c r="AS338" s="101">
        <v>0.41623017215644043</v>
      </c>
      <c r="AT338" s="101">
        <v>-0.78877480589299087</v>
      </c>
      <c r="AU338" s="101">
        <v>-0.16909331899032315</v>
      </c>
      <c r="AV338" s="101">
        <v>-0.63798811640283315</v>
      </c>
      <c r="AW338" s="101">
        <v>0.26013194971419129</v>
      </c>
      <c r="AX338" s="101">
        <v>0.39695910167301596</v>
      </c>
      <c r="AY338" s="101">
        <v>-0.16135179737793778</v>
      </c>
      <c r="AZ338" s="101">
        <v>-2.5042755791502891E-2</v>
      </c>
      <c r="BA338" s="101">
        <v>-0.2122626959041643</v>
      </c>
      <c r="BB338" s="101">
        <v>0.13549240117031652</v>
      </c>
    </row>
    <row r="339" spans="2:54">
      <c r="B339">
        <v>5.083E-2</v>
      </c>
      <c r="C339">
        <v>5.19</v>
      </c>
      <c r="D339">
        <v>0.51500000000000001</v>
      </c>
      <c r="E339">
        <v>6.3159999999999998</v>
      </c>
      <c r="F339">
        <v>38.1</v>
      </c>
      <c r="G339">
        <v>6.4584000000000001</v>
      </c>
      <c r="H339">
        <v>5</v>
      </c>
      <c r="I339">
        <v>224</v>
      </c>
      <c r="J339">
        <v>20.2</v>
      </c>
      <c r="K339">
        <v>389.71</v>
      </c>
      <c r="L339">
        <v>5.68</v>
      </c>
      <c r="M339">
        <v>22.2</v>
      </c>
      <c r="O339" s="101">
        <f t="shared" si="90"/>
        <v>-0.41460216606254596</v>
      </c>
      <c r="P339" s="101">
        <f t="shared" si="91"/>
        <v>-0.86769058314480541</v>
      </c>
      <c r="Q339" s="101">
        <f t="shared" si="92"/>
        <v>-0.34289902400370337</v>
      </c>
      <c r="R339" s="101">
        <f t="shared" si="93"/>
        <v>4.4685292190620264E-2</v>
      </c>
      <c r="S339" s="101">
        <f t="shared" si="94"/>
        <v>-1.0837049140942741</v>
      </c>
      <c r="T339" s="101">
        <f t="shared" si="95"/>
        <v>1.2660778717021883</v>
      </c>
      <c r="U339" s="101">
        <f t="shared" si="96"/>
        <v>-0.52300144620353584</v>
      </c>
      <c r="V339" s="101">
        <f t="shared" si="97"/>
        <v>-1.0942365769436344</v>
      </c>
      <c r="W339" s="101">
        <f t="shared" si="98"/>
        <v>0.80657583495378138</v>
      </c>
      <c r="X339" s="101">
        <f t="shared" si="99"/>
        <v>0.36221819601351057</v>
      </c>
      <c r="Y339" s="101">
        <f t="shared" si="100"/>
        <v>-0.97744065620661891</v>
      </c>
      <c r="Z339" s="101">
        <f t="shared" si="101"/>
        <v>-3.6221800818451687E-2</v>
      </c>
      <c r="AQ339" s="101">
        <v>-1.9764797496715969</v>
      </c>
      <c r="AR339" s="101">
        <v>-1.1080273486289742</v>
      </c>
      <c r="AS339" s="101">
        <v>0.58021470320456348</v>
      </c>
      <c r="AT339" s="101">
        <v>0.44077722919412426</v>
      </c>
      <c r="AU339" s="101">
        <v>0.40102282552560403</v>
      </c>
      <c r="AV339" s="101">
        <v>0.15865588151544582</v>
      </c>
      <c r="AW339" s="101">
        <v>0.2221674349801778</v>
      </c>
      <c r="AX339" s="101">
        <v>0.25674450173749447</v>
      </c>
      <c r="AY339" s="101">
        <v>-0.74706710702841506</v>
      </c>
      <c r="AZ339" s="101">
        <v>-0.1307036228114429</v>
      </c>
      <c r="BA339" s="101">
        <v>0.64356238228110374</v>
      </c>
      <c r="BB339" s="101">
        <v>-0.2744415691112117</v>
      </c>
    </row>
    <row r="340" spans="2:54">
      <c r="B340">
        <v>3.7379999999999997E-2</v>
      </c>
      <c r="C340">
        <v>5.19</v>
      </c>
      <c r="D340">
        <v>0.51500000000000001</v>
      </c>
      <c r="E340">
        <v>6.31</v>
      </c>
      <c r="F340">
        <v>38.5</v>
      </c>
      <c r="G340">
        <v>6.4584000000000001</v>
      </c>
      <c r="H340">
        <v>5</v>
      </c>
      <c r="I340">
        <v>224</v>
      </c>
      <c r="J340">
        <v>20.2</v>
      </c>
      <c r="K340">
        <v>389.4</v>
      </c>
      <c r="L340">
        <v>6.75</v>
      </c>
      <c r="M340">
        <v>20.7</v>
      </c>
      <c r="O340" s="101">
        <f t="shared" si="90"/>
        <v>-0.41616738604114778</v>
      </c>
      <c r="P340" s="101">
        <f t="shared" si="91"/>
        <v>-0.86769058314480541</v>
      </c>
      <c r="Q340" s="101">
        <f t="shared" si="92"/>
        <v>-0.34289902400370337</v>
      </c>
      <c r="R340" s="101">
        <f t="shared" si="93"/>
        <v>3.6137340133990954E-2</v>
      </c>
      <c r="S340" s="101">
        <f t="shared" si="94"/>
        <v>-1.0694806853430383</v>
      </c>
      <c r="T340" s="101">
        <f t="shared" si="95"/>
        <v>1.2660778717021883</v>
      </c>
      <c r="U340" s="101">
        <f t="shared" si="96"/>
        <v>-0.52300144620353584</v>
      </c>
      <c r="V340" s="101">
        <f t="shared" si="97"/>
        <v>-1.0942365769436344</v>
      </c>
      <c r="W340" s="101">
        <f t="shared" si="98"/>
        <v>0.80657583495378138</v>
      </c>
      <c r="X340" s="101">
        <f t="shared" si="99"/>
        <v>0.35881924492255218</v>
      </c>
      <c r="Y340" s="101">
        <f t="shared" si="100"/>
        <v>-0.82745470799727927</v>
      </c>
      <c r="Z340" s="101">
        <f t="shared" si="101"/>
        <v>-0.19947801709637689</v>
      </c>
      <c r="AQ340" s="101">
        <v>-1.8766461347174104</v>
      </c>
      <c r="AR340" s="101">
        <v>-1.2270815485772242</v>
      </c>
      <c r="AS340" s="101">
        <v>0.5362568405746112</v>
      </c>
      <c r="AT340" s="101">
        <v>0.38566397243252015</v>
      </c>
      <c r="AU340" s="101">
        <v>0.38969228314790877</v>
      </c>
      <c r="AV340" s="101">
        <v>0.18973971133198064</v>
      </c>
      <c r="AW340" s="101">
        <v>0.12149056556054086</v>
      </c>
      <c r="AX340" s="101">
        <v>0.3072959077936625</v>
      </c>
      <c r="AY340" s="101">
        <v>-0.72056700666855023</v>
      </c>
      <c r="AZ340" s="101">
        <v>-0.19618995824854757</v>
      </c>
      <c r="BA340" s="101">
        <v>0.6055572366514167</v>
      </c>
      <c r="BB340" s="101">
        <v>-0.2847560689167607</v>
      </c>
    </row>
    <row r="341" spans="2:54">
      <c r="B341">
        <v>3.9609999999999999E-2</v>
      </c>
      <c r="C341">
        <v>5.19</v>
      </c>
      <c r="D341">
        <v>0.51500000000000001</v>
      </c>
      <c r="E341">
        <v>6.0369999999999999</v>
      </c>
      <c r="F341">
        <v>34.5</v>
      </c>
      <c r="G341">
        <v>5.9852999999999996</v>
      </c>
      <c r="H341">
        <v>5</v>
      </c>
      <c r="I341">
        <v>224</v>
      </c>
      <c r="J341">
        <v>20.2</v>
      </c>
      <c r="K341">
        <v>396.9</v>
      </c>
      <c r="L341">
        <v>8.01</v>
      </c>
      <c r="M341">
        <v>21.1</v>
      </c>
      <c r="O341" s="101">
        <f t="shared" si="90"/>
        <v>-0.41590787373242794</v>
      </c>
      <c r="P341" s="101">
        <f t="shared" si="91"/>
        <v>-0.86769058314480541</v>
      </c>
      <c r="Q341" s="101">
        <f t="shared" si="92"/>
        <v>-0.34289902400370337</v>
      </c>
      <c r="R341" s="101">
        <f t="shared" si="93"/>
        <v>-0.3527944784426274</v>
      </c>
      <c r="S341" s="101">
        <f t="shared" si="94"/>
        <v>-1.211722972855396</v>
      </c>
      <c r="T341" s="101">
        <f t="shared" si="95"/>
        <v>1.0411807321608098</v>
      </c>
      <c r="U341" s="101">
        <f t="shared" si="96"/>
        <v>-0.52300144620353584</v>
      </c>
      <c r="V341" s="101">
        <f t="shared" si="97"/>
        <v>-1.0942365769436344</v>
      </c>
      <c r="W341" s="101">
        <f t="shared" si="98"/>
        <v>0.80657583495378138</v>
      </c>
      <c r="X341" s="101">
        <f t="shared" si="99"/>
        <v>0.44105193260702835</v>
      </c>
      <c r="Y341" s="101">
        <f t="shared" si="100"/>
        <v>-0.65083574094702912</v>
      </c>
      <c r="Z341" s="101">
        <f t="shared" si="101"/>
        <v>-0.15594302608892993</v>
      </c>
      <c r="AQ341" s="101">
        <v>-1.743636066739316</v>
      </c>
      <c r="AR341" s="101">
        <v>-1.4274757883446605</v>
      </c>
      <c r="AS341" s="101">
        <v>0.36340568223581893</v>
      </c>
      <c r="AT341" s="101">
        <v>0.39219319035955774</v>
      </c>
      <c r="AU341" s="101">
        <v>0.2637918425647609</v>
      </c>
      <c r="AV341" s="101">
        <v>7.8512787771967449E-2</v>
      </c>
      <c r="AW341" s="101">
        <v>0.3538653494676901</v>
      </c>
      <c r="AX341" s="101">
        <v>7.6299452732684972E-2</v>
      </c>
      <c r="AY341" s="101">
        <v>-0.60203502940891884</v>
      </c>
      <c r="AZ341" s="101">
        <v>-0.35048216033703905</v>
      </c>
      <c r="BA341" s="101">
        <v>0.60130749878425627</v>
      </c>
      <c r="BB341" s="101">
        <v>-0.25814817752348768</v>
      </c>
    </row>
    <row r="342" spans="2:54">
      <c r="B342">
        <v>3.4270000000000002E-2</v>
      </c>
      <c r="C342">
        <v>5.19</v>
      </c>
      <c r="D342">
        <v>0.51500000000000001</v>
      </c>
      <c r="E342">
        <v>5.8689999999999998</v>
      </c>
      <c r="F342">
        <v>46.3</v>
      </c>
      <c r="G342">
        <v>5.2310999999999996</v>
      </c>
      <c r="H342">
        <v>5</v>
      </c>
      <c r="I342">
        <v>224</v>
      </c>
      <c r="J342">
        <v>20.2</v>
      </c>
      <c r="K342">
        <v>396.9</v>
      </c>
      <c r="L342">
        <v>9.8000000000000007</v>
      </c>
      <c r="M342">
        <v>19.5</v>
      </c>
      <c r="O342" s="101">
        <f t="shared" si="90"/>
        <v>-0.41652930679456435</v>
      </c>
      <c r="P342" s="101">
        <f t="shared" si="91"/>
        <v>-0.86769058314480541</v>
      </c>
      <c r="Q342" s="101">
        <f t="shared" si="92"/>
        <v>-0.34289902400370337</v>
      </c>
      <c r="R342" s="101">
        <f t="shared" si="93"/>
        <v>-0.59213713602823925</v>
      </c>
      <c r="S342" s="101">
        <f t="shared" si="94"/>
        <v>-0.79210822469394104</v>
      </c>
      <c r="T342" s="101">
        <f t="shared" si="95"/>
        <v>0.6826573277175475</v>
      </c>
      <c r="U342" s="101">
        <f t="shared" si="96"/>
        <v>-0.52300144620353584</v>
      </c>
      <c r="V342" s="101">
        <f t="shared" si="97"/>
        <v>-1.0942365769436344</v>
      </c>
      <c r="W342" s="101">
        <f t="shared" si="98"/>
        <v>0.80657583495378138</v>
      </c>
      <c r="X342" s="101">
        <f t="shared" si="99"/>
        <v>0.44105193260702835</v>
      </c>
      <c r="Y342" s="101">
        <f t="shared" si="100"/>
        <v>-0.39992466870897497</v>
      </c>
      <c r="Z342" s="101">
        <f t="shared" si="101"/>
        <v>-0.33008299011871695</v>
      </c>
      <c r="AQ342" s="101">
        <v>-1.3329376336514867</v>
      </c>
      <c r="AR342" s="101">
        <v>-1.4942146231568116</v>
      </c>
      <c r="AS342" s="101">
        <v>-1.4822434084108861E-2</v>
      </c>
      <c r="AT342" s="101">
        <v>0.35424191678757072</v>
      </c>
      <c r="AU342" s="101">
        <v>0.24964649232700054</v>
      </c>
      <c r="AV342" s="101">
        <v>0.29570677839763743</v>
      </c>
      <c r="AW342" s="101">
        <v>0.31402427136888889</v>
      </c>
      <c r="AX342" s="101">
        <v>-0.14077739888065952</v>
      </c>
      <c r="AY342" s="101">
        <v>-0.57835331166447657</v>
      </c>
      <c r="AZ342" s="101">
        <v>-0.32232877663966697</v>
      </c>
      <c r="BA342" s="101">
        <v>0.40112768655298664</v>
      </c>
      <c r="BB342" s="101">
        <v>-0.2651829423536044</v>
      </c>
    </row>
    <row r="343" spans="2:54">
      <c r="B343">
        <v>3.041E-2</v>
      </c>
      <c r="C343">
        <v>5.19</v>
      </c>
      <c r="D343">
        <v>0.51500000000000001</v>
      </c>
      <c r="E343">
        <v>5.8949999999999996</v>
      </c>
      <c r="F343">
        <v>59.6</v>
      </c>
      <c r="G343">
        <v>5.6150000000000002</v>
      </c>
      <c r="H343">
        <v>5</v>
      </c>
      <c r="I343">
        <v>224</v>
      </c>
      <c r="J343">
        <v>20.2</v>
      </c>
      <c r="K343">
        <v>394.81</v>
      </c>
      <c r="L343">
        <v>10.56</v>
      </c>
      <c r="M343">
        <v>18.5</v>
      </c>
      <c r="O343" s="101">
        <f t="shared" si="90"/>
        <v>-0.41697850747243814</v>
      </c>
      <c r="P343" s="101">
        <f t="shared" si="91"/>
        <v>-0.86769058314480541</v>
      </c>
      <c r="Q343" s="101">
        <f t="shared" si="92"/>
        <v>-0.34289902400370337</v>
      </c>
      <c r="R343" s="101">
        <f t="shared" si="93"/>
        <v>-0.55509601044951395</v>
      </c>
      <c r="S343" s="101">
        <f t="shared" si="94"/>
        <v>-0.31915261871535178</v>
      </c>
      <c r="T343" s="101">
        <f t="shared" si="95"/>
        <v>0.86515154008266104</v>
      </c>
      <c r="U343" s="101">
        <f t="shared" si="96"/>
        <v>-0.52300144620353584</v>
      </c>
      <c r="V343" s="101">
        <f t="shared" si="97"/>
        <v>-1.0942365769436344</v>
      </c>
      <c r="W343" s="101">
        <f t="shared" si="98"/>
        <v>0.80657583495378138</v>
      </c>
      <c r="X343" s="101">
        <f t="shared" si="99"/>
        <v>0.41813642363895459</v>
      </c>
      <c r="Y343" s="101">
        <f t="shared" si="100"/>
        <v>-0.29339259334533202</v>
      </c>
      <c r="Z343" s="101">
        <f t="shared" si="101"/>
        <v>-0.43892046763733372</v>
      </c>
      <c r="AQ343" s="101">
        <v>-1.1841209274565134</v>
      </c>
      <c r="AR343" s="101">
        <v>-1.5084367664703413</v>
      </c>
      <c r="AS343" s="101">
        <v>-0.13904868734454795</v>
      </c>
      <c r="AT343" s="101">
        <v>0.31273778250373174</v>
      </c>
      <c r="AU343" s="101">
        <v>0.27987087577229669</v>
      </c>
      <c r="AV343" s="101">
        <v>0.49042298695029707</v>
      </c>
      <c r="AW343" s="101">
        <v>-6.4303557944521417E-3</v>
      </c>
      <c r="AX343" s="101">
        <v>-0.14007918563598862</v>
      </c>
      <c r="AY343" s="101">
        <v>-0.62237544462589989</v>
      </c>
      <c r="AZ343" s="101">
        <v>-8.7637043465064735E-3</v>
      </c>
      <c r="BA343" s="101">
        <v>0.41715834683994618</v>
      </c>
      <c r="BB343" s="101">
        <v>-0.2884680770351275</v>
      </c>
    </row>
    <row r="344" spans="2:54">
      <c r="B344">
        <v>3.3059999999999999E-2</v>
      </c>
      <c r="C344">
        <v>5.19</v>
      </c>
      <c r="D344">
        <v>0.51500000000000001</v>
      </c>
      <c r="E344">
        <v>6.0590000000000002</v>
      </c>
      <c r="F344">
        <v>37.299999999999997</v>
      </c>
      <c r="G344">
        <v>4.8121999999999998</v>
      </c>
      <c r="H344">
        <v>5</v>
      </c>
      <c r="I344">
        <v>224</v>
      </c>
      <c r="J344">
        <v>20.2</v>
      </c>
      <c r="K344">
        <v>396.14</v>
      </c>
      <c r="L344">
        <v>8.51</v>
      </c>
      <c r="M344">
        <v>20.6</v>
      </c>
      <c r="O344" s="101">
        <f t="shared" si="90"/>
        <v>-0.41667011840602219</v>
      </c>
      <c r="P344" s="101">
        <f t="shared" si="91"/>
        <v>-0.86769058314480541</v>
      </c>
      <c r="Q344" s="101">
        <f t="shared" si="92"/>
        <v>-0.34289902400370337</v>
      </c>
      <c r="R344" s="101">
        <f t="shared" si="93"/>
        <v>-0.32145198756832077</v>
      </c>
      <c r="S344" s="101">
        <f t="shared" si="94"/>
        <v>-1.1121533715967458</v>
      </c>
      <c r="T344" s="101">
        <f t="shared" si="95"/>
        <v>0.48352519549627654</v>
      </c>
      <c r="U344" s="101">
        <f t="shared" si="96"/>
        <v>-0.52300144620353584</v>
      </c>
      <c r="V344" s="101">
        <f t="shared" si="97"/>
        <v>-1.0942365769436344</v>
      </c>
      <c r="W344" s="101">
        <f t="shared" si="98"/>
        <v>0.80657583495378138</v>
      </c>
      <c r="X344" s="101">
        <f t="shared" si="99"/>
        <v>0.43271902025500153</v>
      </c>
      <c r="Y344" s="101">
        <f t="shared" si="100"/>
        <v>-0.58074884926042181</v>
      </c>
      <c r="Z344" s="101">
        <f t="shared" si="101"/>
        <v>-0.21036176484823832</v>
      </c>
      <c r="AQ344" s="101">
        <v>-1.515740730855474</v>
      </c>
      <c r="AR344" s="101">
        <v>-1.2434502010578308</v>
      </c>
      <c r="AS344" s="101">
        <v>0.15001551040239688</v>
      </c>
      <c r="AT344" s="101">
        <v>0.42854134103893976</v>
      </c>
      <c r="AU344" s="101">
        <v>0.30550685957590068</v>
      </c>
      <c r="AV344" s="101">
        <v>0.24711816145715509</v>
      </c>
      <c r="AW344" s="101">
        <v>0.49701025769526552</v>
      </c>
      <c r="AX344" s="101">
        <v>-2.9885656622358869E-2</v>
      </c>
      <c r="AY344" s="101">
        <v>-0.56722444183133436</v>
      </c>
      <c r="AZ344" s="101">
        <v>-0.60040772532568865</v>
      </c>
      <c r="BA344" s="101">
        <v>0.33393990623914305</v>
      </c>
      <c r="BB344" s="101">
        <v>-0.24991173965588112</v>
      </c>
    </row>
    <row r="345" spans="2:54">
      <c r="B345">
        <v>5.4969999999999998E-2</v>
      </c>
      <c r="C345">
        <v>5.19</v>
      </c>
      <c r="D345">
        <v>0.51500000000000001</v>
      </c>
      <c r="E345">
        <v>5.9850000000000003</v>
      </c>
      <c r="F345">
        <v>45.4</v>
      </c>
      <c r="G345">
        <v>4.8121999999999998</v>
      </c>
      <c r="H345">
        <v>5</v>
      </c>
      <c r="I345">
        <v>224</v>
      </c>
      <c r="J345">
        <v>20.2</v>
      </c>
      <c r="K345">
        <v>396.9</v>
      </c>
      <c r="L345">
        <v>9.74</v>
      </c>
      <c r="M345">
        <v>19</v>
      </c>
      <c r="O345" s="101">
        <f t="shared" si="90"/>
        <v>-0.41412038087954139</v>
      </c>
      <c r="P345" s="101">
        <f t="shared" si="91"/>
        <v>-0.86769058314480541</v>
      </c>
      <c r="Q345" s="101">
        <f t="shared" si="92"/>
        <v>-0.34289902400370337</v>
      </c>
      <c r="R345" s="101">
        <f t="shared" si="93"/>
        <v>-0.42687672960007805</v>
      </c>
      <c r="S345" s="101">
        <f t="shared" si="94"/>
        <v>-0.82411273938422147</v>
      </c>
      <c r="T345" s="101">
        <f t="shared" si="95"/>
        <v>0.48352519549627654</v>
      </c>
      <c r="U345" s="101">
        <f t="shared" si="96"/>
        <v>-0.52300144620353584</v>
      </c>
      <c r="V345" s="101">
        <f t="shared" si="97"/>
        <v>-1.0942365769436344</v>
      </c>
      <c r="W345" s="101">
        <f t="shared" si="98"/>
        <v>0.80657583495378138</v>
      </c>
      <c r="X345" s="101">
        <f t="shared" si="99"/>
        <v>0.44105193260702835</v>
      </c>
      <c r="Y345" s="101">
        <f t="shared" si="100"/>
        <v>-0.40833509571136795</v>
      </c>
      <c r="Z345" s="101">
        <f t="shared" si="101"/>
        <v>-0.38450172887802536</v>
      </c>
      <c r="AQ345" s="101">
        <v>-1.3049162388810296</v>
      </c>
      <c r="AR345" s="101">
        <v>-1.3671011163566651</v>
      </c>
      <c r="AS345" s="101">
        <v>-2.401730723194697E-2</v>
      </c>
      <c r="AT345" s="101">
        <v>0.38086533200268968</v>
      </c>
      <c r="AU345" s="101">
        <v>0.28547369255233856</v>
      </c>
      <c r="AV345" s="101">
        <v>0.36955522195800883</v>
      </c>
      <c r="AW345" s="101">
        <v>0.32958152705749699</v>
      </c>
      <c r="AX345" s="101">
        <v>-7.3477951360265581E-2</v>
      </c>
      <c r="AY345" s="101">
        <v>-0.57710548828824337</v>
      </c>
      <c r="AZ345" s="101">
        <v>-0.48588094869114357</v>
      </c>
      <c r="BA345" s="101">
        <v>0.27854554048578134</v>
      </c>
      <c r="BB345" s="101">
        <v>-0.26736534729651779</v>
      </c>
    </row>
    <row r="346" spans="2:54">
      <c r="B346">
        <v>6.1510000000000002E-2</v>
      </c>
      <c r="C346">
        <v>5.19</v>
      </c>
      <c r="D346">
        <v>0.51500000000000001</v>
      </c>
      <c r="E346">
        <v>5.968</v>
      </c>
      <c r="F346">
        <v>58.5</v>
      </c>
      <c r="G346">
        <v>4.8121999999999998</v>
      </c>
      <c r="H346">
        <v>5</v>
      </c>
      <c r="I346">
        <v>224</v>
      </c>
      <c r="J346">
        <v>20.2</v>
      </c>
      <c r="K346">
        <v>396.9</v>
      </c>
      <c r="L346">
        <v>9.2899999999999991</v>
      </c>
      <c r="M346">
        <v>18.7</v>
      </c>
      <c r="O346" s="101">
        <f t="shared" si="90"/>
        <v>-0.41335929993827325</v>
      </c>
      <c r="P346" s="101">
        <f t="shared" si="91"/>
        <v>-0.86769058314480541</v>
      </c>
      <c r="Q346" s="101">
        <f t="shared" si="92"/>
        <v>-0.34289902400370337</v>
      </c>
      <c r="R346" s="101">
        <f t="shared" si="93"/>
        <v>-0.4510959270938607</v>
      </c>
      <c r="S346" s="101">
        <f t="shared" si="94"/>
        <v>-0.35826924778125013</v>
      </c>
      <c r="T346" s="101">
        <f t="shared" si="95"/>
        <v>0.48352519549627654</v>
      </c>
      <c r="U346" s="101">
        <f t="shared" si="96"/>
        <v>-0.52300144620353584</v>
      </c>
      <c r="V346" s="101">
        <f t="shared" si="97"/>
        <v>-1.0942365769436344</v>
      </c>
      <c r="W346" s="101">
        <f t="shared" si="98"/>
        <v>0.80657583495378138</v>
      </c>
      <c r="X346" s="101">
        <f t="shared" si="99"/>
        <v>0.44105193260702835</v>
      </c>
      <c r="Y346" s="101">
        <f t="shared" si="100"/>
        <v>-0.4714132982293146</v>
      </c>
      <c r="Z346" s="101">
        <f t="shared" si="101"/>
        <v>-0.41715297213361047</v>
      </c>
      <c r="AQ346" s="101">
        <v>-1.1715663116886976</v>
      </c>
      <c r="AR346" s="101">
        <v>-1.2774583557577943</v>
      </c>
      <c r="AS346" s="101">
        <v>-0.18771913944624385</v>
      </c>
      <c r="AT346" s="101">
        <v>0.41175263761066883</v>
      </c>
      <c r="AU346" s="101">
        <v>0.32002268221405145</v>
      </c>
      <c r="AV346" s="101">
        <v>0.55039313476854113</v>
      </c>
      <c r="AW346" s="101">
        <v>0.1953520461375183</v>
      </c>
      <c r="AX346" s="101">
        <v>-0.1549038867535171</v>
      </c>
      <c r="AY346" s="101">
        <v>-0.69409273906031665</v>
      </c>
      <c r="AZ346" s="101">
        <v>-0.1832722996396563</v>
      </c>
      <c r="BA346" s="101">
        <v>0.2091544003072823</v>
      </c>
      <c r="BB346" s="101">
        <v>-0.28869762502349694</v>
      </c>
    </row>
    <row r="347" spans="2:54">
      <c r="B347">
        <v>1.3010000000000001E-2</v>
      </c>
      <c r="C347">
        <v>1.52</v>
      </c>
      <c r="D347">
        <v>0.442</v>
      </c>
      <c r="E347">
        <v>7.2409999999999997</v>
      </c>
      <c r="F347">
        <v>49.3</v>
      </c>
      <c r="G347">
        <v>7.0378999999999996</v>
      </c>
      <c r="H347">
        <v>1</v>
      </c>
      <c r="I347">
        <v>284</v>
      </c>
      <c r="J347">
        <v>15.5</v>
      </c>
      <c r="K347">
        <v>394.74</v>
      </c>
      <c r="L347">
        <v>5.49</v>
      </c>
      <c r="M347">
        <v>32.700000000000003</v>
      </c>
      <c r="O347" s="101">
        <f t="shared" si="90"/>
        <v>-0.41900340171984873</v>
      </c>
      <c r="P347" s="101">
        <f t="shared" si="91"/>
        <v>-1.4031778821147731</v>
      </c>
      <c r="Q347" s="101">
        <f t="shared" si="92"/>
        <v>-0.97349711860079979</v>
      </c>
      <c r="R347" s="101">
        <f t="shared" si="93"/>
        <v>1.3624945675875886</v>
      </c>
      <c r="S347" s="101">
        <f t="shared" si="94"/>
        <v>-0.68542650905967284</v>
      </c>
      <c r="T347" s="101">
        <f t="shared" si="95"/>
        <v>1.5415542876062858</v>
      </c>
      <c r="U347" s="101">
        <f t="shared" si="96"/>
        <v>-0.98284285676650562</v>
      </c>
      <c r="V347" s="101">
        <f t="shared" si="97"/>
        <v>-0.7378796036748545</v>
      </c>
      <c r="W347" s="101">
        <f t="shared" si="98"/>
        <v>-1.3665278816963913</v>
      </c>
      <c r="X347" s="101">
        <f t="shared" si="99"/>
        <v>0.41736891855389957</v>
      </c>
      <c r="Y347" s="101">
        <f t="shared" si="100"/>
        <v>-1.0040736750475296</v>
      </c>
      <c r="Z347" s="101">
        <f t="shared" si="101"/>
        <v>1.106571713127025</v>
      </c>
      <c r="AQ347" s="101">
        <v>-3.4245506339268195</v>
      </c>
      <c r="AR347" s="101">
        <v>0.64659231054410093</v>
      </c>
      <c r="AS347" s="101">
        <v>0.47518927493120078</v>
      </c>
      <c r="AT347" s="101">
        <v>-0.57771021762937758</v>
      </c>
      <c r="AU347" s="101">
        <v>-0.39938128496480396</v>
      </c>
      <c r="AV347" s="101">
        <v>6.7298191668125756E-2</v>
      </c>
      <c r="AW347" s="101">
        <v>-0.69524743205057815</v>
      </c>
      <c r="AX347" s="101">
        <v>0.15621752207577566</v>
      </c>
      <c r="AY347" s="101">
        <v>-3.3990476898409949E-2</v>
      </c>
      <c r="AZ347" s="101">
        <v>0.33115650667927632</v>
      </c>
      <c r="BA347" s="101">
        <v>0.11976057154322739</v>
      </c>
      <c r="BB347" s="101">
        <v>0.27805258373541952</v>
      </c>
    </row>
    <row r="348" spans="2:54">
      <c r="B348">
        <v>2.4979999999999999E-2</v>
      </c>
      <c r="C348">
        <v>1.89</v>
      </c>
      <c r="D348">
        <v>0.51800000000000002</v>
      </c>
      <c r="E348">
        <v>6.54</v>
      </c>
      <c r="F348">
        <v>59.7</v>
      </c>
      <c r="G348">
        <v>6.2668999999999997</v>
      </c>
      <c r="H348">
        <v>1</v>
      </c>
      <c r="I348">
        <v>422</v>
      </c>
      <c r="J348">
        <v>15.9</v>
      </c>
      <c r="K348">
        <v>389.96</v>
      </c>
      <c r="L348">
        <v>8.65</v>
      </c>
      <c r="M348">
        <v>16.5</v>
      </c>
      <c r="O348" s="101">
        <f t="shared" si="90"/>
        <v>-0.41761041412550942</v>
      </c>
      <c r="P348" s="101">
        <f t="shared" si="91"/>
        <v>-1.3491914241804712</v>
      </c>
      <c r="Q348" s="101">
        <f t="shared" si="92"/>
        <v>-0.31698403381478157</v>
      </c>
      <c r="R348" s="101">
        <f t="shared" si="93"/>
        <v>0.36380883563810268</v>
      </c>
      <c r="S348" s="101">
        <f t="shared" si="94"/>
        <v>-0.31559656152754278</v>
      </c>
      <c r="T348" s="101">
        <f t="shared" si="95"/>
        <v>1.1750446816320677</v>
      </c>
      <c r="U348" s="101">
        <f t="shared" si="96"/>
        <v>-0.98284285676650562</v>
      </c>
      <c r="V348" s="101">
        <f t="shared" si="97"/>
        <v>8.17414348433394E-2</v>
      </c>
      <c r="W348" s="101">
        <f t="shared" si="98"/>
        <v>-1.1815828845346743</v>
      </c>
      <c r="X348" s="101">
        <f t="shared" si="99"/>
        <v>0.36495928560299312</v>
      </c>
      <c r="Y348" s="101">
        <f t="shared" si="100"/>
        <v>-0.56112451958817167</v>
      </c>
      <c r="Z348" s="101">
        <f t="shared" si="101"/>
        <v>-0.65659542267456739</v>
      </c>
      <c r="AQ348" s="101">
        <v>-1.8002166418386796</v>
      </c>
      <c r="AR348" s="101">
        <v>-0.47391407450935924</v>
      </c>
      <c r="AS348" s="101">
        <v>-4.5002379163134633E-2</v>
      </c>
      <c r="AT348" s="101">
        <v>-0.77625552719332047</v>
      </c>
      <c r="AU348" s="101">
        <v>-0.47216414083488911</v>
      </c>
      <c r="AV348" s="101">
        <v>-0.25385093423293331</v>
      </c>
      <c r="AW348" s="101">
        <v>-0.99161120215737664</v>
      </c>
      <c r="AX348" s="101">
        <v>0.32152767096511237</v>
      </c>
      <c r="AY348" s="101">
        <v>-0.86588333580004595</v>
      </c>
      <c r="AZ348" s="101">
        <v>0.11973739904033617</v>
      </c>
      <c r="BA348" s="101">
        <v>-0.47566397502059243</v>
      </c>
      <c r="BB348" s="101">
        <v>0.7221389331090261</v>
      </c>
    </row>
    <row r="349" spans="2:54">
      <c r="B349">
        <v>2.5430000000000001E-2</v>
      </c>
      <c r="C349">
        <v>3.78</v>
      </c>
      <c r="D349">
        <v>0.48399999999999999</v>
      </c>
      <c r="E349">
        <v>6.6959999999999997</v>
      </c>
      <c r="F349">
        <v>56.4</v>
      </c>
      <c r="G349">
        <v>5.7321</v>
      </c>
      <c r="H349">
        <v>5</v>
      </c>
      <c r="I349">
        <v>370</v>
      </c>
      <c r="J349">
        <v>17.600000000000001</v>
      </c>
      <c r="K349">
        <v>396.9</v>
      </c>
      <c r="L349">
        <v>7.18</v>
      </c>
      <c r="M349">
        <v>23.9</v>
      </c>
      <c r="O349" s="101">
        <f t="shared" si="90"/>
        <v>-0.41755804617083497</v>
      </c>
      <c r="P349" s="101">
        <f t="shared" si="91"/>
        <v>-1.0734227606782263</v>
      </c>
      <c r="Q349" s="101">
        <f t="shared" si="92"/>
        <v>-0.61068725595589524</v>
      </c>
      <c r="R349" s="101">
        <f t="shared" si="93"/>
        <v>0.58605558911045585</v>
      </c>
      <c r="S349" s="101">
        <f t="shared" si="94"/>
        <v>-0.43294644872523796</v>
      </c>
      <c r="T349" s="101">
        <f t="shared" si="95"/>
        <v>0.92081726622997728</v>
      </c>
      <c r="U349" s="101">
        <f t="shared" si="96"/>
        <v>-0.52300144620353584</v>
      </c>
      <c r="V349" s="101">
        <f t="shared" si="97"/>
        <v>-0.22710127532293656</v>
      </c>
      <c r="W349" s="101">
        <f t="shared" si="98"/>
        <v>-0.39556664659737717</v>
      </c>
      <c r="X349" s="101">
        <f t="shared" si="99"/>
        <v>0.44105193260702835</v>
      </c>
      <c r="Y349" s="101">
        <f t="shared" si="100"/>
        <v>-0.76717998114679709</v>
      </c>
      <c r="Z349" s="101">
        <f t="shared" si="101"/>
        <v>0.14880191096319678</v>
      </c>
      <c r="AQ349" s="101">
        <v>-1.9083914238515987</v>
      </c>
      <c r="AR349" s="101">
        <v>-0.11696046176674824</v>
      </c>
      <c r="AS349" s="101">
        <v>0.35531203045565857</v>
      </c>
      <c r="AT349" s="101">
        <v>1.9312826208799247E-2</v>
      </c>
      <c r="AU349" s="101">
        <v>-0.11184021299116294</v>
      </c>
      <c r="AV349" s="101">
        <v>4.6288183897629977E-3</v>
      </c>
      <c r="AW349" s="101">
        <v>-0.51819878406833997</v>
      </c>
      <c r="AX349" s="101">
        <v>4.2553576547506328E-2</v>
      </c>
      <c r="AY349" s="101">
        <v>-0.42689511828109872</v>
      </c>
      <c r="AZ349" s="101">
        <v>9.9817174752012003E-2</v>
      </c>
      <c r="BA349" s="101">
        <v>-0.18035519090950328</v>
      </c>
      <c r="BB349" s="101">
        <v>0.27439415098618264</v>
      </c>
    </row>
    <row r="350" spans="2:54">
      <c r="B350">
        <v>3.049E-2</v>
      </c>
      <c r="C350">
        <v>3.78</v>
      </c>
      <c r="D350">
        <v>0.48399999999999999</v>
      </c>
      <c r="E350">
        <v>6.8739999999999997</v>
      </c>
      <c r="F350">
        <v>28.1</v>
      </c>
      <c r="G350">
        <v>6.4653999999999998</v>
      </c>
      <c r="H350">
        <v>5</v>
      </c>
      <c r="I350">
        <v>370</v>
      </c>
      <c r="J350">
        <v>17.600000000000001</v>
      </c>
      <c r="K350">
        <v>387.97</v>
      </c>
      <c r="L350">
        <v>4.6100000000000003</v>
      </c>
      <c r="M350">
        <v>31.2</v>
      </c>
      <c r="O350" s="101">
        <f t="shared" si="90"/>
        <v>-0.41696919761382939</v>
      </c>
      <c r="P350" s="101">
        <f t="shared" si="91"/>
        <v>-1.0734227606782263</v>
      </c>
      <c r="Q350" s="101">
        <f t="shared" si="92"/>
        <v>-0.61068725595589524</v>
      </c>
      <c r="R350" s="101">
        <f t="shared" si="93"/>
        <v>0.8396448334571156</v>
      </c>
      <c r="S350" s="101">
        <f t="shared" si="94"/>
        <v>-1.4393106328751681</v>
      </c>
      <c r="T350" s="101">
        <f t="shared" si="95"/>
        <v>1.2694054556734196</v>
      </c>
      <c r="U350" s="101">
        <f t="shared" si="96"/>
        <v>-0.52300144620353584</v>
      </c>
      <c r="V350" s="101">
        <f t="shared" si="97"/>
        <v>-0.22710127532293656</v>
      </c>
      <c r="W350" s="101">
        <f t="shared" si="98"/>
        <v>-0.39556664659737717</v>
      </c>
      <c r="X350" s="101">
        <f t="shared" si="99"/>
        <v>0.34314021247071264</v>
      </c>
      <c r="Y350" s="101">
        <f t="shared" si="100"/>
        <v>-1.1274266044159582</v>
      </c>
      <c r="Z350" s="101">
        <f t="shared" si="101"/>
        <v>0.94331549684909943</v>
      </c>
      <c r="AQ350" s="101">
        <v>-2.6810013854612058</v>
      </c>
      <c r="AR350" s="101">
        <v>0.17131538462024887</v>
      </c>
      <c r="AS350" s="101">
        <v>1.0326979913652161</v>
      </c>
      <c r="AT350" s="101">
        <v>7.0230112858352151E-2</v>
      </c>
      <c r="AU350" s="101">
        <v>-7.8225473808037974E-2</v>
      </c>
      <c r="AV350" s="101">
        <v>-0.48744489680319225</v>
      </c>
      <c r="AW350" s="101">
        <v>-6.7026406749700007E-2</v>
      </c>
      <c r="AX350" s="101">
        <v>0.10616789404960914</v>
      </c>
      <c r="AY350" s="101">
        <v>-0.19357584261460292</v>
      </c>
      <c r="AZ350" s="101">
        <v>-0.14410943918109281</v>
      </c>
      <c r="BA350" s="101">
        <v>0.32354764556888921</v>
      </c>
      <c r="BB350" s="101">
        <v>0.36930074403700436</v>
      </c>
    </row>
    <row r="351" spans="2:54">
      <c r="B351">
        <v>3.1130000000000001E-2</v>
      </c>
      <c r="C351">
        <v>4.3899999999999997</v>
      </c>
      <c r="D351">
        <v>0.442</v>
      </c>
      <c r="E351">
        <v>6.0140000000000002</v>
      </c>
      <c r="F351">
        <v>48.5</v>
      </c>
      <c r="G351">
        <v>8.0136000000000003</v>
      </c>
      <c r="H351">
        <v>3</v>
      </c>
      <c r="I351">
        <v>352</v>
      </c>
      <c r="J351">
        <v>18.8</v>
      </c>
      <c r="K351">
        <v>385.64</v>
      </c>
      <c r="L351">
        <v>10.53</v>
      </c>
      <c r="M351">
        <v>17.5</v>
      </c>
      <c r="O351" s="101">
        <f t="shared" si="90"/>
        <v>-0.41689471874495909</v>
      </c>
      <c r="P351" s="101">
        <f t="shared" si="91"/>
        <v>-0.98441805975951235</v>
      </c>
      <c r="Q351" s="101">
        <f t="shared" si="92"/>
        <v>-0.97349711860079979</v>
      </c>
      <c r="R351" s="101">
        <f t="shared" si="93"/>
        <v>-0.38556162799303811</v>
      </c>
      <c r="S351" s="101">
        <f t="shared" si="94"/>
        <v>-0.71387496656214422</v>
      </c>
      <c r="T351" s="101">
        <f t="shared" si="95"/>
        <v>2.0053719562820898</v>
      </c>
      <c r="U351" s="101">
        <f t="shared" si="96"/>
        <v>-0.75292215148502073</v>
      </c>
      <c r="V351" s="101">
        <f t="shared" si="97"/>
        <v>-0.33400836730357059</v>
      </c>
      <c r="W351" s="101">
        <f t="shared" si="98"/>
        <v>0.15926834488777303</v>
      </c>
      <c r="X351" s="101">
        <f t="shared" si="99"/>
        <v>0.31759325749673489</v>
      </c>
      <c r="Y351" s="101">
        <f t="shared" si="100"/>
        <v>-0.29759780684652859</v>
      </c>
      <c r="Z351" s="101">
        <f t="shared" si="101"/>
        <v>-0.54775794515595055</v>
      </c>
      <c r="AQ351" s="101">
        <v>-1.8257950655041035</v>
      </c>
      <c r="AR351" s="101">
        <v>-1.8426560833485546</v>
      </c>
      <c r="AS351" s="101">
        <v>0.55620627996459249</v>
      </c>
      <c r="AT351" s="101">
        <v>-0.16067141060052037</v>
      </c>
      <c r="AU351" s="101">
        <v>-2.2309081975349629E-2</v>
      </c>
      <c r="AV351" s="101">
        <v>-0.13859072046036872</v>
      </c>
      <c r="AW351" s="101">
        <v>-0.61133799434820935</v>
      </c>
      <c r="AX351" s="101">
        <v>0.19500453625794423</v>
      </c>
      <c r="AY351" s="101">
        <v>-0.30085961637816766</v>
      </c>
      <c r="AZ351" s="101">
        <v>0.52615948139077573</v>
      </c>
      <c r="BA351" s="101">
        <v>0.16046056929133246</v>
      </c>
      <c r="BB351" s="101">
        <v>0.27384932579274612</v>
      </c>
    </row>
    <row r="352" spans="2:54">
      <c r="B352">
        <v>6.1620000000000001E-2</v>
      </c>
      <c r="C352">
        <v>4.3899999999999997</v>
      </c>
      <c r="D352">
        <v>0.442</v>
      </c>
      <c r="E352">
        <v>5.8979999999999997</v>
      </c>
      <c r="F352">
        <v>52.3</v>
      </c>
      <c r="G352">
        <v>8.0136000000000003</v>
      </c>
      <c r="H352">
        <v>3</v>
      </c>
      <c r="I352">
        <v>352</v>
      </c>
      <c r="J352">
        <v>18.8</v>
      </c>
      <c r="K352">
        <v>364.61</v>
      </c>
      <c r="L352">
        <v>12.67</v>
      </c>
      <c r="M352">
        <v>17.2</v>
      </c>
      <c r="O352" s="101">
        <f t="shared" si="90"/>
        <v>-0.41334649888268621</v>
      </c>
      <c r="P352" s="101">
        <f t="shared" si="91"/>
        <v>-0.98441805975951235</v>
      </c>
      <c r="Q352" s="101">
        <f t="shared" si="92"/>
        <v>-0.97349711860079979</v>
      </c>
      <c r="R352" s="101">
        <f t="shared" si="93"/>
        <v>-0.55082203442119926</v>
      </c>
      <c r="S352" s="101">
        <f t="shared" si="94"/>
        <v>-0.57874479342540464</v>
      </c>
      <c r="T352" s="101">
        <f t="shared" si="95"/>
        <v>2.0053719562820898</v>
      </c>
      <c r="U352" s="101">
        <f t="shared" si="96"/>
        <v>-0.75292215148502073</v>
      </c>
      <c r="V352" s="101">
        <f t="shared" si="97"/>
        <v>-0.33400836730357059</v>
      </c>
      <c r="W352" s="101">
        <f t="shared" si="98"/>
        <v>0.15926834488777303</v>
      </c>
      <c r="X352" s="101">
        <f t="shared" si="99"/>
        <v>8.7012801229464032E-2</v>
      </c>
      <c r="Y352" s="101">
        <f t="shared" si="100"/>
        <v>2.3740895721505047E-3</v>
      </c>
      <c r="Z352" s="101">
        <f t="shared" si="101"/>
        <v>-0.58040918841153566</v>
      </c>
      <c r="AQ352" s="101">
        <v>-1.5961638826414857</v>
      </c>
      <c r="AR352" s="101">
        <v>-1.9763705119459893</v>
      </c>
      <c r="AS352" s="101">
        <v>0.48709267459174005</v>
      </c>
      <c r="AT352" s="101">
        <v>-0.3909856792840789</v>
      </c>
      <c r="AU352" s="101">
        <v>5.5649810045297711E-2</v>
      </c>
      <c r="AV352" s="101">
        <v>-6.7841672125930494E-2</v>
      </c>
      <c r="AW352" s="101">
        <v>-0.68039047943795083</v>
      </c>
      <c r="AX352" s="101">
        <v>5.4546367705252674E-2</v>
      </c>
      <c r="AY352" s="101">
        <v>-0.15929997293129122</v>
      </c>
      <c r="AZ352" s="101">
        <v>0.56385115009443543</v>
      </c>
      <c r="BA352" s="101">
        <v>0.22392503345382936</v>
      </c>
      <c r="BB352" s="101">
        <v>0.29121800490680494</v>
      </c>
    </row>
    <row r="353" spans="2:54">
      <c r="B353">
        <v>1.8700000000000001E-2</v>
      </c>
      <c r="C353">
        <v>4.1500000000000004</v>
      </c>
      <c r="D353">
        <v>0.42899999999999999</v>
      </c>
      <c r="E353">
        <v>6.516</v>
      </c>
      <c r="F353">
        <v>27.7</v>
      </c>
      <c r="G353">
        <v>8.5352999999999994</v>
      </c>
      <c r="H353">
        <v>4</v>
      </c>
      <c r="I353">
        <v>351</v>
      </c>
      <c r="J353">
        <v>17.899999999999999</v>
      </c>
      <c r="K353">
        <v>392.43</v>
      </c>
      <c r="L353">
        <v>6.36</v>
      </c>
      <c r="M353">
        <v>23.1</v>
      </c>
      <c r="O353" s="101">
        <f t="shared" si="90"/>
        <v>-0.41834123802629897</v>
      </c>
      <c r="P353" s="101">
        <f t="shared" si="91"/>
        <v>-1.0194363027439244</v>
      </c>
      <c r="Q353" s="101">
        <f t="shared" si="92"/>
        <v>-1.0857954094194608</v>
      </c>
      <c r="R353" s="101">
        <f t="shared" si="93"/>
        <v>0.32961702741158672</v>
      </c>
      <c r="S353" s="101">
        <f t="shared" si="94"/>
        <v>-1.4535348616264037</v>
      </c>
      <c r="T353" s="101">
        <f t="shared" si="95"/>
        <v>2.2533720359665894</v>
      </c>
      <c r="U353" s="101">
        <f t="shared" si="96"/>
        <v>-0.63796179884427828</v>
      </c>
      <c r="V353" s="101">
        <f t="shared" si="97"/>
        <v>-0.33994765019138357</v>
      </c>
      <c r="W353" s="101">
        <f t="shared" si="98"/>
        <v>-0.25685789872609083</v>
      </c>
      <c r="X353" s="101">
        <f t="shared" si="99"/>
        <v>0.3920412507470809</v>
      </c>
      <c r="Y353" s="101">
        <f t="shared" si="100"/>
        <v>-0.88212248351283296</v>
      </c>
      <c r="Z353" s="101">
        <f t="shared" si="101"/>
        <v>6.1731928948303663E-2</v>
      </c>
      <c r="AQ353" s="101">
        <v>-2.7447072578399934</v>
      </c>
      <c r="AR353" s="101">
        <v>-1.1349067827596944</v>
      </c>
      <c r="AS353" s="101">
        <v>1.162469126123894</v>
      </c>
      <c r="AT353" s="101">
        <v>-0.13171603481931543</v>
      </c>
      <c r="AU353" s="101">
        <v>-0.1546842206199463</v>
      </c>
      <c r="AV353" s="101">
        <v>-0.5499669199235564</v>
      </c>
      <c r="AW353" s="101">
        <v>-0.47569583589558978</v>
      </c>
      <c r="AX353" s="101">
        <v>0.45754287090403006</v>
      </c>
      <c r="AY353" s="101">
        <v>-0.21377662117903112</v>
      </c>
      <c r="AZ353" s="101">
        <v>0.34532542829437363</v>
      </c>
      <c r="BA353" s="101">
        <v>0.23942443215966691</v>
      </c>
      <c r="BB353" s="101">
        <v>0.20513151467303251</v>
      </c>
    </row>
    <row r="354" spans="2:54">
      <c r="B354">
        <v>1.5010000000000001E-2</v>
      </c>
      <c r="C354">
        <v>2.0099999999999998</v>
      </c>
      <c r="D354">
        <v>0.435</v>
      </c>
      <c r="E354">
        <v>6.6349999999999998</v>
      </c>
      <c r="F354">
        <v>29.7</v>
      </c>
      <c r="G354">
        <v>8.3439999999999994</v>
      </c>
      <c r="H354">
        <v>4</v>
      </c>
      <c r="I354">
        <v>280</v>
      </c>
      <c r="J354">
        <v>17</v>
      </c>
      <c r="K354">
        <v>390.94</v>
      </c>
      <c r="L354">
        <v>5.99</v>
      </c>
      <c r="M354">
        <v>24.5</v>
      </c>
      <c r="O354" s="101">
        <f t="shared" si="90"/>
        <v>-0.41877065525462909</v>
      </c>
      <c r="P354" s="101">
        <f t="shared" si="91"/>
        <v>-1.3316823026882652</v>
      </c>
      <c r="Q354" s="101">
        <f t="shared" si="92"/>
        <v>-1.0339654290416174</v>
      </c>
      <c r="R354" s="101">
        <f t="shared" si="93"/>
        <v>0.49915140986806122</v>
      </c>
      <c r="S354" s="101">
        <f t="shared" si="94"/>
        <v>-1.3824137178702249</v>
      </c>
      <c r="T354" s="101">
        <f t="shared" si="95"/>
        <v>2.1624339197242186</v>
      </c>
      <c r="U354" s="101">
        <f t="shared" si="96"/>
        <v>-0.63796179884427828</v>
      </c>
      <c r="V354" s="101">
        <f t="shared" si="97"/>
        <v>-0.76163673522610653</v>
      </c>
      <c r="W354" s="101">
        <f t="shared" si="98"/>
        <v>-0.67298414233995307</v>
      </c>
      <c r="X354" s="101">
        <f t="shared" si="99"/>
        <v>0.37570435679376485</v>
      </c>
      <c r="Y354" s="101">
        <f t="shared" si="100"/>
        <v>-0.93398678336092233</v>
      </c>
      <c r="Z354" s="101">
        <f t="shared" si="101"/>
        <v>0.21410439747436702</v>
      </c>
      <c r="AQ354" s="101">
        <v>-3.1075869030452488</v>
      </c>
      <c r="AR354" s="101">
        <v>-0.83699162535618266</v>
      </c>
      <c r="AS354" s="101">
        <v>0.97685839260810192</v>
      </c>
      <c r="AT354" s="101">
        <v>-0.4420461807256198</v>
      </c>
      <c r="AU354" s="101">
        <v>-0.3055798579000632</v>
      </c>
      <c r="AV354" s="101">
        <v>-0.37230692626457373</v>
      </c>
      <c r="AW354" s="101">
        <v>-0.54744167746207084</v>
      </c>
      <c r="AX354" s="101">
        <v>0.30010058053743471</v>
      </c>
      <c r="AY354" s="101">
        <v>-0.33078685088022702</v>
      </c>
      <c r="AZ354" s="101">
        <v>0.21815442476854019</v>
      </c>
      <c r="BA354" s="101">
        <v>0.25829308249687821</v>
      </c>
      <c r="BB354" s="101">
        <v>-2.6669373122142001E-2</v>
      </c>
    </row>
    <row r="355" spans="2:54">
      <c r="B355">
        <v>2.8989999999999998E-2</v>
      </c>
      <c r="C355">
        <v>1.25</v>
      </c>
      <c r="D355">
        <v>0.42899999999999999</v>
      </c>
      <c r="E355">
        <v>6.9390000000000001</v>
      </c>
      <c r="F355">
        <v>34.5</v>
      </c>
      <c r="G355">
        <v>8.7920999999999996</v>
      </c>
      <c r="H355">
        <v>1</v>
      </c>
      <c r="I355">
        <v>335</v>
      </c>
      <c r="J355">
        <v>19.7</v>
      </c>
      <c r="K355">
        <v>389.85</v>
      </c>
      <c r="L355">
        <v>5.89</v>
      </c>
      <c r="M355">
        <v>26.6</v>
      </c>
      <c r="O355" s="101">
        <f t="shared" si="90"/>
        <v>-0.41714375746274407</v>
      </c>
      <c r="P355" s="101">
        <f t="shared" si="91"/>
        <v>-1.4425734054722368</v>
      </c>
      <c r="Q355" s="101">
        <f t="shared" si="92"/>
        <v>-1.0857954094194608</v>
      </c>
      <c r="R355" s="101">
        <f t="shared" si="93"/>
        <v>0.93224764740393018</v>
      </c>
      <c r="S355" s="101">
        <f t="shared" si="94"/>
        <v>-1.211722972855396</v>
      </c>
      <c r="T355" s="101">
        <f t="shared" si="95"/>
        <v>2.3754468307969128</v>
      </c>
      <c r="U355" s="101">
        <f t="shared" si="96"/>
        <v>-0.98284285676650562</v>
      </c>
      <c r="V355" s="101">
        <f t="shared" si="97"/>
        <v>-0.43497617639639152</v>
      </c>
      <c r="W355" s="101">
        <f t="shared" si="98"/>
        <v>0.57539458850163527</v>
      </c>
      <c r="X355" s="101">
        <f t="shared" si="99"/>
        <v>0.36375320618362128</v>
      </c>
      <c r="Y355" s="101">
        <f t="shared" si="100"/>
        <v>-0.94800416169824386</v>
      </c>
      <c r="Z355" s="101">
        <f t="shared" si="101"/>
        <v>0.44266310026346245</v>
      </c>
      <c r="AQ355" s="101">
        <v>-3.0654288737741537</v>
      </c>
      <c r="AR355" s="101">
        <v>-0.96082400878187069</v>
      </c>
      <c r="AS355" s="101">
        <v>1.4196732499255162</v>
      </c>
      <c r="AT355" s="101">
        <v>0.33664123494566034</v>
      </c>
      <c r="AU355" s="101">
        <v>0.31663935608138954</v>
      </c>
      <c r="AV355" s="101">
        <v>0.23070156581683704</v>
      </c>
      <c r="AW355" s="101">
        <v>-0.6506515676375364</v>
      </c>
      <c r="AX355" s="101">
        <v>0.42782168091197126</v>
      </c>
      <c r="AY355" s="101">
        <v>-0.27961213279853259</v>
      </c>
      <c r="AZ355" s="101">
        <v>0.31136774027471864</v>
      </c>
      <c r="BA355" s="101">
        <v>0.65036992198550758</v>
      </c>
      <c r="BB355" s="101">
        <v>0.56613945564293688</v>
      </c>
    </row>
    <row r="356" spans="2:54">
      <c r="B356">
        <v>6.2109999999999999E-2</v>
      </c>
      <c r="C356">
        <v>1.25</v>
      </c>
      <c r="D356">
        <v>0.42899999999999999</v>
      </c>
      <c r="E356">
        <v>6.49</v>
      </c>
      <c r="F356">
        <v>44.4</v>
      </c>
      <c r="G356">
        <v>8.7920999999999996</v>
      </c>
      <c r="H356">
        <v>1</v>
      </c>
      <c r="I356">
        <v>335</v>
      </c>
      <c r="J356">
        <v>19.7</v>
      </c>
      <c r="K356">
        <v>396.9</v>
      </c>
      <c r="L356">
        <v>5.98</v>
      </c>
      <c r="M356">
        <v>22.9</v>
      </c>
      <c r="O356" s="101">
        <f t="shared" si="90"/>
        <v>-0.41328947599870736</v>
      </c>
      <c r="P356" s="101">
        <f t="shared" si="91"/>
        <v>-1.4425734054722368</v>
      </c>
      <c r="Q356" s="101">
        <f t="shared" si="92"/>
        <v>-1.0857954094194608</v>
      </c>
      <c r="R356" s="101">
        <f t="shared" si="93"/>
        <v>0.29257590183286136</v>
      </c>
      <c r="S356" s="101">
        <f t="shared" si="94"/>
        <v>-0.85967331126231084</v>
      </c>
      <c r="T356" s="101">
        <f t="shared" si="95"/>
        <v>2.3754468307969128</v>
      </c>
      <c r="U356" s="101">
        <f t="shared" si="96"/>
        <v>-0.98284285676650562</v>
      </c>
      <c r="V356" s="101">
        <f t="shared" si="97"/>
        <v>-0.43497617639639152</v>
      </c>
      <c r="W356" s="101">
        <f t="shared" si="98"/>
        <v>0.57539458850163527</v>
      </c>
      <c r="X356" s="101">
        <f t="shared" si="99"/>
        <v>0.44105193260702835</v>
      </c>
      <c r="Y356" s="101">
        <f t="shared" si="100"/>
        <v>-0.93538852119465443</v>
      </c>
      <c r="Z356" s="101">
        <f t="shared" si="101"/>
        <v>3.9964433444579998E-2</v>
      </c>
      <c r="AQ356" s="101">
        <v>-2.7266480135364861</v>
      </c>
      <c r="AR356" s="101">
        <v>-1.4450093599603315</v>
      </c>
      <c r="AS356" s="101">
        <v>1.0865278067348862</v>
      </c>
      <c r="AT356" s="101">
        <v>0.29097817341038212</v>
      </c>
      <c r="AU356" s="101">
        <v>0.19933567532928581</v>
      </c>
      <c r="AV356" s="101">
        <v>0.21104425332196777</v>
      </c>
      <c r="AW356" s="101">
        <v>-0.62055336607647926</v>
      </c>
      <c r="AX356" s="101">
        <v>0.23938688420635965</v>
      </c>
      <c r="AY356" s="101">
        <v>-0.53755925000198046</v>
      </c>
      <c r="AZ356" s="101">
        <v>0.60755813526460112</v>
      </c>
      <c r="BA356" s="101">
        <v>0.47458498490609491</v>
      </c>
      <c r="BB356" s="101">
        <v>0.5075787929301746</v>
      </c>
    </row>
    <row r="357" spans="2:54">
      <c r="B357">
        <v>7.9500000000000001E-2</v>
      </c>
      <c r="C357">
        <v>1.69</v>
      </c>
      <c r="D357">
        <v>0.41099999999999998</v>
      </c>
      <c r="E357">
        <v>6.5789999999999997</v>
      </c>
      <c r="F357">
        <v>35.9</v>
      </c>
      <c r="G357">
        <v>10.7103</v>
      </c>
      <c r="H357">
        <v>4</v>
      </c>
      <c r="I357">
        <v>411</v>
      </c>
      <c r="J357">
        <v>18.3</v>
      </c>
      <c r="K357">
        <v>370.78</v>
      </c>
      <c r="L357">
        <v>5.49</v>
      </c>
      <c r="M357">
        <v>24.1</v>
      </c>
      <c r="O357" s="101">
        <f t="shared" si="90"/>
        <v>-0.41126574548362294</v>
      </c>
      <c r="P357" s="101">
        <f t="shared" si="91"/>
        <v>-1.3783732933341479</v>
      </c>
      <c r="Q357" s="101">
        <f t="shared" si="92"/>
        <v>-1.2412853505529917</v>
      </c>
      <c r="R357" s="101">
        <f t="shared" si="93"/>
        <v>0.41937052400619063</v>
      </c>
      <c r="S357" s="101">
        <f t="shared" si="94"/>
        <v>-1.1619381722260709</v>
      </c>
      <c r="T357" s="101">
        <f t="shared" si="95"/>
        <v>3.2872999127421076</v>
      </c>
      <c r="U357" s="101">
        <f t="shared" si="96"/>
        <v>-0.63796179884427828</v>
      </c>
      <c r="V357" s="101">
        <f t="shared" si="97"/>
        <v>1.6409323077396409E-2</v>
      </c>
      <c r="W357" s="101">
        <f t="shared" si="98"/>
        <v>-7.1912901564373022E-2</v>
      </c>
      <c r="X357" s="101">
        <f t="shared" si="99"/>
        <v>0.15466289229789265</v>
      </c>
      <c r="Y357" s="101">
        <f t="shared" si="100"/>
        <v>-1.0040736750475296</v>
      </c>
      <c r="Z357" s="101">
        <f t="shared" si="101"/>
        <v>0.17056940646692045</v>
      </c>
      <c r="AQ357" s="101">
        <v>-3.0140138447389058</v>
      </c>
      <c r="AR357" s="101">
        <v>-1.366486144143082</v>
      </c>
      <c r="AS357" s="101">
        <v>1.7582975482490548</v>
      </c>
      <c r="AT357" s="101">
        <v>-0.19947535283994106</v>
      </c>
      <c r="AU357" s="101">
        <v>-1.7618305528673352E-2</v>
      </c>
      <c r="AV357" s="101">
        <v>-0.53341209908487619</v>
      </c>
      <c r="AW357" s="101">
        <v>-1.0728578182456463</v>
      </c>
      <c r="AX357" s="101">
        <v>0.35701890612252762</v>
      </c>
      <c r="AY357" s="101">
        <v>-0.37259471230137892</v>
      </c>
      <c r="AZ357" s="101">
        <v>1.0313111890826541</v>
      </c>
      <c r="BA357" s="101">
        <v>0.54951473661690742</v>
      </c>
      <c r="BB357" s="101">
        <v>0.51486219361590957</v>
      </c>
    </row>
    <row r="358" spans="2:54">
      <c r="B358">
        <v>7.2440000000000004E-2</v>
      </c>
      <c r="C358">
        <v>1.69</v>
      </c>
      <c r="D358">
        <v>0.41099999999999998</v>
      </c>
      <c r="E358">
        <v>5.8840000000000003</v>
      </c>
      <c r="F358">
        <v>18.5</v>
      </c>
      <c r="G358">
        <v>10.7103</v>
      </c>
      <c r="H358">
        <v>4</v>
      </c>
      <c r="I358">
        <v>411</v>
      </c>
      <c r="J358">
        <v>18.3</v>
      </c>
      <c r="K358">
        <v>392.33</v>
      </c>
      <c r="L358">
        <v>7.79</v>
      </c>
      <c r="M358">
        <v>18.600000000000001</v>
      </c>
      <c r="O358" s="101">
        <f t="shared" si="90"/>
        <v>-0.41208734050584817</v>
      </c>
      <c r="P358" s="101">
        <f t="shared" si="91"/>
        <v>-1.3783732933341479</v>
      </c>
      <c r="Q358" s="101">
        <f t="shared" si="92"/>
        <v>-1.2412853505529917</v>
      </c>
      <c r="R358" s="101">
        <f t="shared" si="93"/>
        <v>-0.57076725588666599</v>
      </c>
      <c r="S358" s="101">
        <f t="shared" si="94"/>
        <v>-1.7806921229048265</v>
      </c>
      <c r="T358" s="101">
        <f t="shared" si="95"/>
        <v>3.2872999127421076</v>
      </c>
      <c r="U358" s="101">
        <f t="shared" si="96"/>
        <v>-0.63796179884427828</v>
      </c>
      <c r="V358" s="101">
        <f t="shared" si="97"/>
        <v>1.6409323077396409E-2</v>
      </c>
      <c r="W358" s="101">
        <f t="shared" si="98"/>
        <v>-7.1912901564373022E-2</v>
      </c>
      <c r="X358" s="101">
        <f t="shared" si="99"/>
        <v>0.39094481491128763</v>
      </c>
      <c r="Y358" s="101">
        <f t="shared" si="100"/>
        <v>-0.68167397328913626</v>
      </c>
      <c r="Z358" s="101">
        <f t="shared" si="101"/>
        <v>-0.42803671988547193</v>
      </c>
      <c r="AQ358" s="101">
        <v>-2.7731193734774435</v>
      </c>
      <c r="AR358" s="101">
        <v>-2.4469964836693476</v>
      </c>
      <c r="AS358" s="101">
        <v>1.5644172357413537</v>
      </c>
      <c r="AT358" s="101">
        <v>-0.3094505289354218</v>
      </c>
      <c r="AU358" s="101">
        <v>-0.3735773743905349</v>
      </c>
      <c r="AV358" s="101">
        <v>-1.0209261550964703</v>
      </c>
      <c r="AW358" s="101">
        <v>-0.7564585421740434</v>
      </c>
      <c r="AX358" s="101">
        <v>0.2633899706436103</v>
      </c>
      <c r="AY358" s="101">
        <v>-0.4178691626117117</v>
      </c>
      <c r="AZ358" s="101">
        <v>0.68248331850451172</v>
      </c>
      <c r="BA358" s="101">
        <v>0.46111258582965187</v>
      </c>
      <c r="BB358" s="101">
        <v>0.47858807883062437</v>
      </c>
    </row>
    <row r="359" spans="2:54">
      <c r="B359">
        <v>1.7090000000000001E-2</v>
      </c>
      <c r="C359">
        <v>2.02</v>
      </c>
      <c r="D359">
        <v>0.41</v>
      </c>
      <c r="E359">
        <v>6.7279999999999998</v>
      </c>
      <c r="F359">
        <v>36.1</v>
      </c>
      <c r="G359">
        <v>12.1265</v>
      </c>
      <c r="H359">
        <v>5</v>
      </c>
      <c r="I359">
        <v>187</v>
      </c>
      <c r="J359">
        <v>17</v>
      </c>
      <c r="K359">
        <v>384.46</v>
      </c>
      <c r="L359">
        <v>4.5</v>
      </c>
      <c r="M359">
        <v>30.1</v>
      </c>
      <c r="O359" s="101">
        <f t="shared" si="90"/>
        <v>-0.41852859893080074</v>
      </c>
      <c r="P359" s="101">
        <f t="shared" si="91"/>
        <v>-1.3302232092305815</v>
      </c>
      <c r="Q359" s="101">
        <f t="shared" si="92"/>
        <v>-1.2499236806159655</v>
      </c>
      <c r="R359" s="101">
        <f t="shared" si="93"/>
        <v>0.63164466674581043</v>
      </c>
      <c r="S359" s="101">
        <f t="shared" si="94"/>
        <v>-1.1548260578504528</v>
      </c>
      <c r="T359" s="101">
        <f t="shared" si="95"/>
        <v>3.9605176870361252</v>
      </c>
      <c r="U359" s="101">
        <f t="shared" si="96"/>
        <v>-0.52300144620353584</v>
      </c>
      <c r="V359" s="101">
        <f t="shared" si="97"/>
        <v>-1.3139900437927154</v>
      </c>
      <c r="W359" s="101">
        <f t="shared" si="98"/>
        <v>-0.67298414233995307</v>
      </c>
      <c r="X359" s="101">
        <f t="shared" si="99"/>
        <v>0.30465531463437723</v>
      </c>
      <c r="Y359" s="101">
        <f t="shared" si="100"/>
        <v>-1.1428457205870119</v>
      </c>
      <c r="Z359" s="101">
        <f t="shared" si="101"/>
        <v>0.8235942715786212</v>
      </c>
      <c r="AQ359" s="101">
        <v>-4.0446388121778494</v>
      </c>
      <c r="AR359" s="101">
        <v>-1.0602926621744593</v>
      </c>
      <c r="AS359" s="101">
        <v>1.5079529920073649</v>
      </c>
      <c r="AT359" s="101">
        <v>-0.57412021464323526</v>
      </c>
      <c r="AU359" s="101">
        <v>-0.2967177253061305</v>
      </c>
      <c r="AV359" s="101">
        <v>-0.40068086167244593</v>
      </c>
      <c r="AW359" s="101">
        <v>-1.0974854953610329</v>
      </c>
      <c r="AX359" s="101">
        <v>0.41236323697032695</v>
      </c>
      <c r="AY359" s="101">
        <v>-0.22954383440084386</v>
      </c>
      <c r="AZ359" s="101">
        <v>1.3562153752283197</v>
      </c>
      <c r="BA359" s="101">
        <v>1.2701738963551801</v>
      </c>
      <c r="BB359" s="101">
        <v>-0.49007950006817164</v>
      </c>
    </row>
    <row r="360" spans="2:54">
      <c r="B360">
        <v>4.301E-2</v>
      </c>
      <c r="C360">
        <v>1.91</v>
      </c>
      <c r="D360">
        <v>0.41299999999999998</v>
      </c>
      <c r="E360">
        <v>5.6630000000000003</v>
      </c>
      <c r="F360">
        <v>21.9</v>
      </c>
      <c r="G360">
        <v>10.585699999999999</v>
      </c>
      <c r="H360">
        <v>4</v>
      </c>
      <c r="I360">
        <v>334</v>
      </c>
      <c r="J360">
        <v>22</v>
      </c>
      <c r="K360">
        <v>382.8</v>
      </c>
      <c r="L360">
        <v>8.0500000000000007</v>
      </c>
      <c r="M360">
        <v>18.2</v>
      </c>
      <c r="O360" s="101">
        <f t="shared" si="90"/>
        <v>-0.41551220474155459</v>
      </c>
      <c r="P360" s="101">
        <f t="shared" si="91"/>
        <v>-1.3462732372651036</v>
      </c>
      <c r="Q360" s="101">
        <f t="shared" si="92"/>
        <v>-1.2240086904270437</v>
      </c>
      <c r="R360" s="101">
        <f t="shared" si="93"/>
        <v>-0.88561682330583369</v>
      </c>
      <c r="S360" s="101">
        <f t="shared" si="94"/>
        <v>-1.6597861785193224</v>
      </c>
      <c r="T360" s="101">
        <f t="shared" si="95"/>
        <v>3.2280689180541855</v>
      </c>
      <c r="U360" s="101">
        <f t="shared" si="96"/>
        <v>-0.63796179884427828</v>
      </c>
      <c r="V360" s="101">
        <f t="shared" si="97"/>
        <v>-0.44091545928420456</v>
      </c>
      <c r="W360" s="101">
        <f t="shared" si="98"/>
        <v>1.6388283221815074</v>
      </c>
      <c r="X360" s="101">
        <f t="shared" si="99"/>
        <v>0.28645447976021354</v>
      </c>
      <c r="Y360" s="101">
        <f t="shared" si="100"/>
        <v>-0.6452287896121004</v>
      </c>
      <c r="Z360" s="101">
        <f t="shared" si="101"/>
        <v>-0.47157171089291888</v>
      </c>
      <c r="AQ360" s="101">
        <v>-2.3886103167868731</v>
      </c>
      <c r="AR360" s="101">
        <v>-3.1982053542723992</v>
      </c>
      <c r="AS360" s="101">
        <v>1.7504896807155117</v>
      </c>
      <c r="AT360" s="101">
        <v>0.53339356429422502</v>
      </c>
      <c r="AU360" s="101">
        <v>0.4222504962072483</v>
      </c>
      <c r="AV360" s="101">
        <v>-0.24862961924169327</v>
      </c>
      <c r="AW360" s="101">
        <v>-0.32163394373691839</v>
      </c>
      <c r="AX360" s="101">
        <v>0.10280041871545151</v>
      </c>
      <c r="AY360" s="101">
        <v>-0.53501710812573133</v>
      </c>
      <c r="AZ360" s="101">
        <v>0.6266902075504428</v>
      </c>
      <c r="BA360" s="101">
        <v>1.0235712516954025</v>
      </c>
      <c r="BB360" s="101">
        <v>0.29553627528836274</v>
      </c>
    </row>
    <row r="361" spans="2:54">
      <c r="B361">
        <v>0.10659</v>
      </c>
      <c r="C361">
        <v>1.91</v>
      </c>
      <c r="D361">
        <v>0.41299999999999998</v>
      </c>
      <c r="E361">
        <v>5.9359999999999999</v>
      </c>
      <c r="F361">
        <v>19.5</v>
      </c>
      <c r="G361">
        <v>10.585699999999999</v>
      </c>
      <c r="H361">
        <v>4</v>
      </c>
      <c r="I361">
        <v>334</v>
      </c>
      <c r="J361">
        <v>22</v>
      </c>
      <c r="K361">
        <v>376.04</v>
      </c>
      <c r="L361">
        <v>5.57</v>
      </c>
      <c r="M361">
        <v>20.6</v>
      </c>
      <c r="O361" s="101">
        <f t="shared" si="90"/>
        <v>-0.40811319461222334</v>
      </c>
      <c r="P361" s="101">
        <f t="shared" si="91"/>
        <v>-1.3462732372651036</v>
      </c>
      <c r="Q361" s="101">
        <f t="shared" si="92"/>
        <v>-1.2240086904270437</v>
      </c>
      <c r="R361" s="101">
        <f t="shared" si="93"/>
        <v>-0.49668500472921528</v>
      </c>
      <c r="S361" s="101">
        <f t="shared" si="94"/>
        <v>-1.7451315510267369</v>
      </c>
      <c r="T361" s="101">
        <f t="shared" si="95"/>
        <v>3.2280689180541855</v>
      </c>
      <c r="U361" s="101">
        <f t="shared" si="96"/>
        <v>-0.63796179884427828</v>
      </c>
      <c r="V361" s="101">
        <f t="shared" si="97"/>
        <v>-0.44091545928420456</v>
      </c>
      <c r="W361" s="101">
        <f t="shared" si="98"/>
        <v>1.6388283221815074</v>
      </c>
      <c r="X361" s="101">
        <f t="shared" si="99"/>
        <v>0.21233541726060579</v>
      </c>
      <c r="Y361" s="101">
        <f t="shared" si="100"/>
        <v>-0.99285977237767242</v>
      </c>
      <c r="Z361" s="101">
        <f t="shared" si="101"/>
        <v>-0.21036176484823832</v>
      </c>
      <c r="AQ361" s="101">
        <v>-2.6621088909470769</v>
      </c>
      <c r="AR361" s="101">
        <v>-2.7801974812546781</v>
      </c>
      <c r="AS361" s="101">
        <v>1.9854275781081798</v>
      </c>
      <c r="AT361" s="101">
        <v>0.61849593622268295</v>
      </c>
      <c r="AU361" s="101">
        <v>0.5497669095367349</v>
      </c>
      <c r="AV361" s="101">
        <v>-0.22432213104966825</v>
      </c>
      <c r="AW361" s="101">
        <v>-0.23867707870161861</v>
      </c>
      <c r="AX361" s="101">
        <v>0.21425169355543014</v>
      </c>
      <c r="AY361" s="101">
        <v>-0.60057573321908486</v>
      </c>
      <c r="AZ361" s="101">
        <v>0.64138576327725083</v>
      </c>
      <c r="BA361" s="101">
        <v>1.0438653820380541</v>
      </c>
      <c r="BB361" s="101">
        <v>0.3068307645155266</v>
      </c>
    </row>
    <row r="362" spans="2:54">
      <c r="B362">
        <v>8.9829600000000003</v>
      </c>
      <c r="C362">
        <v>18.100000000000001</v>
      </c>
      <c r="D362">
        <v>0.77</v>
      </c>
      <c r="E362">
        <v>6.2119999999999997</v>
      </c>
      <c r="F362">
        <v>97.4</v>
      </c>
      <c r="G362">
        <v>2.1221999999999999</v>
      </c>
      <c r="H362">
        <v>24</v>
      </c>
      <c r="I362">
        <v>666</v>
      </c>
      <c r="J362">
        <v>20.2</v>
      </c>
      <c r="K362">
        <v>377.73</v>
      </c>
      <c r="L362">
        <v>17.600000000000001</v>
      </c>
      <c r="M362">
        <v>17.8</v>
      </c>
      <c r="O362" s="101">
        <f t="shared" si="90"/>
        <v>0.62485867612845514</v>
      </c>
      <c r="P362" s="101">
        <f t="shared" si="91"/>
        <v>1.0159990707250266</v>
      </c>
      <c r="Q362" s="101">
        <f t="shared" si="92"/>
        <v>1.8598751420546469</v>
      </c>
      <c r="R362" s="101">
        <f t="shared" si="93"/>
        <v>-0.10347921012428228</v>
      </c>
      <c r="S362" s="101">
        <f t="shared" si="94"/>
        <v>1.025036998276428</v>
      </c>
      <c r="T362" s="101">
        <f t="shared" si="95"/>
        <v>-0.79521778773413421</v>
      </c>
      <c r="U362" s="101">
        <f t="shared" si="96"/>
        <v>1.6612452539705709</v>
      </c>
      <c r="V362" s="101">
        <f t="shared" si="97"/>
        <v>1.5309264594697112</v>
      </c>
      <c r="W362" s="101">
        <f t="shared" si="98"/>
        <v>0.80657583495378138</v>
      </c>
      <c r="X362" s="101">
        <f t="shared" si="99"/>
        <v>0.23086518288550772</v>
      </c>
      <c r="Y362" s="101">
        <f t="shared" si="100"/>
        <v>0.69343084160209822</v>
      </c>
      <c r="Z362" s="101">
        <f t="shared" si="101"/>
        <v>-0.51510670190036545</v>
      </c>
      <c r="AQ362" s="101">
        <v>3.2300683297405519</v>
      </c>
      <c r="AR362" s="101">
        <v>0.75215755003687756</v>
      </c>
      <c r="AS362" s="101">
        <v>0.11606726655159769</v>
      </c>
      <c r="AT362" s="101">
        <v>1.0027821377430879</v>
      </c>
      <c r="AU362" s="101">
        <v>-0.32986471702124831</v>
      </c>
      <c r="AV362" s="101">
        <v>-0.49026068920236365</v>
      </c>
      <c r="AW362" s="101">
        <v>-0.55928801202414291</v>
      </c>
      <c r="AX362" s="101">
        <v>3.5228225923500472E-2</v>
      </c>
      <c r="AY362" s="101">
        <v>-0.47213835429716761</v>
      </c>
      <c r="AZ362" s="101">
        <v>-0.17807878804841465</v>
      </c>
      <c r="BA362" s="101">
        <v>0.43908796628500579</v>
      </c>
      <c r="BB362" s="101">
        <v>-1.9313043173258604E-2</v>
      </c>
    </row>
    <row r="363" spans="2:54">
      <c r="B363">
        <v>3.8496999999999999</v>
      </c>
      <c r="C363">
        <v>18.100000000000001</v>
      </c>
      <c r="D363">
        <v>0.77</v>
      </c>
      <c r="E363">
        <v>6.3949999999999996</v>
      </c>
      <c r="F363">
        <v>91</v>
      </c>
      <c r="G363">
        <v>2.5051999999999999</v>
      </c>
      <c r="H363">
        <v>24</v>
      </c>
      <c r="I363">
        <v>666</v>
      </c>
      <c r="J363">
        <v>20.2</v>
      </c>
      <c r="K363">
        <v>391.34</v>
      </c>
      <c r="L363">
        <v>13.27</v>
      </c>
      <c r="M363">
        <v>21.7</v>
      </c>
      <c r="O363" s="101">
        <f t="shared" si="90"/>
        <v>2.7484616101856957E-2</v>
      </c>
      <c r="P363" s="101">
        <f t="shared" si="91"/>
        <v>1.0159990707250266</v>
      </c>
      <c r="Q363" s="101">
        <f t="shared" si="92"/>
        <v>1.8598751420546469</v>
      </c>
      <c r="R363" s="101">
        <f t="shared" si="93"/>
        <v>0.15723332760290154</v>
      </c>
      <c r="S363" s="101">
        <f t="shared" si="94"/>
        <v>0.79744933825665554</v>
      </c>
      <c r="T363" s="101">
        <f t="shared" si="95"/>
        <v>-0.61315140759389353</v>
      </c>
      <c r="U363" s="101">
        <f t="shared" si="96"/>
        <v>1.6612452539705709</v>
      </c>
      <c r="V363" s="101">
        <f t="shared" si="97"/>
        <v>1.5309264594697112</v>
      </c>
      <c r="W363" s="101">
        <f t="shared" si="98"/>
        <v>0.80657583495378138</v>
      </c>
      <c r="X363" s="101">
        <f t="shared" si="99"/>
        <v>0.38009010013693667</v>
      </c>
      <c r="Y363" s="101">
        <f t="shared" si="100"/>
        <v>8.6478359596079149E-2</v>
      </c>
      <c r="Z363" s="101">
        <f t="shared" si="101"/>
        <v>-9.0640539577760082E-2</v>
      </c>
      <c r="AQ363" s="101">
        <v>2.555715915816537</v>
      </c>
      <c r="AR363" s="101">
        <v>1.1062657606909827</v>
      </c>
      <c r="AS363" s="101">
        <v>0.17167125838809091</v>
      </c>
      <c r="AT363" s="101">
        <v>1.3674143813816408</v>
      </c>
      <c r="AU363" s="101">
        <v>4.4304696110792831E-2</v>
      </c>
      <c r="AV363" s="101">
        <v>-0.92598181637862342</v>
      </c>
      <c r="AW363" s="101">
        <v>-0.52503441422172847</v>
      </c>
      <c r="AX363" s="101">
        <v>2.3668276082128726E-2</v>
      </c>
      <c r="AY363" s="101">
        <v>-0.61952220104162981</v>
      </c>
      <c r="AZ363" s="101">
        <v>-9.7990011821688691E-2</v>
      </c>
      <c r="BA363" s="101">
        <v>0.50743015892705179</v>
      </c>
      <c r="BB363" s="101">
        <v>-4.0295929427997521E-2</v>
      </c>
    </row>
    <row r="364" spans="2:54">
      <c r="B364">
        <v>5.2017699999999998</v>
      </c>
      <c r="C364">
        <v>18.100000000000001</v>
      </c>
      <c r="D364">
        <v>0.77</v>
      </c>
      <c r="E364">
        <v>6.1269999999999998</v>
      </c>
      <c r="F364">
        <v>83.4</v>
      </c>
      <c r="G364">
        <v>2.7227000000000001</v>
      </c>
      <c r="H364">
        <v>24</v>
      </c>
      <c r="I364">
        <v>666</v>
      </c>
      <c r="J364">
        <v>20.2</v>
      </c>
      <c r="K364">
        <v>395.43</v>
      </c>
      <c r="L364">
        <v>11.48</v>
      </c>
      <c r="M364">
        <v>22.7</v>
      </c>
      <c r="O364" s="101">
        <f t="shared" si="90"/>
        <v>0.1848293727165935</v>
      </c>
      <c r="P364" s="101">
        <f t="shared" si="91"/>
        <v>1.0159990707250266</v>
      </c>
      <c r="Q364" s="101">
        <f t="shared" si="92"/>
        <v>1.8598751420546469</v>
      </c>
      <c r="R364" s="101">
        <f t="shared" si="93"/>
        <v>-0.22457519759319286</v>
      </c>
      <c r="S364" s="101">
        <f t="shared" si="94"/>
        <v>0.52718899198317626</v>
      </c>
      <c r="T364" s="101">
        <f t="shared" si="95"/>
        <v>-0.50975861991634164</v>
      </c>
      <c r="U364" s="101">
        <f t="shared" si="96"/>
        <v>1.6612452539705709</v>
      </c>
      <c r="V364" s="101">
        <f t="shared" si="97"/>
        <v>1.5309264594697112</v>
      </c>
      <c r="W364" s="101">
        <f t="shared" si="98"/>
        <v>0.80657583495378138</v>
      </c>
      <c r="X364" s="101">
        <f t="shared" si="99"/>
        <v>0.42493432582087137</v>
      </c>
      <c r="Y364" s="101">
        <f t="shared" si="100"/>
        <v>-0.16443271264197468</v>
      </c>
      <c r="Z364" s="101">
        <f t="shared" si="101"/>
        <v>1.8196937940856712E-2</v>
      </c>
      <c r="AQ364" s="101">
        <v>2.4437835687208374</v>
      </c>
      <c r="AR364" s="101">
        <v>0.91887573492552177</v>
      </c>
      <c r="AS364" s="101">
        <v>0.30732081693133573</v>
      </c>
      <c r="AT364" s="101">
        <v>1.3810704802635319</v>
      </c>
      <c r="AU364" s="101">
        <v>-0.13959910880384502</v>
      </c>
      <c r="AV364" s="101">
        <v>-1.1400779545774788</v>
      </c>
      <c r="AW364" s="101">
        <v>-0.14789551948994947</v>
      </c>
      <c r="AX364" s="101">
        <v>-7.7346516340411356E-2</v>
      </c>
      <c r="AY364" s="101">
        <v>-0.74106460349025716</v>
      </c>
      <c r="AZ364" s="101">
        <v>-1.6833844990258714E-3</v>
      </c>
      <c r="BA364" s="101">
        <v>0.60023712070176494</v>
      </c>
      <c r="BB364" s="101">
        <v>-3.0730638386202748E-2</v>
      </c>
    </row>
    <row r="365" spans="2:54">
      <c r="B365">
        <v>4.2613099999999999</v>
      </c>
      <c r="C365">
        <v>18.100000000000001</v>
      </c>
      <c r="D365">
        <v>0.77</v>
      </c>
      <c r="E365">
        <v>6.1120000000000001</v>
      </c>
      <c r="F365">
        <v>81.3</v>
      </c>
      <c r="G365">
        <v>2.5091000000000001</v>
      </c>
      <c r="H365">
        <v>24</v>
      </c>
      <c r="I365">
        <v>666</v>
      </c>
      <c r="J365">
        <v>20.2</v>
      </c>
      <c r="K365">
        <v>390.74</v>
      </c>
      <c r="L365">
        <v>12.67</v>
      </c>
      <c r="M365">
        <v>22.6</v>
      </c>
      <c r="O365" s="101">
        <f t="shared" si="90"/>
        <v>7.5385002376378046E-2</v>
      </c>
      <c r="P365" s="101">
        <f t="shared" si="91"/>
        <v>1.0159990707250266</v>
      </c>
      <c r="Q365" s="101">
        <f t="shared" si="92"/>
        <v>1.8598751420546469</v>
      </c>
      <c r="R365" s="101">
        <f t="shared" si="93"/>
        <v>-0.24594507773476484</v>
      </c>
      <c r="S365" s="101">
        <f t="shared" si="94"/>
        <v>0.4525117910391882</v>
      </c>
      <c r="T365" s="101">
        <f t="shared" si="95"/>
        <v>-0.61129746795277873</v>
      </c>
      <c r="U365" s="101">
        <f t="shared" si="96"/>
        <v>1.6612452539705709</v>
      </c>
      <c r="V365" s="101">
        <f t="shared" si="97"/>
        <v>1.5309264594697112</v>
      </c>
      <c r="W365" s="101">
        <f t="shared" si="98"/>
        <v>0.80657583495378138</v>
      </c>
      <c r="X365" s="101">
        <f t="shared" si="99"/>
        <v>0.37351148512217897</v>
      </c>
      <c r="Y365" s="101">
        <f t="shared" si="100"/>
        <v>2.3740895721505047E-3</v>
      </c>
      <c r="Z365" s="101">
        <f t="shared" si="101"/>
        <v>7.3131901889952663E-3</v>
      </c>
      <c r="AQ365" s="101">
        <v>2.4953750990810359</v>
      </c>
      <c r="AR365" s="101">
        <v>0.87715368219157075</v>
      </c>
      <c r="AS365" s="101">
        <v>0.23980488799767971</v>
      </c>
      <c r="AT365" s="101">
        <v>1.3313160525752055</v>
      </c>
      <c r="AU365" s="101">
        <v>-6.1698774091132481E-2</v>
      </c>
      <c r="AV365" s="101">
        <v>-1.1796726468520236</v>
      </c>
      <c r="AW365" s="101">
        <v>-0.16556358266533205</v>
      </c>
      <c r="AX365" s="101">
        <v>-0.12874690823923776</v>
      </c>
      <c r="AY365" s="101">
        <v>-0.62593092576476705</v>
      </c>
      <c r="AZ365" s="101">
        <v>-0.15471266704717546</v>
      </c>
      <c r="BA365" s="101">
        <v>0.58977638777807895</v>
      </c>
      <c r="BB365" s="101">
        <v>-2.0780573849769588E-2</v>
      </c>
    </row>
    <row r="366" spans="2:54">
      <c r="B366">
        <v>4.5419200000000002</v>
      </c>
      <c r="C366">
        <v>18.100000000000001</v>
      </c>
      <c r="D366">
        <v>0.77</v>
      </c>
      <c r="E366">
        <v>6.3979999999999997</v>
      </c>
      <c r="F366">
        <v>88</v>
      </c>
      <c r="G366">
        <v>2.5182000000000002</v>
      </c>
      <c r="H366">
        <v>24</v>
      </c>
      <c r="I366">
        <v>666</v>
      </c>
      <c r="J366">
        <v>20.2</v>
      </c>
      <c r="K366">
        <v>374.56</v>
      </c>
      <c r="L366">
        <v>7.79</v>
      </c>
      <c r="M366">
        <v>25</v>
      </c>
      <c r="O366" s="101">
        <f t="shared" si="90"/>
        <v>0.10804049517901493</v>
      </c>
      <c r="P366" s="101">
        <f t="shared" si="91"/>
        <v>1.0159990707250266</v>
      </c>
      <c r="Q366" s="101">
        <f t="shared" si="92"/>
        <v>1.8598751420546469</v>
      </c>
      <c r="R366" s="101">
        <f t="shared" si="93"/>
        <v>0.16150730363121618</v>
      </c>
      <c r="S366" s="101">
        <f t="shared" si="94"/>
        <v>0.69076762262238733</v>
      </c>
      <c r="T366" s="101">
        <f t="shared" si="95"/>
        <v>-0.60697160879017764</v>
      </c>
      <c r="U366" s="101">
        <f t="shared" si="96"/>
        <v>1.6612452539705709</v>
      </c>
      <c r="V366" s="101">
        <f t="shared" si="97"/>
        <v>1.5309264594697112</v>
      </c>
      <c r="W366" s="101">
        <f t="shared" si="98"/>
        <v>0.80657583495378138</v>
      </c>
      <c r="X366" s="101">
        <f t="shared" si="99"/>
        <v>0.19610816689086896</v>
      </c>
      <c r="Y366" s="101">
        <f t="shared" si="100"/>
        <v>-0.68167397328913626</v>
      </c>
      <c r="Z366" s="101">
        <f t="shared" si="101"/>
        <v>0.26852313623367541</v>
      </c>
      <c r="AQ366" s="101">
        <v>2.2330911706526968</v>
      </c>
      <c r="AR366" s="101">
        <v>1.4686820910933207</v>
      </c>
      <c r="AS366" s="101">
        <v>0.4729468704028893</v>
      </c>
      <c r="AT366" s="101">
        <v>1.4281763097837548</v>
      </c>
      <c r="AU366" s="101">
        <v>0.17088981600194961</v>
      </c>
      <c r="AV366" s="101">
        <v>-1.0433716510250726</v>
      </c>
      <c r="AW366" s="101">
        <v>-4.7561310056561612E-2</v>
      </c>
      <c r="AX366" s="101">
        <v>-4.6823958716429012E-2</v>
      </c>
      <c r="AY366" s="101">
        <v>-0.94270933631720266</v>
      </c>
      <c r="AZ366" s="101">
        <v>0.17353550852551869</v>
      </c>
      <c r="BA366" s="101">
        <v>0.504261943649842</v>
      </c>
      <c r="BB366" s="101">
        <v>-3.9149763123869419E-2</v>
      </c>
    </row>
    <row r="367" spans="2:54">
      <c r="B367">
        <v>3.83684</v>
      </c>
      <c r="C367">
        <v>18.100000000000001</v>
      </c>
      <c r="D367">
        <v>0.77</v>
      </c>
      <c r="E367">
        <v>6.2510000000000003</v>
      </c>
      <c r="F367">
        <v>91.1</v>
      </c>
      <c r="G367">
        <v>2.2955000000000001</v>
      </c>
      <c r="H367">
        <v>24</v>
      </c>
      <c r="I367">
        <v>666</v>
      </c>
      <c r="J367">
        <v>20.2</v>
      </c>
      <c r="K367">
        <v>350.65</v>
      </c>
      <c r="L367">
        <v>14.19</v>
      </c>
      <c r="M367">
        <v>19.899999999999999</v>
      </c>
      <c r="O367" s="101">
        <f t="shared" si="90"/>
        <v>2.5988056330494905E-2</v>
      </c>
      <c r="P367" s="101">
        <f t="shared" si="91"/>
        <v>1.0159990707250266</v>
      </c>
      <c r="Q367" s="101">
        <f t="shared" si="92"/>
        <v>1.8598751420546469</v>
      </c>
      <c r="R367" s="101">
        <f t="shared" si="93"/>
        <v>-4.7917521756193029E-2</v>
      </c>
      <c r="S367" s="101">
        <f t="shared" si="94"/>
        <v>0.80100539544446425</v>
      </c>
      <c r="T367" s="101">
        <f t="shared" si="95"/>
        <v>-0.71283631598921582</v>
      </c>
      <c r="U367" s="101">
        <f t="shared" si="96"/>
        <v>1.6612452539705709</v>
      </c>
      <c r="V367" s="101">
        <f t="shared" si="97"/>
        <v>1.5309264594697112</v>
      </c>
      <c r="W367" s="101">
        <f t="shared" si="98"/>
        <v>0.80657583495378138</v>
      </c>
      <c r="X367" s="101">
        <f t="shared" si="99"/>
        <v>-6.6049641447241347E-2</v>
      </c>
      <c r="Y367" s="101">
        <f t="shared" si="100"/>
        <v>0.21543824029943648</v>
      </c>
      <c r="Z367" s="101">
        <f t="shared" si="101"/>
        <v>-0.28654799911127038</v>
      </c>
      <c r="AQ367" s="101">
        <v>2.8173994276678322</v>
      </c>
      <c r="AR367" s="101">
        <v>0.9337247825997983</v>
      </c>
      <c r="AS367" s="101">
        <v>0.20488462873988617</v>
      </c>
      <c r="AT367" s="101">
        <v>1.0010099946248272</v>
      </c>
      <c r="AU367" s="101">
        <v>0.26127301025321364</v>
      </c>
      <c r="AV367" s="101">
        <v>-0.90556605272501145</v>
      </c>
      <c r="AW367" s="101">
        <v>-0.43153190668352176</v>
      </c>
      <c r="AX367" s="101">
        <v>-6.8700061346829544E-2</v>
      </c>
      <c r="AY367" s="101">
        <v>-0.62878878635392976</v>
      </c>
      <c r="AZ367" s="101">
        <v>-0.13329393389905556</v>
      </c>
      <c r="BA367" s="101">
        <v>0.42771351036503391</v>
      </c>
      <c r="BB367" s="101">
        <v>-4.5977095049197933E-2</v>
      </c>
    </row>
    <row r="368" spans="2:54">
      <c r="B368">
        <v>3.67822</v>
      </c>
      <c r="C368">
        <v>18.100000000000001</v>
      </c>
      <c r="D368">
        <v>0.77</v>
      </c>
      <c r="E368">
        <v>5.3620000000000001</v>
      </c>
      <c r="F368">
        <v>96.2</v>
      </c>
      <c r="G368">
        <v>2.1036000000000001</v>
      </c>
      <c r="H368">
        <v>24</v>
      </c>
      <c r="I368">
        <v>666</v>
      </c>
      <c r="J368">
        <v>20.2</v>
      </c>
      <c r="K368">
        <v>380.79</v>
      </c>
      <c r="L368">
        <v>10.19</v>
      </c>
      <c r="M368">
        <v>20.8</v>
      </c>
      <c r="O368" s="101">
        <f t="shared" si="90"/>
        <v>7.5289341739279278E-3</v>
      </c>
      <c r="P368" s="101">
        <f t="shared" si="91"/>
        <v>1.0159990707250266</v>
      </c>
      <c r="Q368" s="101">
        <f t="shared" si="92"/>
        <v>1.8598751420546469</v>
      </c>
      <c r="R368" s="101">
        <f t="shared" si="93"/>
        <v>-1.314439084813388</v>
      </c>
      <c r="S368" s="101">
        <f t="shared" si="94"/>
        <v>0.98236431202272056</v>
      </c>
      <c r="T368" s="101">
        <f t="shared" si="95"/>
        <v>-0.80405965371483501</v>
      </c>
      <c r="U368" s="101">
        <f t="shared" si="96"/>
        <v>1.6612452539705709</v>
      </c>
      <c r="V368" s="101">
        <f t="shared" si="97"/>
        <v>1.5309264594697112</v>
      </c>
      <c r="W368" s="101">
        <f t="shared" si="98"/>
        <v>0.80657583495378138</v>
      </c>
      <c r="X368" s="101">
        <f t="shared" si="99"/>
        <v>0.26441611946077404</v>
      </c>
      <c r="Y368" s="101">
        <f t="shared" si="100"/>
        <v>-0.34525689319342151</v>
      </c>
      <c r="Z368" s="101">
        <f t="shared" si="101"/>
        <v>-0.18859426934451504</v>
      </c>
      <c r="AQ368" s="101">
        <v>2.8808969908812778</v>
      </c>
      <c r="AR368" s="101">
        <v>0.46254809324294371</v>
      </c>
      <c r="AS368" s="101">
        <v>-0.20779760363003183</v>
      </c>
      <c r="AT368" s="101">
        <v>1.2602375133672374</v>
      </c>
      <c r="AU368" s="101">
        <v>-3.5140616166725702E-2</v>
      </c>
      <c r="AV368" s="101">
        <v>-1.2882905256415755</v>
      </c>
      <c r="AW368" s="101">
        <v>0.26064487571770173</v>
      </c>
      <c r="AX368" s="101">
        <v>-0.68637765818557961</v>
      </c>
      <c r="AY368" s="101">
        <v>-1.0793626460682062</v>
      </c>
      <c r="AZ368" s="101">
        <v>0.42205733072060231</v>
      </c>
      <c r="BA368" s="101">
        <v>0.33946697374470619</v>
      </c>
      <c r="BB368" s="101">
        <v>-7.8754375858311881E-2</v>
      </c>
    </row>
    <row r="369" spans="2:54">
      <c r="B369">
        <v>4.2223899999999999</v>
      </c>
      <c r="C369">
        <v>18.100000000000001</v>
      </c>
      <c r="D369">
        <v>0.77</v>
      </c>
      <c r="E369">
        <v>5.8029999999999999</v>
      </c>
      <c r="F369">
        <v>89</v>
      </c>
      <c r="G369">
        <v>1.9047000000000001</v>
      </c>
      <c r="H369">
        <v>24</v>
      </c>
      <c r="I369">
        <v>666</v>
      </c>
      <c r="J369">
        <v>20.2</v>
      </c>
      <c r="K369">
        <v>353.04</v>
      </c>
      <c r="L369">
        <v>14.64</v>
      </c>
      <c r="M369">
        <v>16.8</v>
      </c>
      <c r="O369" s="101">
        <f t="shared" si="90"/>
        <v>7.0855756163204497E-2</v>
      </c>
      <c r="P369" s="101">
        <f t="shared" si="91"/>
        <v>1.0159990707250266</v>
      </c>
      <c r="Q369" s="101">
        <f t="shared" si="92"/>
        <v>1.8598751420546469</v>
      </c>
      <c r="R369" s="101">
        <f t="shared" si="93"/>
        <v>-0.6861646086511578</v>
      </c>
      <c r="S369" s="101">
        <f t="shared" si="94"/>
        <v>0.7263281945004767</v>
      </c>
      <c r="T369" s="101">
        <f t="shared" si="95"/>
        <v>-0.89861057541168587</v>
      </c>
      <c r="U369" s="101">
        <f t="shared" si="96"/>
        <v>1.6612452539705709</v>
      </c>
      <c r="V369" s="101">
        <f t="shared" si="97"/>
        <v>1.5309264594697112</v>
      </c>
      <c r="W369" s="101">
        <f t="shared" si="98"/>
        <v>0.80657583495378138</v>
      </c>
      <c r="X369" s="101">
        <f t="shared" si="99"/>
        <v>-3.9844824971787804E-2</v>
      </c>
      <c r="Y369" s="101">
        <f t="shared" si="100"/>
        <v>0.27851644281738314</v>
      </c>
      <c r="Z369" s="101">
        <f t="shared" si="101"/>
        <v>-0.62394417941898217</v>
      </c>
      <c r="AQ369" s="101">
        <v>3.1027069827606342</v>
      </c>
      <c r="AR369" s="101">
        <v>0.44373880220145345</v>
      </c>
      <c r="AS369" s="101">
        <v>-3.5606009249301296E-3</v>
      </c>
      <c r="AT369" s="101">
        <v>0.90902239010971941</v>
      </c>
      <c r="AU369" s="101">
        <v>0.1220789448484571</v>
      </c>
      <c r="AV369" s="101">
        <v>-1.0418295238114632</v>
      </c>
      <c r="AW369" s="101">
        <v>-0.16092993840123543</v>
      </c>
      <c r="AX369" s="101">
        <v>-0.24489383147343213</v>
      </c>
      <c r="AY369" s="101">
        <v>-0.76533911465579973</v>
      </c>
      <c r="AZ369" s="101">
        <v>-0.1826058565541282</v>
      </c>
      <c r="BA369" s="101">
        <v>0.25306527768438664</v>
      </c>
      <c r="BB369" s="101">
        <v>-7.3781758225574146E-2</v>
      </c>
    </row>
    <row r="370" spans="2:54">
      <c r="B370">
        <v>3.4742799999999998</v>
      </c>
      <c r="C370">
        <v>18.100000000000001</v>
      </c>
      <c r="D370">
        <v>0.71799999999999997</v>
      </c>
      <c r="E370">
        <v>8.7799999999999994</v>
      </c>
      <c r="F370">
        <v>82.9</v>
      </c>
      <c r="G370">
        <v>1.9047000000000001</v>
      </c>
      <c r="H370">
        <v>24</v>
      </c>
      <c r="I370">
        <v>666</v>
      </c>
      <c r="J370">
        <v>20.2</v>
      </c>
      <c r="K370">
        <v>354.55</v>
      </c>
      <c r="L370">
        <v>5.29</v>
      </c>
      <c r="M370">
        <v>21.9</v>
      </c>
      <c r="O370" s="101">
        <f t="shared" si="90"/>
        <v>-1.6204222884515358E-2</v>
      </c>
      <c r="P370" s="101">
        <f t="shared" si="91"/>
        <v>1.0159990707250266</v>
      </c>
      <c r="Q370" s="101">
        <f t="shared" si="92"/>
        <v>1.4106819787800025</v>
      </c>
      <c r="R370" s="101">
        <f t="shared" si="93"/>
        <v>3.5550442701129228</v>
      </c>
      <c r="S370" s="101">
        <f t="shared" si="94"/>
        <v>0.50940870604413158</v>
      </c>
      <c r="T370" s="101">
        <f t="shared" si="95"/>
        <v>-0.89861057541168587</v>
      </c>
      <c r="U370" s="101">
        <f t="shared" si="96"/>
        <v>1.6612452539705709</v>
      </c>
      <c r="V370" s="101">
        <f t="shared" si="97"/>
        <v>1.5309264594697112</v>
      </c>
      <c r="W370" s="101">
        <f t="shared" si="98"/>
        <v>0.80657583495378138</v>
      </c>
      <c r="X370" s="101">
        <f t="shared" si="99"/>
        <v>-2.3288643851313365E-2</v>
      </c>
      <c r="Y370" s="101">
        <f t="shared" si="100"/>
        <v>-1.0321084317221725</v>
      </c>
      <c r="Z370" s="101">
        <f t="shared" si="101"/>
        <v>-6.8873044074036799E-2</v>
      </c>
      <c r="AQ370" s="101">
        <v>1.4030224524442996</v>
      </c>
      <c r="AR370" s="101">
        <v>3.2278922319428376</v>
      </c>
      <c r="AS370" s="101">
        <v>1.4655948797102059</v>
      </c>
      <c r="AT370" s="101">
        <v>1.6745598557770103</v>
      </c>
      <c r="AU370" s="101">
        <v>0.97410029313556812</v>
      </c>
      <c r="AV370" s="101">
        <v>-7.5770746089498381E-2</v>
      </c>
      <c r="AW370" s="101">
        <v>-1.2064669703116899</v>
      </c>
      <c r="AX370" s="101">
        <v>1.6162680942562386</v>
      </c>
      <c r="AY370" s="101">
        <v>-0.70354517266705963</v>
      </c>
      <c r="AZ370" s="101">
        <v>-0.7534507647876284</v>
      </c>
      <c r="BA370" s="101">
        <v>-0.32488267272416504</v>
      </c>
      <c r="BB370" s="101">
        <v>-0.14784630141336177</v>
      </c>
    </row>
    <row r="371" spans="2:54">
      <c r="B371">
        <v>4.5558699999999996</v>
      </c>
      <c r="C371">
        <v>18.100000000000001</v>
      </c>
      <c r="D371">
        <v>0.71799999999999997</v>
      </c>
      <c r="E371">
        <v>3.5609999999999999</v>
      </c>
      <c r="F371">
        <v>87.9</v>
      </c>
      <c r="G371">
        <v>1.6132</v>
      </c>
      <c r="H371">
        <v>24</v>
      </c>
      <c r="I371">
        <v>666</v>
      </c>
      <c r="J371">
        <v>20.2</v>
      </c>
      <c r="K371">
        <v>354.7</v>
      </c>
      <c r="L371">
        <v>7.12</v>
      </c>
      <c r="M371">
        <v>27.5</v>
      </c>
      <c r="O371" s="101">
        <f t="shared" si="90"/>
        <v>0.10966390177392163</v>
      </c>
      <c r="P371" s="101">
        <f t="shared" si="91"/>
        <v>1.0159990707250266</v>
      </c>
      <c r="Q371" s="101">
        <f t="shared" si="92"/>
        <v>1.4106819787800025</v>
      </c>
      <c r="R371" s="101">
        <f t="shared" si="93"/>
        <v>-3.8802493604781887</v>
      </c>
      <c r="S371" s="101">
        <f t="shared" si="94"/>
        <v>0.68721156543457862</v>
      </c>
      <c r="T371" s="101">
        <f t="shared" si="95"/>
        <v>-1.0371806793565428</v>
      </c>
      <c r="U371" s="101">
        <f t="shared" si="96"/>
        <v>1.6612452539705709</v>
      </c>
      <c r="V371" s="101">
        <f t="shared" si="97"/>
        <v>1.5309264594697112</v>
      </c>
      <c r="W371" s="101">
        <f t="shared" si="98"/>
        <v>0.80657583495378138</v>
      </c>
      <c r="X371" s="101">
        <f t="shared" si="99"/>
        <v>-2.1643990097624091E-2</v>
      </c>
      <c r="Y371" s="101">
        <f t="shared" si="100"/>
        <v>-0.77559040814918989</v>
      </c>
      <c r="Z371" s="101">
        <f t="shared" si="101"/>
        <v>0.54061683003021743</v>
      </c>
      <c r="AQ371" s="101">
        <v>2.992057620591384</v>
      </c>
      <c r="AR371" s="101">
        <v>-0.56832356221215941</v>
      </c>
      <c r="AS371" s="101">
        <v>-0.44230602249960788</v>
      </c>
      <c r="AT371" s="101">
        <v>1.0446370051338518</v>
      </c>
      <c r="AU371" s="101">
        <v>-0.30283545744409612</v>
      </c>
      <c r="AV371" s="101">
        <v>-2.0325039614432474</v>
      </c>
      <c r="AW371" s="101">
        <v>1.9669623750830136</v>
      </c>
      <c r="AX371" s="101">
        <v>-2.2466623189636561</v>
      </c>
      <c r="AY371" s="101">
        <v>-1.0195693060321669</v>
      </c>
      <c r="AZ371" s="101">
        <v>1.1838050689117019</v>
      </c>
      <c r="BA371" s="101">
        <v>0.37896762129281253</v>
      </c>
      <c r="BB371" s="101">
        <v>-3.0099134463344723E-2</v>
      </c>
    </row>
    <row r="372" spans="2:54">
      <c r="B372">
        <v>3.6969500000000002</v>
      </c>
      <c r="C372">
        <v>18.100000000000001</v>
      </c>
      <c r="D372">
        <v>0.71799999999999997</v>
      </c>
      <c r="E372">
        <v>4.9630000000000001</v>
      </c>
      <c r="F372">
        <v>91.4</v>
      </c>
      <c r="G372">
        <v>1.7523</v>
      </c>
      <c r="H372">
        <v>24</v>
      </c>
      <c r="I372">
        <v>666</v>
      </c>
      <c r="J372">
        <v>20.2</v>
      </c>
      <c r="K372">
        <v>316.02999999999997</v>
      </c>
      <c r="L372">
        <v>14</v>
      </c>
      <c r="M372">
        <v>21.9</v>
      </c>
      <c r="O372" s="101">
        <f t="shared" si="90"/>
        <v>9.7086048207095568E-3</v>
      </c>
      <c r="P372" s="101">
        <f t="shared" si="91"/>
        <v>1.0159990707250266</v>
      </c>
      <c r="Q372" s="101">
        <f t="shared" si="92"/>
        <v>1.4106819787800025</v>
      </c>
      <c r="R372" s="101">
        <f t="shared" si="93"/>
        <v>-1.8828778965792154</v>
      </c>
      <c r="S372" s="101">
        <f t="shared" si="94"/>
        <v>0.81167356700789151</v>
      </c>
      <c r="T372" s="101">
        <f t="shared" si="95"/>
        <v>-0.97105683215678429</v>
      </c>
      <c r="U372" s="101">
        <f t="shared" si="96"/>
        <v>1.6612452539705709</v>
      </c>
      <c r="V372" s="101">
        <f t="shared" si="97"/>
        <v>1.5309264594697112</v>
      </c>
      <c r="W372" s="101">
        <f t="shared" si="98"/>
        <v>0.80657583495378138</v>
      </c>
      <c r="X372" s="101">
        <f t="shared" si="99"/>
        <v>-0.44563572779878341</v>
      </c>
      <c r="Y372" s="101">
        <f t="shared" si="100"/>
        <v>0.1888052214585258</v>
      </c>
      <c r="Z372" s="101">
        <f t="shared" si="101"/>
        <v>-6.8873044074036799E-2</v>
      </c>
      <c r="AQ372" s="101">
        <v>3.1359379016821465</v>
      </c>
      <c r="AR372" s="101">
        <v>3.459343206280649E-2</v>
      </c>
      <c r="AS372" s="101">
        <v>-8.6566823625596923E-2</v>
      </c>
      <c r="AT372" s="101">
        <v>0.67103842953832649</v>
      </c>
      <c r="AU372" s="101">
        <v>0.22378579478877214</v>
      </c>
      <c r="AV372" s="101">
        <v>-1.2760239095464643</v>
      </c>
      <c r="AW372" s="101">
        <v>0.5681172450044617</v>
      </c>
      <c r="AX372" s="101">
        <v>-1.1886428902090167</v>
      </c>
      <c r="AY372" s="101">
        <v>-0.48687404253860112</v>
      </c>
      <c r="AZ372" s="101">
        <v>0.39471266732154425</v>
      </c>
      <c r="BA372" s="101">
        <v>0.24547349184959258</v>
      </c>
      <c r="BB372" s="101">
        <v>-4.7406153781979841E-2</v>
      </c>
    </row>
    <row r="373" spans="2:54">
      <c r="B373">
        <v>13.5222</v>
      </c>
      <c r="C373">
        <v>18.100000000000001</v>
      </c>
      <c r="D373">
        <v>0.63100000000000001</v>
      </c>
      <c r="E373">
        <v>3.863</v>
      </c>
      <c r="F373">
        <v>100</v>
      </c>
      <c r="G373">
        <v>1.5105999999999999</v>
      </c>
      <c r="H373">
        <v>24</v>
      </c>
      <c r="I373">
        <v>666</v>
      </c>
      <c r="J373">
        <v>20.2</v>
      </c>
      <c r="K373">
        <v>131.41999999999999</v>
      </c>
      <c r="L373">
        <v>13.33</v>
      </c>
      <c r="M373">
        <v>23.1</v>
      </c>
      <c r="O373" s="101">
        <f t="shared" si="90"/>
        <v>1.153104708520178</v>
      </c>
      <c r="P373" s="101">
        <f t="shared" si="91"/>
        <v>1.0159990707250266</v>
      </c>
      <c r="Q373" s="101">
        <f t="shared" si="92"/>
        <v>0.6591472633012716</v>
      </c>
      <c r="R373" s="101">
        <f t="shared" si="93"/>
        <v>-3.4500024402945297</v>
      </c>
      <c r="S373" s="101">
        <f t="shared" si="94"/>
        <v>1.1174944851594601</v>
      </c>
      <c r="T373" s="101">
        <f t="shared" si="95"/>
        <v>-1.0859535529920221</v>
      </c>
      <c r="U373" s="101">
        <f t="shared" si="96"/>
        <v>1.6612452539705709</v>
      </c>
      <c r="V373" s="101">
        <f t="shared" si="97"/>
        <v>1.5309264594697112</v>
      </c>
      <c r="W373" s="101">
        <f t="shared" si="98"/>
        <v>0.80657583495378138</v>
      </c>
      <c r="X373" s="101">
        <f t="shared" si="99"/>
        <v>-2.4697659242562695</v>
      </c>
      <c r="Y373" s="101">
        <f t="shared" si="100"/>
        <v>9.4888786598472094E-2</v>
      </c>
      <c r="Z373" s="101">
        <f t="shared" si="101"/>
        <v>6.1731928948303663E-2</v>
      </c>
      <c r="AQ373" s="101">
        <v>3.9874465666995724</v>
      </c>
      <c r="AR373" s="101">
        <v>-0.61955762864007469</v>
      </c>
      <c r="AS373" s="101">
        <v>0.71752622515858933</v>
      </c>
      <c r="AT373" s="101">
        <v>-0.90655083695692151</v>
      </c>
      <c r="AU373" s="101">
        <v>0.44873788567073752</v>
      </c>
      <c r="AV373" s="101">
        <v>-0.77878664553348853</v>
      </c>
      <c r="AW373" s="101">
        <v>1.9152592576033465</v>
      </c>
      <c r="AX373" s="101">
        <v>-2.1762716330102871</v>
      </c>
      <c r="AY373" s="101">
        <v>-0.307546976805193</v>
      </c>
      <c r="AZ373" s="101">
        <v>1.4373966470543482</v>
      </c>
      <c r="BA373" s="101">
        <v>-1.9592116517172763E-3</v>
      </c>
      <c r="BB373" s="101">
        <v>-1.9273001957662319E-2</v>
      </c>
    </row>
    <row r="374" spans="2:54">
      <c r="B374">
        <v>4.8982200000000002</v>
      </c>
      <c r="C374">
        <v>18.100000000000001</v>
      </c>
      <c r="D374">
        <v>0.63100000000000001</v>
      </c>
      <c r="E374">
        <v>4.97</v>
      </c>
      <c r="F374">
        <v>100</v>
      </c>
      <c r="G374">
        <v>1.3325</v>
      </c>
      <c r="H374">
        <v>24</v>
      </c>
      <c r="I374">
        <v>666</v>
      </c>
      <c r="J374">
        <v>20.2</v>
      </c>
      <c r="K374">
        <v>375.52</v>
      </c>
      <c r="L374">
        <v>3.26</v>
      </c>
      <c r="M374">
        <v>50</v>
      </c>
      <c r="O374" s="101">
        <f t="shared" si="90"/>
        <v>0.14950427795788782</v>
      </c>
      <c r="P374" s="101">
        <f t="shared" si="91"/>
        <v>1.0159990707250266</v>
      </c>
      <c r="Q374" s="101">
        <f t="shared" si="92"/>
        <v>0.6591472633012716</v>
      </c>
      <c r="R374" s="101">
        <f t="shared" si="93"/>
        <v>-1.8729052858464823</v>
      </c>
      <c r="S374" s="101">
        <f t="shared" si="94"/>
        <v>1.1174944851594601</v>
      </c>
      <c r="T374" s="101">
        <f t="shared" si="95"/>
        <v>-1.1706167966029279</v>
      </c>
      <c r="U374" s="101">
        <f t="shared" si="96"/>
        <v>1.6612452539705709</v>
      </c>
      <c r="V374" s="101">
        <f t="shared" si="97"/>
        <v>1.5309264594697112</v>
      </c>
      <c r="W374" s="101">
        <f t="shared" si="98"/>
        <v>0.80657583495378138</v>
      </c>
      <c r="X374" s="101">
        <f t="shared" si="99"/>
        <v>0.2066339509144817</v>
      </c>
      <c r="Y374" s="101">
        <f t="shared" si="100"/>
        <v>-1.316661211969798</v>
      </c>
      <c r="Z374" s="101">
        <f t="shared" si="101"/>
        <v>2.9894600741990951</v>
      </c>
      <c r="AQ374" s="101">
        <v>1.603822654538281</v>
      </c>
      <c r="AR374" s="101">
        <v>1.8196725526306516</v>
      </c>
      <c r="AS374" s="101">
        <v>0.20229316937381922</v>
      </c>
      <c r="AT374" s="101">
        <v>1.9159079007280853</v>
      </c>
      <c r="AU374" s="101">
        <v>-7.162221401020552E-2</v>
      </c>
      <c r="AV374" s="101">
        <v>-1.282556824198501</v>
      </c>
      <c r="AW374" s="101">
        <v>1.8566080659318793</v>
      </c>
      <c r="AX374" s="101">
        <v>-2.4879785374692442</v>
      </c>
      <c r="AY374" s="101">
        <v>0.12597010152762689</v>
      </c>
      <c r="AZ374" s="101">
        <v>1.6375816496115609</v>
      </c>
      <c r="BA374" s="101">
        <v>0.69323221771669619</v>
      </c>
      <c r="BB374" s="101">
        <v>0.15128856485667264</v>
      </c>
    </row>
    <row r="375" spans="2:54">
      <c r="B375">
        <v>5.6699799999999998</v>
      </c>
      <c r="C375">
        <v>18.100000000000001</v>
      </c>
      <c r="D375">
        <v>0.63100000000000001</v>
      </c>
      <c r="E375">
        <v>6.6829999999999998</v>
      </c>
      <c r="F375">
        <v>96.8</v>
      </c>
      <c r="G375">
        <v>1.3567</v>
      </c>
      <c r="H375">
        <v>24</v>
      </c>
      <c r="I375">
        <v>666</v>
      </c>
      <c r="J375">
        <v>20.2</v>
      </c>
      <c r="K375">
        <v>375.33</v>
      </c>
      <c r="L375">
        <v>3.73</v>
      </c>
      <c r="M375">
        <v>50</v>
      </c>
      <c r="O375" s="101">
        <f t="shared" si="90"/>
        <v>0.23931648395682945</v>
      </c>
      <c r="P375" s="101">
        <f t="shared" si="91"/>
        <v>1.0159990707250266</v>
      </c>
      <c r="Q375" s="101">
        <f t="shared" si="92"/>
        <v>0.6591472633012716</v>
      </c>
      <c r="R375" s="101">
        <f t="shared" si="93"/>
        <v>0.56753502632109321</v>
      </c>
      <c r="S375" s="101">
        <f t="shared" si="94"/>
        <v>1.003700655149574</v>
      </c>
      <c r="T375" s="101">
        <f t="shared" si="95"/>
        <v>-1.1591128634452417</v>
      </c>
      <c r="U375" s="101">
        <f t="shared" si="96"/>
        <v>1.6612452539705709</v>
      </c>
      <c r="V375" s="101">
        <f t="shared" si="97"/>
        <v>1.5309264594697112</v>
      </c>
      <c r="W375" s="101">
        <f t="shared" si="98"/>
        <v>0.80657583495378138</v>
      </c>
      <c r="X375" s="101">
        <f t="shared" si="99"/>
        <v>0.20455072282647499</v>
      </c>
      <c r="Y375" s="101">
        <f t="shared" si="100"/>
        <v>-1.250779533784387</v>
      </c>
      <c r="Z375" s="101">
        <f t="shared" si="101"/>
        <v>2.9894600741990951</v>
      </c>
      <c r="AQ375" s="101">
        <v>1.1029720720512988</v>
      </c>
      <c r="AR375" s="101">
        <v>3.132097104171689</v>
      </c>
      <c r="AS375" s="101">
        <v>0.87191662932912739</v>
      </c>
      <c r="AT375" s="101">
        <v>2.1007536591271672</v>
      </c>
      <c r="AU375" s="101">
        <v>0.24155494517843942</v>
      </c>
      <c r="AV375" s="101">
        <v>-0.58653829357924936</v>
      </c>
      <c r="AW375" s="101">
        <v>0.87794246635372075</v>
      </c>
      <c r="AX375" s="101">
        <v>-1.2948912968621447</v>
      </c>
      <c r="AY375" s="101">
        <v>0.40676566066290287</v>
      </c>
      <c r="AZ375" s="101">
        <v>0.95007842225457328</v>
      </c>
      <c r="BA375" s="101">
        <v>0.59292451052840456</v>
      </c>
      <c r="BB375" s="101">
        <v>0.15716239849035335</v>
      </c>
    </row>
    <row r="376" spans="2:54">
      <c r="B376">
        <v>6.5387599999999999</v>
      </c>
      <c r="C376">
        <v>18.100000000000001</v>
      </c>
      <c r="D376">
        <v>0.63100000000000001</v>
      </c>
      <c r="E376">
        <v>7.016</v>
      </c>
      <c r="F376">
        <v>97.5</v>
      </c>
      <c r="G376">
        <v>1.2023999999999999</v>
      </c>
      <c r="H376">
        <v>24</v>
      </c>
      <c r="I376">
        <v>666</v>
      </c>
      <c r="J376">
        <v>20.2</v>
      </c>
      <c r="K376">
        <v>392.05</v>
      </c>
      <c r="L376">
        <v>2.96</v>
      </c>
      <c r="M376">
        <v>50</v>
      </c>
      <c r="O376" s="101">
        <f t="shared" si="90"/>
        <v>0.34041922098357424</v>
      </c>
      <c r="P376" s="101">
        <f t="shared" si="91"/>
        <v>1.0159990707250266</v>
      </c>
      <c r="Q376" s="101">
        <f t="shared" si="92"/>
        <v>0.6591472633012716</v>
      </c>
      <c r="R376" s="101">
        <f t="shared" si="93"/>
        <v>1.0419463654640022</v>
      </c>
      <c r="S376" s="101">
        <f t="shared" si="94"/>
        <v>1.0285930554642366</v>
      </c>
      <c r="T376" s="101">
        <f t="shared" si="95"/>
        <v>-1.2324623215539601</v>
      </c>
      <c r="U376" s="101">
        <f t="shared" si="96"/>
        <v>1.6612452539705709</v>
      </c>
      <c r="V376" s="101">
        <f t="shared" si="97"/>
        <v>1.5309264594697112</v>
      </c>
      <c r="W376" s="101">
        <f t="shared" si="98"/>
        <v>0.80657583495378138</v>
      </c>
      <c r="X376" s="101">
        <f t="shared" si="99"/>
        <v>0.38787479457106749</v>
      </c>
      <c r="Y376" s="101">
        <f t="shared" si="100"/>
        <v>-1.3587133469817625</v>
      </c>
      <c r="Z376" s="101">
        <f t="shared" si="101"/>
        <v>2.9894600741990951</v>
      </c>
      <c r="AQ376" s="101">
        <v>0.98638428252782995</v>
      </c>
      <c r="AR376" s="101">
        <v>3.4422399527150236</v>
      </c>
      <c r="AS376" s="101">
        <v>0.95553315422770457</v>
      </c>
      <c r="AT376" s="101">
        <v>2.2840785761196494</v>
      </c>
      <c r="AU376" s="101">
        <v>0.16579907976303621</v>
      </c>
      <c r="AV376" s="101">
        <v>-0.41009007522035446</v>
      </c>
      <c r="AW376" s="101">
        <v>0.74828689436984241</v>
      </c>
      <c r="AX376" s="101">
        <v>-1.0438121288063389</v>
      </c>
      <c r="AY376" s="101">
        <v>0.37947897498151095</v>
      </c>
      <c r="AZ376" s="101">
        <v>0.84227779683995996</v>
      </c>
      <c r="BA376" s="101">
        <v>0.50899398374585147</v>
      </c>
      <c r="BB376" s="101">
        <v>0.15169246328600919</v>
      </c>
    </row>
    <row r="377" spans="2:54">
      <c r="B377">
        <v>9.2323000000000004</v>
      </c>
      <c r="C377">
        <v>18.100000000000001</v>
      </c>
      <c r="D377">
        <v>0.63100000000000001</v>
      </c>
      <c r="E377">
        <v>6.2160000000000002</v>
      </c>
      <c r="F377">
        <v>100</v>
      </c>
      <c r="G377">
        <v>1.1691</v>
      </c>
      <c r="H377">
        <v>24</v>
      </c>
      <c r="I377">
        <v>666</v>
      </c>
      <c r="J377">
        <v>20.2</v>
      </c>
      <c r="K377">
        <v>366.15</v>
      </c>
      <c r="L377">
        <v>9.5299999999999994</v>
      </c>
      <c r="M377">
        <v>50</v>
      </c>
      <c r="O377" s="101">
        <f t="shared" si="90"/>
        <v>0.65387517794738348</v>
      </c>
      <c r="P377" s="101">
        <f t="shared" si="91"/>
        <v>1.0159990707250266</v>
      </c>
      <c r="Q377" s="101">
        <f t="shared" si="92"/>
        <v>0.6591472633012716</v>
      </c>
      <c r="R377" s="101">
        <f t="shared" si="93"/>
        <v>-9.778057541986232E-2</v>
      </c>
      <c r="S377" s="101">
        <f t="shared" si="94"/>
        <v>1.1174944851594601</v>
      </c>
      <c r="T377" s="101">
        <f t="shared" si="95"/>
        <v>-1.2482921138742471</v>
      </c>
      <c r="U377" s="101">
        <f t="shared" si="96"/>
        <v>1.6612452539705709</v>
      </c>
      <c r="V377" s="101">
        <f t="shared" si="97"/>
        <v>1.5309264594697112</v>
      </c>
      <c r="W377" s="101">
        <f t="shared" si="98"/>
        <v>0.80657583495378138</v>
      </c>
      <c r="X377" s="101">
        <f t="shared" si="99"/>
        <v>0.10389791310067607</v>
      </c>
      <c r="Y377" s="101">
        <f t="shared" si="100"/>
        <v>-0.4377715902197431</v>
      </c>
      <c r="Z377" s="101">
        <f t="shared" si="101"/>
        <v>2.9894600741990951</v>
      </c>
      <c r="AQ377" s="101">
        <v>1.6919992706057791</v>
      </c>
      <c r="AR377" s="101">
        <v>2.642990210137445</v>
      </c>
      <c r="AS377" s="101">
        <v>0.68082453239157847</v>
      </c>
      <c r="AT377" s="101">
        <v>1.7630091576435756</v>
      </c>
      <c r="AU377" s="101">
        <v>-0.15186482867293971</v>
      </c>
      <c r="AV377" s="101">
        <v>-0.40700228330242028</v>
      </c>
      <c r="AW377" s="101">
        <v>0.97166092297569184</v>
      </c>
      <c r="AX377" s="101">
        <v>-1.6634118972012897</v>
      </c>
      <c r="AY377" s="101">
        <v>0.82763615107944233</v>
      </c>
      <c r="AZ377" s="101">
        <v>0.92823682603069235</v>
      </c>
      <c r="BA377" s="101">
        <v>0.82553406586581524</v>
      </c>
      <c r="BB377" s="101">
        <v>0.23737086205613583</v>
      </c>
    </row>
    <row r="378" spans="2:54">
      <c r="B378">
        <v>8.2672500000000007</v>
      </c>
      <c r="C378">
        <v>18.100000000000001</v>
      </c>
      <c r="D378">
        <v>0.66800000000000004</v>
      </c>
      <c r="E378">
        <v>5.875</v>
      </c>
      <c r="F378">
        <v>89.6</v>
      </c>
      <c r="G378">
        <v>1.1295999999999999</v>
      </c>
      <c r="H378">
        <v>24</v>
      </c>
      <c r="I378">
        <v>666</v>
      </c>
      <c r="J378">
        <v>20.2</v>
      </c>
      <c r="K378">
        <v>347.88</v>
      </c>
      <c r="L378">
        <v>8.8800000000000008</v>
      </c>
      <c r="M378">
        <v>50</v>
      </c>
      <c r="O378" s="101">
        <f t="shared" si="90"/>
        <v>0.54156918981729296</v>
      </c>
      <c r="P378" s="101">
        <f t="shared" si="91"/>
        <v>1.0159990707250266</v>
      </c>
      <c r="Q378" s="101">
        <f t="shared" si="92"/>
        <v>0.978765475631307</v>
      </c>
      <c r="R378" s="101">
        <f t="shared" si="93"/>
        <v>-0.58358918397160986</v>
      </c>
      <c r="S378" s="101">
        <f t="shared" si="94"/>
        <v>0.74766453762733021</v>
      </c>
      <c r="T378" s="101">
        <f t="shared" si="95"/>
        <v>-1.2670691948547683</v>
      </c>
      <c r="U378" s="101">
        <f t="shared" si="96"/>
        <v>1.6612452539705709</v>
      </c>
      <c r="V378" s="101">
        <f t="shared" si="97"/>
        <v>1.5309264594697112</v>
      </c>
      <c r="W378" s="101">
        <f t="shared" si="98"/>
        <v>0.80657583495378138</v>
      </c>
      <c r="X378" s="101">
        <f t="shared" si="99"/>
        <v>-9.6420914098707677E-2</v>
      </c>
      <c r="Y378" s="101">
        <f t="shared" si="100"/>
        <v>-0.52888454941233232</v>
      </c>
      <c r="Z378" s="101">
        <f t="shared" si="101"/>
        <v>2.9894600741990951</v>
      </c>
      <c r="AQ378" s="101">
        <v>1.7778947049226481</v>
      </c>
      <c r="AR378" s="101">
        <v>2.4123601850508267</v>
      </c>
      <c r="AS378" s="101">
        <v>0.65526763396425181</v>
      </c>
      <c r="AT378" s="101">
        <v>1.5776085706040539</v>
      </c>
      <c r="AU378" s="101">
        <v>-6.4695189365644029E-2</v>
      </c>
      <c r="AV378" s="101">
        <v>-0.81060580312876307</v>
      </c>
      <c r="AW378" s="101">
        <v>1.3297585220746619</v>
      </c>
      <c r="AX378" s="101">
        <v>-1.8191763080203782</v>
      </c>
      <c r="AY378" s="101">
        <v>0.61571620863728516</v>
      </c>
      <c r="AZ378" s="101">
        <v>0.77024599943937133</v>
      </c>
      <c r="BA378" s="101">
        <v>1.0418147623679137</v>
      </c>
      <c r="BB378" s="101">
        <v>0.27054245063297228</v>
      </c>
    </row>
    <row r="379" spans="2:54">
      <c r="B379">
        <v>11.1081</v>
      </c>
      <c r="C379">
        <v>18.100000000000001</v>
      </c>
      <c r="D379">
        <v>0.66800000000000004</v>
      </c>
      <c r="E379">
        <v>4.9059999999999997</v>
      </c>
      <c r="F379">
        <v>100</v>
      </c>
      <c r="G379">
        <v>1.1741999999999999</v>
      </c>
      <c r="H379">
        <v>24</v>
      </c>
      <c r="I379">
        <v>666</v>
      </c>
      <c r="J379">
        <v>20.2</v>
      </c>
      <c r="K379">
        <v>396.9</v>
      </c>
      <c r="L379">
        <v>34.770000000000003</v>
      </c>
      <c r="M379">
        <v>13.8</v>
      </c>
      <c r="O379" s="101">
        <f t="shared" si="90"/>
        <v>0.87216808767685217</v>
      </c>
      <c r="P379" s="101">
        <f t="shared" si="91"/>
        <v>1.0159990707250266</v>
      </c>
      <c r="Q379" s="101">
        <f t="shared" si="92"/>
        <v>0.978765475631307</v>
      </c>
      <c r="R379" s="101">
        <f t="shared" si="93"/>
        <v>-1.9640834411171915</v>
      </c>
      <c r="S379" s="101">
        <f t="shared" si="94"/>
        <v>1.1174944851594601</v>
      </c>
      <c r="T379" s="101">
        <f t="shared" si="95"/>
        <v>-1.2458677312666357</v>
      </c>
      <c r="U379" s="101">
        <f t="shared" si="96"/>
        <v>1.6612452539705709</v>
      </c>
      <c r="V379" s="101">
        <f t="shared" si="97"/>
        <v>1.5309264594697112</v>
      </c>
      <c r="W379" s="101">
        <f t="shared" si="98"/>
        <v>0.80657583495378138</v>
      </c>
      <c r="X379" s="101">
        <f t="shared" si="99"/>
        <v>0.44105193260702835</v>
      </c>
      <c r="Y379" s="101">
        <f t="shared" si="100"/>
        <v>3.1002147021201916</v>
      </c>
      <c r="Z379" s="101">
        <f t="shared" si="101"/>
        <v>-0.95045661197483255</v>
      </c>
      <c r="AQ379" s="101">
        <v>4.4021133132735555</v>
      </c>
      <c r="AR379" s="101">
        <v>-1.1486750741895089</v>
      </c>
      <c r="AS379" s="101">
        <v>-0.76521435544621863</v>
      </c>
      <c r="AT379" s="101">
        <v>0.50795519433473957</v>
      </c>
      <c r="AU379" s="101">
        <v>-1.111569892521278</v>
      </c>
      <c r="AV379" s="101">
        <v>-0.26805393541776268</v>
      </c>
      <c r="AW379" s="101">
        <v>-0.61449364326172473</v>
      </c>
      <c r="AX379" s="101">
        <v>-1.0304365280237187</v>
      </c>
      <c r="AY379" s="101">
        <v>1.1326927217960703</v>
      </c>
      <c r="AZ379" s="101">
        <v>-0.50107464007753599</v>
      </c>
      <c r="BA379" s="101">
        <v>0.22168491573547883</v>
      </c>
      <c r="BB379" s="101">
        <v>3.3112766131730267E-2</v>
      </c>
    </row>
    <row r="380" spans="2:54">
      <c r="B380">
        <v>18.498200000000001</v>
      </c>
      <c r="C380">
        <v>18.100000000000001</v>
      </c>
      <c r="D380">
        <v>0.66800000000000004</v>
      </c>
      <c r="E380">
        <v>4.1379999999999999</v>
      </c>
      <c r="F380">
        <v>100</v>
      </c>
      <c r="G380">
        <v>1.137</v>
      </c>
      <c r="H380">
        <v>24</v>
      </c>
      <c r="I380">
        <v>666</v>
      </c>
      <c r="J380">
        <v>20.2</v>
      </c>
      <c r="K380">
        <v>396.9</v>
      </c>
      <c r="L380">
        <v>37.97</v>
      </c>
      <c r="M380">
        <v>13.8</v>
      </c>
      <c r="O380" s="101">
        <f t="shared" si="90"/>
        <v>1.7321779139865585</v>
      </c>
      <c r="P380" s="101">
        <f t="shared" si="91"/>
        <v>1.0159990707250266</v>
      </c>
      <c r="Q380" s="101">
        <f t="shared" si="92"/>
        <v>0.978765475631307</v>
      </c>
      <c r="R380" s="101">
        <f t="shared" si="93"/>
        <v>-3.0582213043657012</v>
      </c>
      <c r="S380" s="101">
        <f t="shared" si="94"/>
        <v>1.1174944851594601</v>
      </c>
      <c r="T380" s="101">
        <f t="shared" si="95"/>
        <v>-1.2635514632280376</v>
      </c>
      <c r="U380" s="101">
        <f t="shared" si="96"/>
        <v>1.6612452539705709</v>
      </c>
      <c r="V380" s="101">
        <f t="shared" si="97"/>
        <v>1.5309264594697112</v>
      </c>
      <c r="W380" s="101">
        <f t="shared" si="98"/>
        <v>0.80657583495378138</v>
      </c>
      <c r="X380" s="101">
        <f t="shared" si="99"/>
        <v>0.44105193260702835</v>
      </c>
      <c r="Y380" s="101">
        <f t="shared" si="100"/>
        <v>3.5487708089144774</v>
      </c>
      <c r="Z380" s="101">
        <f t="shared" si="101"/>
        <v>-0.95045661197483255</v>
      </c>
      <c r="AQ380" s="101">
        <v>5.0012501702651093</v>
      </c>
      <c r="AR380" s="101">
        <v>-1.8228470861774921</v>
      </c>
      <c r="AS380" s="101">
        <v>-0.78834627435966187</v>
      </c>
      <c r="AT380" s="101">
        <v>0.19420508641486978</v>
      </c>
      <c r="AU380" s="101">
        <v>-1.8850986692612428</v>
      </c>
      <c r="AV380" s="101">
        <v>-0.13092741963858037</v>
      </c>
      <c r="AW380" s="101">
        <v>-6.7072600495480472E-2</v>
      </c>
      <c r="AX380" s="101">
        <v>-1.4466486511751744</v>
      </c>
      <c r="AY380" s="101">
        <v>1.28602479911836</v>
      </c>
      <c r="AZ380" s="101">
        <v>-0.29062497289593292</v>
      </c>
      <c r="BA380" s="101">
        <v>0.4702350787422051</v>
      </c>
      <c r="BB380" s="101">
        <v>0.11180849813943801</v>
      </c>
    </row>
    <row r="381" spans="2:54">
      <c r="B381">
        <v>19.609100000000002</v>
      </c>
      <c r="C381">
        <v>18.100000000000001</v>
      </c>
      <c r="D381">
        <v>0.67100000000000004</v>
      </c>
      <c r="E381">
        <v>7.3129999999999997</v>
      </c>
      <c r="F381">
        <v>97.9</v>
      </c>
      <c r="G381">
        <v>1.3163</v>
      </c>
      <c r="H381">
        <v>24</v>
      </c>
      <c r="I381">
        <v>666</v>
      </c>
      <c r="J381">
        <v>20.2</v>
      </c>
      <c r="K381">
        <v>396.9</v>
      </c>
      <c r="L381">
        <v>13.44</v>
      </c>
      <c r="M381">
        <v>15</v>
      </c>
      <c r="O381" s="101">
        <f t="shared" si="90"/>
        <v>1.861456938092789</v>
      </c>
      <c r="P381" s="101">
        <f t="shared" si="91"/>
        <v>1.0159990707250266</v>
      </c>
      <c r="Q381" s="101">
        <f t="shared" si="92"/>
        <v>1.0046804658202289</v>
      </c>
      <c r="R381" s="101">
        <f t="shared" si="93"/>
        <v>1.4650699922671364</v>
      </c>
      <c r="S381" s="101">
        <f t="shared" si="94"/>
        <v>1.0428172842154726</v>
      </c>
      <c r="T381" s="101">
        <f t="shared" si="95"/>
        <v>-1.1783177766506352</v>
      </c>
      <c r="U381" s="101">
        <f t="shared" si="96"/>
        <v>1.6612452539705709</v>
      </c>
      <c r="V381" s="101">
        <f t="shared" si="97"/>
        <v>1.5309264594697112</v>
      </c>
      <c r="W381" s="101">
        <f t="shared" si="98"/>
        <v>0.80657583495378138</v>
      </c>
      <c r="X381" s="101">
        <f t="shared" si="99"/>
        <v>0.44105193260702835</v>
      </c>
      <c r="Y381" s="101">
        <f t="shared" si="100"/>
        <v>0.11030790276952561</v>
      </c>
      <c r="Z381" s="101">
        <f t="shared" si="101"/>
        <v>-0.81985163895249258</v>
      </c>
      <c r="AQ381" s="101">
        <v>2.908202450645351</v>
      </c>
      <c r="AR381" s="101">
        <v>1.5710770325942389</v>
      </c>
      <c r="AS381" s="101">
        <v>1.0890709267206826</v>
      </c>
      <c r="AT381" s="101">
        <v>1.2753532177612286</v>
      </c>
      <c r="AU381" s="101">
        <v>-0.87459493223972085</v>
      </c>
      <c r="AV381" s="101">
        <v>0.68323613377949366</v>
      </c>
      <c r="AW381" s="101">
        <v>-0.52373870663112088</v>
      </c>
      <c r="AX381" s="101">
        <v>1.0068483201134757</v>
      </c>
      <c r="AY381" s="101">
        <v>-0.38978405187487442</v>
      </c>
      <c r="AZ381" s="101">
        <v>-0.27581738133071165</v>
      </c>
      <c r="BA381" s="101">
        <v>-0.51240121781081915</v>
      </c>
      <c r="BB381" s="101">
        <v>-0.11408683857852267</v>
      </c>
    </row>
    <row r="382" spans="2:54">
      <c r="B382">
        <v>15.288</v>
      </c>
      <c r="C382">
        <v>18.100000000000001</v>
      </c>
      <c r="D382">
        <v>0.67100000000000004</v>
      </c>
      <c r="E382">
        <v>6.649</v>
      </c>
      <c r="F382">
        <v>93.3</v>
      </c>
      <c r="G382">
        <v>1.3449</v>
      </c>
      <c r="H382">
        <v>24</v>
      </c>
      <c r="I382">
        <v>666</v>
      </c>
      <c r="J382">
        <v>20.2</v>
      </c>
      <c r="K382">
        <v>363.02</v>
      </c>
      <c r="L382">
        <v>23.24</v>
      </c>
      <c r="M382">
        <v>13.9</v>
      </c>
      <c r="O382" s="101">
        <f t="shared" si="90"/>
        <v>1.3585965626625685</v>
      </c>
      <c r="P382" s="101">
        <f t="shared" si="91"/>
        <v>1.0159990707250266</v>
      </c>
      <c r="Q382" s="101">
        <f t="shared" si="92"/>
        <v>1.0046804658202289</v>
      </c>
      <c r="R382" s="101">
        <f t="shared" si="93"/>
        <v>0.51909663133352923</v>
      </c>
      <c r="S382" s="101">
        <f t="shared" si="94"/>
        <v>0.87923865357626108</v>
      </c>
      <c r="T382" s="101">
        <f t="shared" si="95"/>
        <v>-1.1647222192824607</v>
      </c>
      <c r="U382" s="101">
        <f t="shared" si="96"/>
        <v>1.6612452539705709</v>
      </c>
      <c r="V382" s="101">
        <f t="shared" si="97"/>
        <v>1.5309264594697112</v>
      </c>
      <c r="W382" s="101">
        <f t="shared" si="98"/>
        <v>0.80657583495378138</v>
      </c>
      <c r="X382" s="101">
        <f t="shared" si="99"/>
        <v>6.9579471440354729E-2</v>
      </c>
      <c r="Y382" s="101">
        <f t="shared" si="100"/>
        <v>1.4840109798270276</v>
      </c>
      <c r="Z382" s="101">
        <f t="shared" si="101"/>
        <v>-0.93957286422297093</v>
      </c>
      <c r="AQ382" s="101">
        <v>3.4764545150834318</v>
      </c>
      <c r="AR382" s="101">
        <v>0.61268445068562816</v>
      </c>
      <c r="AS382" s="101">
        <v>0.57856759085379306</v>
      </c>
      <c r="AT382" s="101">
        <v>0.70853584760713173</v>
      </c>
      <c r="AU382" s="101">
        <v>-0.65710919262558987</v>
      </c>
      <c r="AV382" s="101">
        <v>0.34049145233273181</v>
      </c>
      <c r="AW382" s="101">
        <v>-0.75063718111057554</v>
      </c>
      <c r="AX382" s="101">
        <v>0.39779730520489265</v>
      </c>
      <c r="AY382" s="101">
        <v>0.36739572981716795</v>
      </c>
      <c r="AZ382" s="101">
        <v>-0.62450645701610019</v>
      </c>
      <c r="BA382" s="101">
        <v>-0.18981052034983736</v>
      </c>
      <c r="BB382" s="101">
        <v>-4.64875697097972E-2</v>
      </c>
    </row>
    <row r="383" spans="2:54">
      <c r="B383">
        <v>9.8234899999999996</v>
      </c>
      <c r="C383">
        <v>18.100000000000001</v>
      </c>
      <c r="D383">
        <v>0.67100000000000004</v>
      </c>
      <c r="E383">
        <v>6.7939999999999996</v>
      </c>
      <c r="F383">
        <v>98.8</v>
      </c>
      <c r="G383">
        <v>1.3580000000000001</v>
      </c>
      <c r="H383">
        <v>24</v>
      </c>
      <c r="I383">
        <v>666</v>
      </c>
      <c r="J383">
        <v>20.2</v>
      </c>
      <c r="K383">
        <v>396.9</v>
      </c>
      <c r="L383">
        <v>21.24</v>
      </c>
      <c r="M383">
        <v>13.3</v>
      </c>
      <c r="O383" s="101">
        <f t="shared" si="90"/>
        <v>0.72267386933397293</v>
      </c>
      <c r="P383" s="101">
        <f t="shared" si="91"/>
        <v>1.0159990707250266</v>
      </c>
      <c r="Q383" s="101">
        <f t="shared" si="92"/>
        <v>1.0046804658202289</v>
      </c>
      <c r="R383" s="101">
        <f t="shared" si="93"/>
        <v>0.7256721393687291</v>
      </c>
      <c r="S383" s="101">
        <f t="shared" si="94"/>
        <v>1.0748217989057529</v>
      </c>
      <c r="T383" s="101">
        <f t="shared" si="95"/>
        <v>-1.1584948835648701</v>
      </c>
      <c r="U383" s="101">
        <f t="shared" si="96"/>
        <v>1.6612452539705709</v>
      </c>
      <c r="V383" s="101">
        <f t="shared" si="97"/>
        <v>1.5309264594697112</v>
      </c>
      <c r="W383" s="101">
        <f t="shared" si="98"/>
        <v>0.80657583495378138</v>
      </c>
      <c r="X383" s="101">
        <f t="shared" si="99"/>
        <v>0.44105193260702835</v>
      </c>
      <c r="Y383" s="101">
        <f t="shared" si="100"/>
        <v>1.2036634130805985</v>
      </c>
      <c r="Z383" s="101">
        <f t="shared" si="101"/>
        <v>-1.004875350734141</v>
      </c>
      <c r="AQ383" s="101">
        <v>3.1766382493710763</v>
      </c>
      <c r="AR383" s="101">
        <v>0.74829671164617895</v>
      </c>
      <c r="AS383" s="101">
        <v>0.23519950451820643</v>
      </c>
      <c r="AT383" s="101">
        <v>1.1317912538848809</v>
      </c>
      <c r="AU383" s="101">
        <v>-0.38227255439433616</v>
      </c>
      <c r="AV383" s="101">
        <v>0.13301590110349787</v>
      </c>
      <c r="AW383" s="101">
        <v>-1.0624185806377466</v>
      </c>
      <c r="AX383" s="101">
        <v>0.44315232173029229</v>
      </c>
      <c r="AY383" s="101">
        <v>0.17564424491365099</v>
      </c>
      <c r="AZ383" s="101">
        <v>-0.57056701673071897</v>
      </c>
      <c r="BA383" s="101">
        <v>-0.38504703910524851</v>
      </c>
      <c r="BB383" s="101">
        <v>-0.1189097134102936</v>
      </c>
    </row>
    <row r="384" spans="2:54">
      <c r="B384">
        <v>23.648199999999999</v>
      </c>
      <c r="C384">
        <v>18.100000000000001</v>
      </c>
      <c r="D384">
        <v>0.67100000000000004</v>
      </c>
      <c r="E384">
        <v>6.38</v>
      </c>
      <c r="F384">
        <v>96.2</v>
      </c>
      <c r="G384">
        <v>1.3861000000000001</v>
      </c>
      <c r="H384">
        <v>24</v>
      </c>
      <c r="I384">
        <v>666</v>
      </c>
      <c r="J384">
        <v>20.2</v>
      </c>
      <c r="K384">
        <v>396.9</v>
      </c>
      <c r="L384">
        <v>23.69</v>
      </c>
      <c r="M384">
        <v>13.1</v>
      </c>
      <c r="O384" s="101">
        <f t="shared" si="90"/>
        <v>2.331500061927045</v>
      </c>
      <c r="P384" s="101">
        <f t="shared" si="91"/>
        <v>1.0159990707250266</v>
      </c>
      <c r="Q384" s="101">
        <f t="shared" si="92"/>
        <v>1.0046804658202289</v>
      </c>
      <c r="R384" s="101">
        <f t="shared" si="93"/>
        <v>0.13586344746132953</v>
      </c>
      <c r="S384" s="101">
        <f t="shared" si="94"/>
        <v>0.98236431202272056</v>
      </c>
      <c r="T384" s="101">
        <f t="shared" si="95"/>
        <v>-1.1451370107660692</v>
      </c>
      <c r="U384" s="101">
        <f t="shared" si="96"/>
        <v>1.6612452539705709</v>
      </c>
      <c r="V384" s="101">
        <f t="shared" si="97"/>
        <v>1.5309264594697112</v>
      </c>
      <c r="W384" s="101">
        <f t="shared" si="98"/>
        <v>0.80657583495378138</v>
      </c>
      <c r="X384" s="101">
        <f t="shared" si="99"/>
        <v>0.44105193260702835</v>
      </c>
      <c r="Y384" s="101">
        <f t="shared" si="100"/>
        <v>1.5470891823449744</v>
      </c>
      <c r="Z384" s="101">
        <f t="shared" si="101"/>
        <v>-1.0266428462378645</v>
      </c>
      <c r="AQ384" s="101">
        <v>3.7986916167589047</v>
      </c>
      <c r="AR384" s="101">
        <v>0.37145771309651399</v>
      </c>
      <c r="AS384" s="101">
        <v>0.69244282257472622</v>
      </c>
      <c r="AT384" s="101">
        <v>0.76276400649415621</v>
      </c>
      <c r="AU384" s="101">
        <v>-1.5511231721263434</v>
      </c>
      <c r="AV384" s="101">
        <v>0.6902467378426228</v>
      </c>
      <c r="AW384" s="101">
        <v>-0.44023143726620662</v>
      </c>
      <c r="AX384" s="101">
        <v>0.43770778249823628</v>
      </c>
      <c r="AY384" s="101">
        <v>0.29202905661789724</v>
      </c>
      <c r="AZ384" s="101">
        <v>-0.4173150606278232</v>
      </c>
      <c r="BA384" s="101">
        <v>-0.10821857338245267</v>
      </c>
      <c r="BB384" s="101">
        <v>-1.1219011187484182E-2</v>
      </c>
    </row>
    <row r="385" spans="2:54">
      <c r="B385">
        <v>17.866700000000002</v>
      </c>
      <c r="C385">
        <v>18.100000000000001</v>
      </c>
      <c r="D385">
        <v>0.67100000000000004</v>
      </c>
      <c r="E385">
        <v>6.2229999999999999</v>
      </c>
      <c r="F385">
        <v>100</v>
      </c>
      <c r="G385">
        <v>1.3861000000000001</v>
      </c>
      <c r="H385">
        <v>24</v>
      </c>
      <c r="I385">
        <v>666</v>
      </c>
      <c r="J385">
        <v>20.2</v>
      </c>
      <c r="K385">
        <v>393.74</v>
      </c>
      <c r="L385">
        <v>21.78</v>
      </c>
      <c r="M385">
        <v>10.199999999999999</v>
      </c>
      <c r="O385" s="101">
        <f t="shared" si="90"/>
        <v>1.6586882175934681</v>
      </c>
      <c r="P385" s="101">
        <f t="shared" si="91"/>
        <v>1.0159990707250266</v>
      </c>
      <c r="Q385" s="101">
        <f t="shared" si="92"/>
        <v>1.0046804658202289</v>
      </c>
      <c r="R385" s="101">
        <f t="shared" si="93"/>
        <v>-8.7807964687128967E-2</v>
      </c>
      <c r="S385" s="101">
        <f t="shared" si="94"/>
        <v>1.1174944851594601</v>
      </c>
      <c r="T385" s="101">
        <f t="shared" si="95"/>
        <v>-1.1451370107660692</v>
      </c>
      <c r="U385" s="101">
        <f t="shared" si="96"/>
        <v>1.6612452539705709</v>
      </c>
      <c r="V385" s="101">
        <f t="shared" si="97"/>
        <v>1.5309264594697112</v>
      </c>
      <c r="W385" s="101">
        <f t="shared" si="98"/>
        <v>0.80657583495378138</v>
      </c>
      <c r="X385" s="101">
        <f t="shared" si="99"/>
        <v>0.40640456019596943</v>
      </c>
      <c r="Y385" s="101">
        <f t="shared" si="100"/>
        <v>1.2793572561021347</v>
      </c>
      <c r="Z385" s="101">
        <f t="shared" si="101"/>
        <v>-1.3422715310418531</v>
      </c>
      <c r="AQ385" s="101">
        <v>3.7205949654103834</v>
      </c>
      <c r="AR385" s="101">
        <v>0.16122794040697008</v>
      </c>
      <c r="AS385" s="101">
        <v>0.37059443315512319</v>
      </c>
      <c r="AT385" s="101">
        <v>0.83477403310421783</v>
      </c>
      <c r="AU385" s="101">
        <v>-1.0901454372306307</v>
      </c>
      <c r="AV385" s="101">
        <v>0.36209284506153028</v>
      </c>
      <c r="AW385" s="101">
        <v>-0.56539013249107128</v>
      </c>
      <c r="AX385" s="101">
        <v>0.34813046475512366</v>
      </c>
      <c r="AY385" s="101">
        <v>-1.8210652262630633E-2</v>
      </c>
      <c r="AZ385" s="101">
        <v>-0.31332943321255236</v>
      </c>
      <c r="BA385" s="101">
        <v>-0.38096009084965499</v>
      </c>
      <c r="BB385" s="101">
        <v>-0.10648596415398354</v>
      </c>
    </row>
    <row r="386" spans="2:54">
      <c r="B386">
        <v>88.976200000000006</v>
      </c>
      <c r="C386">
        <v>18.100000000000001</v>
      </c>
      <c r="D386">
        <v>0.67100000000000004</v>
      </c>
      <c r="E386">
        <v>6.968</v>
      </c>
      <c r="F386">
        <v>91.9</v>
      </c>
      <c r="G386">
        <v>1.4165000000000001</v>
      </c>
      <c r="H386">
        <v>24</v>
      </c>
      <c r="I386">
        <v>666</v>
      </c>
      <c r="J386">
        <v>20.2</v>
      </c>
      <c r="K386">
        <v>396.9</v>
      </c>
      <c r="L386">
        <v>17.21</v>
      </c>
      <c r="M386">
        <v>10.4</v>
      </c>
      <c r="O386" s="101">
        <f t="shared" si="90"/>
        <v>9.9339306018602667</v>
      </c>
      <c r="P386" s="101">
        <f t="shared" si="91"/>
        <v>1.0159990707250266</v>
      </c>
      <c r="Q386" s="101">
        <f t="shared" si="92"/>
        <v>1.0046804658202289</v>
      </c>
      <c r="R386" s="101">
        <f t="shared" si="93"/>
        <v>0.97356274901097017</v>
      </c>
      <c r="S386" s="101">
        <f t="shared" si="94"/>
        <v>0.82945385294693619</v>
      </c>
      <c r="T386" s="101">
        <f t="shared" si="95"/>
        <v>-1.1306857889481492</v>
      </c>
      <c r="U386" s="101">
        <f t="shared" si="96"/>
        <v>1.6612452539705709</v>
      </c>
      <c r="V386" s="101">
        <f t="shared" si="97"/>
        <v>1.5309264594697112</v>
      </c>
      <c r="W386" s="101">
        <f t="shared" si="98"/>
        <v>0.80657583495378138</v>
      </c>
      <c r="X386" s="101">
        <f t="shared" si="99"/>
        <v>0.44105193260702835</v>
      </c>
      <c r="Y386" s="101">
        <f t="shared" si="100"/>
        <v>0.63876306608654443</v>
      </c>
      <c r="Z386" s="101">
        <f t="shared" si="101"/>
        <v>-1.3205040355381297</v>
      </c>
      <c r="AQ386" s="101">
        <v>5.3189657696912427</v>
      </c>
      <c r="AR386" s="101">
        <v>1.2151040522662053</v>
      </c>
      <c r="AS386" s="101">
        <v>4.1031609620069371</v>
      </c>
      <c r="AT386" s="101">
        <v>-0.15431190649932777</v>
      </c>
      <c r="AU386" s="101">
        <v>-6.1879295886677319</v>
      </c>
      <c r="AV386" s="101">
        <v>4.1439580033074641</v>
      </c>
      <c r="AW386" s="101">
        <v>1.8710608981424368</v>
      </c>
      <c r="AX386" s="101">
        <v>2.3758518037640197</v>
      </c>
      <c r="AY386" s="101">
        <v>-0.50536034472499392</v>
      </c>
      <c r="AZ386" s="101">
        <v>0.34109367032325888</v>
      </c>
      <c r="BA386" s="101">
        <v>0.22878851802179034</v>
      </c>
      <c r="BB386" s="101">
        <v>0.28124485563181589</v>
      </c>
    </row>
    <row r="387" spans="2:54">
      <c r="B387">
        <v>15.8744</v>
      </c>
      <c r="C387">
        <v>18.100000000000001</v>
      </c>
      <c r="D387">
        <v>0.67100000000000004</v>
      </c>
      <c r="E387">
        <v>6.5449999999999999</v>
      </c>
      <c r="F387">
        <v>99.1</v>
      </c>
      <c r="G387">
        <v>1.5192000000000001</v>
      </c>
      <c r="H387">
        <v>24</v>
      </c>
      <c r="I387">
        <v>666</v>
      </c>
      <c r="J387">
        <v>20.2</v>
      </c>
      <c r="K387">
        <v>396.9</v>
      </c>
      <c r="L387">
        <v>21.08</v>
      </c>
      <c r="M387">
        <v>10.9</v>
      </c>
      <c r="O387" s="101">
        <f t="shared" si="90"/>
        <v>1.426837826264957</v>
      </c>
      <c r="P387" s="101">
        <f t="shared" si="91"/>
        <v>1.0159990707250266</v>
      </c>
      <c r="Q387" s="101">
        <f t="shared" si="92"/>
        <v>1.0046804658202289</v>
      </c>
      <c r="R387" s="101">
        <f t="shared" si="93"/>
        <v>0.37093212901862666</v>
      </c>
      <c r="S387" s="101">
        <f t="shared" si="94"/>
        <v>1.0854899704691796</v>
      </c>
      <c r="T387" s="101">
        <f t="shared" si="95"/>
        <v>-1.0818653783987948</v>
      </c>
      <c r="U387" s="101">
        <f t="shared" si="96"/>
        <v>1.6612452539705709</v>
      </c>
      <c r="V387" s="101">
        <f t="shared" si="97"/>
        <v>1.5309264594697112</v>
      </c>
      <c r="W387" s="101">
        <f t="shared" si="98"/>
        <v>0.80657583495378138</v>
      </c>
      <c r="X387" s="101">
        <f t="shared" si="99"/>
        <v>0.44105193260702835</v>
      </c>
      <c r="Y387" s="101">
        <f t="shared" si="100"/>
        <v>1.1812356077408841</v>
      </c>
      <c r="Z387" s="101">
        <f t="shared" si="101"/>
        <v>-1.2660852967788214</v>
      </c>
      <c r="AQ387" s="101">
        <v>3.4771241559410377</v>
      </c>
      <c r="AR387" s="101">
        <v>0.43611229308408739</v>
      </c>
      <c r="AS387" s="101">
        <v>0.4346373419418148</v>
      </c>
      <c r="AT387" s="101">
        <v>0.95641889521454204</v>
      </c>
      <c r="AU387" s="101">
        <v>-0.88501786357697054</v>
      </c>
      <c r="AV387" s="101">
        <v>0.3446205819521036</v>
      </c>
      <c r="AW387" s="101">
        <v>-0.78988734278984651</v>
      </c>
      <c r="AX387" s="101">
        <v>0.5251221652853616</v>
      </c>
      <c r="AY387" s="101">
        <v>1.4935474565314077E-3</v>
      </c>
      <c r="AZ387" s="101">
        <v>-0.39951210517944558</v>
      </c>
      <c r="BA387" s="101">
        <v>-0.38883619643777051</v>
      </c>
      <c r="BB387" s="101">
        <v>-0.11803997089069176</v>
      </c>
    </row>
    <row r="388" spans="2:54">
      <c r="B388">
        <v>9.1870200000000004</v>
      </c>
      <c r="C388">
        <v>18.100000000000001</v>
      </c>
      <c r="D388">
        <v>0.7</v>
      </c>
      <c r="E388">
        <v>5.5359999999999996</v>
      </c>
      <c r="F388">
        <v>100</v>
      </c>
      <c r="G388">
        <v>1.5804</v>
      </c>
      <c r="H388">
        <v>24</v>
      </c>
      <c r="I388">
        <v>666</v>
      </c>
      <c r="J388">
        <v>20.2</v>
      </c>
      <c r="K388">
        <v>396.9</v>
      </c>
      <c r="L388">
        <v>23.6</v>
      </c>
      <c r="M388">
        <v>11.3</v>
      </c>
      <c r="O388" s="101">
        <f t="shared" si="90"/>
        <v>0.64860579797481155</v>
      </c>
      <c r="P388" s="101">
        <f t="shared" si="91"/>
        <v>1.0159990707250266</v>
      </c>
      <c r="Q388" s="101">
        <f t="shared" si="92"/>
        <v>1.2551920376464718</v>
      </c>
      <c r="R388" s="101">
        <f t="shared" si="93"/>
        <v>-1.0665484751711483</v>
      </c>
      <c r="S388" s="101">
        <f t="shared" si="94"/>
        <v>1.1174944851594601</v>
      </c>
      <c r="T388" s="101">
        <f t="shared" si="95"/>
        <v>-1.0527727871074561</v>
      </c>
      <c r="U388" s="101">
        <f t="shared" si="96"/>
        <v>1.6612452539705709</v>
      </c>
      <c r="V388" s="101">
        <f t="shared" si="97"/>
        <v>1.5309264594697112</v>
      </c>
      <c r="W388" s="101">
        <f t="shared" si="98"/>
        <v>0.80657583495378138</v>
      </c>
      <c r="X388" s="101">
        <f t="shared" si="99"/>
        <v>0.44105193260702835</v>
      </c>
      <c r="Y388" s="101">
        <f t="shared" si="100"/>
        <v>1.5344735418413851</v>
      </c>
      <c r="Z388" s="101">
        <f t="shared" si="101"/>
        <v>-1.2225503057713747</v>
      </c>
      <c r="AQ388" s="101">
        <v>3.7624522984395554</v>
      </c>
      <c r="AR388" s="101">
        <v>-0.40115037603053411</v>
      </c>
      <c r="AS388" s="101">
        <v>-0.35202564717247853</v>
      </c>
      <c r="AT388" s="101">
        <v>0.85924993069762567</v>
      </c>
      <c r="AU388" s="101">
        <v>-0.66112770449515357</v>
      </c>
      <c r="AV388" s="101">
        <v>-0.40984831076911965</v>
      </c>
      <c r="AW388" s="101">
        <v>-0.592050416787408</v>
      </c>
      <c r="AX388" s="101">
        <v>-0.30972665654751386</v>
      </c>
      <c r="AY388" s="101">
        <v>-8.5395138878211485E-3</v>
      </c>
      <c r="AZ388" s="101">
        <v>-0.2594756776706989</v>
      </c>
      <c r="BA388" s="101">
        <v>-0.11104098381149108</v>
      </c>
      <c r="BB388" s="101">
        <v>-0.1022262862344285</v>
      </c>
    </row>
    <row r="389" spans="2:54">
      <c r="B389">
        <v>7.9924799999999996</v>
      </c>
      <c r="C389">
        <v>18.100000000000001</v>
      </c>
      <c r="D389">
        <v>0.7</v>
      </c>
      <c r="E389">
        <v>5.52</v>
      </c>
      <c r="F389">
        <v>100</v>
      </c>
      <c r="G389">
        <v>1.5330999999999999</v>
      </c>
      <c r="H389">
        <v>24</v>
      </c>
      <c r="I389">
        <v>666</v>
      </c>
      <c r="J389">
        <v>20.2</v>
      </c>
      <c r="K389">
        <v>396.9</v>
      </c>
      <c r="L389">
        <v>24.56</v>
      </c>
      <c r="M389">
        <v>12.3</v>
      </c>
      <c r="O389" s="101">
        <f t="shared" si="90"/>
        <v>0.50959331669309726</v>
      </c>
      <c r="P389" s="101">
        <f t="shared" si="91"/>
        <v>1.0159990707250266</v>
      </c>
      <c r="Q389" s="101">
        <f t="shared" si="92"/>
        <v>1.2551920376464718</v>
      </c>
      <c r="R389" s="101">
        <f t="shared" si="93"/>
        <v>-1.0893430139888254</v>
      </c>
      <c r="S389" s="101">
        <f t="shared" si="94"/>
        <v>1.1174944851594601</v>
      </c>
      <c r="T389" s="101">
        <f t="shared" si="95"/>
        <v>-1.0752577473702065</v>
      </c>
      <c r="U389" s="101">
        <f t="shared" si="96"/>
        <v>1.6612452539705709</v>
      </c>
      <c r="V389" s="101">
        <f t="shared" si="97"/>
        <v>1.5309264594697112</v>
      </c>
      <c r="W389" s="101">
        <f t="shared" si="98"/>
        <v>0.80657583495378138</v>
      </c>
      <c r="X389" s="101">
        <f t="shared" si="99"/>
        <v>0.44105193260702835</v>
      </c>
      <c r="Y389" s="101">
        <f t="shared" si="100"/>
        <v>1.6690403738796706</v>
      </c>
      <c r="Z389" s="101">
        <f t="shared" si="101"/>
        <v>-1.1137128282527577</v>
      </c>
      <c r="AQ389" s="101">
        <v>3.7514385787261451</v>
      </c>
      <c r="AR389" s="101">
        <v>-0.39214191697982004</v>
      </c>
      <c r="AS389" s="101">
        <v>-0.43919113237861895</v>
      </c>
      <c r="AT389" s="101">
        <v>0.86836337579455647</v>
      </c>
      <c r="AU389" s="101">
        <v>-0.59196397168239501</v>
      </c>
      <c r="AV389" s="101">
        <v>-0.46038147765730186</v>
      </c>
      <c r="AW389" s="101">
        <v>-0.64255879190912579</v>
      </c>
      <c r="AX389" s="101">
        <v>-0.40846113708873855</v>
      </c>
      <c r="AY389" s="101">
        <v>0.12063444047842137</v>
      </c>
      <c r="AZ389" s="101">
        <v>-0.30526040100324942</v>
      </c>
      <c r="BA389" s="101">
        <v>-4.9949223774233831E-2</v>
      </c>
      <c r="BB389" s="101">
        <v>-8.5826252115966881E-2</v>
      </c>
    </row>
    <row r="390" spans="2:54">
      <c r="B390">
        <v>20.084900000000001</v>
      </c>
      <c r="C390">
        <v>18.100000000000001</v>
      </c>
      <c r="D390">
        <v>0.7</v>
      </c>
      <c r="E390">
        <v>4.3680000000000003</v>
      </c>
      <c r="F390">
        <v>91.2</v>
      </c>
      <c r="G390">
        <v>1.4395</v>
      </c>
      <c r="H390">
        <v>24</v>
      </c>
      <c r="I390">
        <v>666</v>
      </c>
      <c r="J390">
        <v>20.2</v>
      </c>
      <c r="K390">
        <v>285.83</v>
      </c>
      <c r="L390">
        <v>30.63</v>
      </c>
      <c r="M390">
        <v>8.8000000000000007</v>
      </c>
      <c r="O390" s="101">
        <f t="shared" ref="O390:O453" si="102">(B390-B$1)/B$2</f>
        <v>1.9168273221685335</v>
      </c>
      <c r="P390" s="101">
        <f t="shared" ref="P390:P453" si="103">(C390-C$1)/C$2</f>
        <v>1.0159990707250266</v>
      </c>
      <c r="Q390" s="101">
        <f t="shared" ref="Q390:Q453" si="104">(D390-D$1)/D$2</f>
        <v>1.2551920376464718</v>
      </c>
      <c r="R390" s="101">
        <f t="shared" ref="R390:R453" si="105">(E390-E$1)/E$2</f>
        <v>-2.7305498088615896</v>
      </c>
      <c r="S390" s="101">
        <f t="shared" ref="S390:S453" si="106">(F390-F$1)/F$2</f>
        <v>0.80456145263227352</v>
      </c>
      <c r="T390" s="101">
        <f t="shared" ref="T390:T453" si="107">(G390-G$1)/G$2</f>
        <v>-1.1197522987569599</v>
      </c>
      <c r="U390" s="101">
        <f t="shared" ref="U390:U453" si="108">(H390-H$1)/H$2</f>
        <v>1.6612452539705709</v>
      </c>
      <c r="V390" s="101">
        <f t="shared" ref="V390:V453" si="109">(I390-I$1)/I$2</f>
        <v>1.5309264594697112</v>
      </c>
      <c r="W390" s="101">
        <f t="shared" ref="W390:W453" si="110">(J390-J$1)/J$2</f>
        <v>0.80657583495378138</v>
      </c>
      <c r="X390" s="101">
        <f t="shared" ref="X390:X453" si="111">(K390-K$1)/K$2</f>
        <v>-0.77675935020827402</v>
      </c>
      <c r="Y390" s="101">
        <f t="shared" ref="Y390:Y453" si="112">(L390-L$1)/L$2</f>
        <v>2.5198952389550824</v>
      </c>
      <c r="Z390" s="101">
        <f t="shared" ref="Z390:Z453" si="113">(M390-M$1)/M$2</f>
        <v>-1.4946439995679166</v>
      </c>
      <c r="AQ390" s="101">
        <v>5.0084630798854892</v>
      </c>
      <c r="AR390" s="101">
        <v>-1.5967592374219319</v>
      </c>
      <c r="AS390" s="101">
        <v>3.8533339284232637E-2</v>
      </c>
      <c r="AT390" s="101">
        <v>-0.5560418581381823</v>
      </c>
      <c r="AU390" s="101">
        <v>-1.1684700430400221</v>
      </c>
      <c r="AV390" s="101">
        <v>-0.19893050910259158</v>
      </c>
      <c r="AW390" s="101">
        <v>0.3512752377898794</v>
      </c>
      <c r="AX390" s="101">
        <v>-0.9336891272668264</v>
      </c>
      <c r="AY390" s="101">
        <v>0.35925023330313843</v>
      </c>
      <c r="AZ390" s="101">
        <v>-0.20247031458819312</v>
      </c>
      <c r="BA390" s="101">
        <v>0.25327019587060451</v>
      </c>
      <c r="BB390" s="101">
        <v>3.1667985944672322E-2</v>
      </c>
    </row>
    <row r="391" spans="2:54">
      <c r="B391">
        <v>16.811800000000002</v>
      </c>
      <c r="C391">
        <v>18.100000000000001</v>
      </c>
      <c r="D391">
        <v>0.7</v>
      </c>
      <c r="E391">
        <v>5.2770000000000001</v>
      </c>
      <c r="F391">
        <v>98.1</v>
      </c>
      <c r="G391">
        <v>1.4260999999999999</v>
      </c>
      <c r="H391">
        <v>24</v>
      </c>
      <c r="I391">
        <v>666</v>
      </c>
      <c r="J391">
        <v>20.2</v>
      </c>
      <c r="K391">
        <v>396.9</v>
      </c>
      <c r="L391">
        <v>30.81</v>
      </c>
      <c r="M391">
        <v>7.2</v>
      </c>
      <c r="O391" s="101">
        <f t="shared" si="102"/>
        <v>1.5359260945133866</v>
      </c>
      <c r="P391" s="101">
        <f t="shared" si="103"/>
        <v>1.0159990707250266</v>
      </c>
      <c r="Q391" s="101">
        <f t="shared" si="104"/>
        <v>1.2551920376464718</v>
      </c>
      <c r="R391" s="101">
        <f t="shared" si="105"/>
        <v>-1.4355350722822986</v>
      </c>
      <c r="S391" s="101">
        <f t="shared" si="106"/>
        <v>1.04992939859109</v>
      </c>
      <c r="T391" s="101">
        <f t="shared" si="107"/>
        <v>-1.1261222452161745</v>
      </c>
      <c r="U391" s="101">
        <f t="shared" si="108"/>
        <v>1.6612452539705709</v>
      </c>
      <c r="V391" s="101">
        <f t="shared" si="109"/>
        <v>1.5309264594697112</v>
      </c>
      <c r="W391" s="101">
        <f t="shared" si="110"/>
        <v>0.80657583495378138</v>
      </c>
      <c r="X391" s="101">
        <f t="shared" si="111"/>
        <v>0.44105193260702835</v>
      </c>
      <c r="Y391" s="101">
        <f t="shared" si="112"/>
        <v>2.545126519962261</v>
      </c>
      <c r="Z391" s="101">
        <f t="shared" si="113"/>
        <v>-1.6687839635977035</v>
      </c>
      <c r="AQ391" s="101">
        <v>4.5185296456196467</v>
      </c>
      <c r="AR391" s="101">
        <v>-1.0274771183456759</v>
      </c>
      <c r="AS391" s="101">
        <v>-0.3092719505714156</v>
      </c>
      <c r="AT391" s="101">
        <v>0.4333489259700104</v>
      </c>
      <c r="AU391" s="101">
        <v>-1.3942341368689044</v>
      </c>
      <c r="AV391" s="101">
        <v>2.6367440252885732E-2</v>
      </c>
      <c r="AW391" s="101">
        <v>-0.62325984427747705</v>
      </c>
      <c r="AX391" s="101">
        <v>-0.23051752861458674</v>
      </c>
      <c r="AY391" s="101">
        <v>0.39727691324056591</v>
      </c>
      <c r="AZ391" s="101">
        <v>-0.55431933451740034</v>
      </c>
      <c r="BA391" s="101">
        <v>1.5486060358834264E-2</v>
      </c>
      <c r="BB391" s="101">
        <v>-3.7313659024027418E-2</v>
      </c>
    </row>
    <row r="392" spans="2:54">
      <c r="B392">
        <v>24.393799999999999</v>
      </c>
      <c r="C392">
        <v>18.100000000000001</v>
      </c>
      <c r="D392">
        <v>0.7</v>
      </c>
      <c r="E392">
        <v>4.6520000000000001</v>
      </c>
      <c r="F392">
        <v>100</v>
      </c>
      <c r="G392">
        <v>1.4672000000000001</v>
      </c>
      <c r="H392">
        <v>24</v>
      </c>
      <c r="I392">
        <v>666</v>
      </c>
      <c r="J392">
        <v>20.2</v>
      </c>
      <c r="K392">
        <v>396.9</v>
      </c>
      <c r="L392">
        <v>28.28</v>
      </c>
      <c r="M392">
        <v>10.5</v>
      </c>
      <c r="O392" s="101">
        <f t="shared" si="102"/>
        <v>2.4182679441609141</v>
      </c>
      <c r="P392" s="101">
        <f t="shared" si="103"/>
        <v>1.0159990707250266</v>
      </c>
      <c r="Q392" s="101">
        <f t="shared" si="104"/>
        <v>1.2551920376464718</v>
      </c>
      <c r="R392" s="101">
        <f t="shared" si="105"/>
        <v>-2.3259467448478177</v>
      </c>
      <c r="S392" s="101">
        <f t="shared" si="106"/>
        <v>1.1174944851594601</v>
      </c>
      <c r="T392" s="101">
        <f t="shared" si="107"/>
        <v>-1.1065845736136579</v>
      </c>
      <c r="U392" s="101">
        <f t="shared" si="108"/>
        <v>1.6612452539705709</v>
      </c>
      <c r="V392" s="101">
        <f t="shared" si="109"/>
        <v>1.5309264594697112</v>
      </c>
      <c r="W392" s="101">
        <f t="shared" si="110"/>
        <v>0.80657583495378138</v>
      </c>
      <c r="X392" s="101">
        <f t="shared" si="111"/>
        <v>0.44105193260702835</v>
      </c>
      <c r="Y392" s="101">
        <f t="shared" si="112"/>
        <v>2.1904868480280291</v>
      </c>
      <c r="Z392" s="101">
        <f t="shared" si="113"/>
        <v>-1.3096202877862682</v>
      </c>
      <c r="AQ392" s="101">
        <v>4.7318208963310715</v>
      </c>
      <c r="AR392" s="101">
        <v>-1.2088628475206695</v>
      </c>
      <c r="AS392" s="101">
        <v>-0.1139384794579478</v>
      </c>
      <c r="AT392" s="101">
        <v>0.34598797564748029</v>
      </c>
      <c r="AU392" s="101">
        <v>-2.0630356815908062</v>
      </c>
      <c r="AV392" s="101">
        <v>0.12564037816782064</v>
      </c>
      <c r="AW392" s="101">
        <v>0.21362182679099062</v>
      </c>
      <c r="AX392" s="101">
        <v>-0.63701144019730427</v>
      </c>
      <c r="AY392" s="101">
        <v>0.19994223477544604</v>
      </c>
      <c r="AZ392" s="101">
        <v>-1.1063515019150899E-2</v>
      </c>
      <c r="BA392" s="101">
        <v>0.22947372172519476</v>
      </c>
      <c r="BB392" s="101">
        <v>2.80791225392516E-2</v>
      </c>
    </row>
    <row r="393" spans="2:54">
      <c r="B393">
        <v>22.597100000000001</v>
      </c>
      <c r="C393">
        <v>18.100000000000001</v>
      </c>
      <c r="D393">
        <v>0.7</v>
      </c>
      <c r="E393">
        <v>5</v>
      </c>
      <c r="F393">
        <v>89.5</v>
      </c>
      <c r="G393">
        <v>1.5184</v>
      </c>
      <c r="H393">
        <v>24</v>
      </c>
      <c r="I393">
        <v>666</v>
      </c>
      <c r="J393">
        <v>20.2</v>
      </c>
      <c r="K393">
        <v>396.9</v>
      </c>
      <c r="L393">
        <v>31.99</v>
      </c>
      <c r="M393">
        <v>7.4</v>
      </c>
      <c r="O393" s="101">
        <f t="shared" si="102"/>
        <v>2.2091801571308811</v>
      </c>
      <c r="P393" s="101">
        <f t="shared" si="103"/>
        <v>1.0159990707250266</v>
      </c>
      <c r="Q393" s="101">
        <f t="shared" si="104"/>
        <v>1.2551920376464718</v>
      </c>
      <c r="R393" s="101">
        <f t="shared" si="105"/>
        <v>-1.8301655255633369</v>
      </c>
      <c r="S393" s="101">
        <f t="shared" si="106"/>
        <v>0.74410848043952138</v>
      </c>
      <c r="T393" s="101">
        <f t="shared" si="107"/>
        <v>-1.082245673709793</v>
      </c>
      <c r="U393" s="101">
        <f t="shared" si="108"/>
        <v>1.6612452539705709</v>
      </c>
      <c r="V393" s="101">
        <f t="shared" si="109"/>
        <v>1.5309264594697112</v>
      </c>
      <c r="W393" s="101">
        <f t="shared" si="110"/>
        <v>0.80657583495378138</v>
      </c>
      <c r="X393" s="101">
        <f t="shared" si="111"/>
        <v>0.44105193260702835</v>
      </c>
      <c r="Y393" s="101">
        <f t="shared" si="112"/>
        <v>2.7105315843426543</v>
      </c>
      <c r="Z393" s="101">
        <f t="shared" si="113"/>
        <v>-1.6470164680939801</v>
      </c>
      <c r="AQ393" s="101">
        <v>4.7167722348284942</v>
      </c>
      <c r="AR393" s="101">
        <v>-1.329590019183478</v>
      </c>
      <c r="AS393" s="101">
        <v>-4.8568284745936691E-2</v>
      </c>
      <c r="AT393" s="101">
        <v>0.24737175709529449</v>
      </c>
      <c r="AU393" s="101">
        <v>-1.9297612625998648</v>
      </c>
      <c r="AV393" s="101">
        <v>0.10011059467640923</v>
      </c>
      <c r="AW393" s="101">
        <v>-0.22566578982165308</v>
      </c>
      <c r="AX393" s="101">
        <v>-0.25874085362175803</v>
      </c>
      <c r="AY393" s="101">
        <v>0.49216760722407105</v>
      </c>
      <c r="AZ393" s="101">
        <v>-0.59772960704445544</v>
      </c>
      <c r="BA393" s="101">
        <v>0.19954771225020262</v>
      </c>
      <c r="BB393" s="101">
        <v>2.0044040870686508E-2</v>
      </c>
    </row>
    <row r="394" spans="2:54">
      <c r="B394">
        <v>14.3337</v>
      </c>
      <c r="C394">
        <v>18.100000000000001</v>
      </c>
      <c r="D394">
        <v>0.7</v>
      </c>
      <c r="E394">
        <v>4.88</v>
      </c>
      <c r="F394">
        <v>100</v>
      </c>
      <c r="G394">
        <v>1.5894999999999999</v>
      </c>
      <c r="H394">
        <v>24</v>
      </c>
      <c r="I394">
        <v>666</v>
      </c>
      <c r="J394">
        <v>20.2</v>
      </c>
      <c r="K394">
        <v>372.92</v>
      </c>
      <c r="L394">
        <v>30.62</v>
      </c>
      <c r="M394">
        <v>10.199999999999999</v>
      </c>
      <c r="O394" s="101">
        <f t="shared" si="102"/>
        <v>1.2475415867830333</v>
      </c>
      <c r="P394" s="101">
        <f t="shared" si="103"/>
        <v>1.0159990707250266</v>
      </c>
      <c r="Q394" s="101">
        <f t="shared" si="104"/>
        <v>1.2551920376464718</v>
      </c>
      <c r="R394" s="101">
        <f t="shared" si="105"/>
        <v>-2.0011245666959168</v>
      </c>
      <c r="S394" s="101">
        <f t="shared" si="106"/>
        <v>1.1174944851594601</v>
      </c>
      <c r="T394" s="101">
        <f t="shared" si="107"/>
        <v>-1.0484469279448552</v>
      </c>
      <c r="U394" s="101">
        <f t="shared" si="108"/>
        <v>1.6612452539705709</v>
      </c>
      <c r="V394" s="101">
        <f t="shared" si="109"/>
        <v>1.5309264594697112</v>
      </c>
      <c r="W394" s="101">
        <f t="shared" si="110"/>
        <v>0.80657583495378138</v>
      </c>
      <c r="X394" s="101">
        <f t="shared" si="111"/>
        <v>0.17812661918386366</v>
      </c>
      <c r="Y394" s="101">
        <f t="shared" si="112"/>
        <v>2.5184935011213505</v>
      </c>
      <c r="Z394" s="101">
        <f t="shared" si="113"/>
        <v>-1.3422715310418531</v>
      </c>
      <c r="AQ394" s="101">
        <v>4.5152689107006392</v>
      </c>
      <c r="AR394" s="101">
        <v>-1.1768061887021963</v>
      </c>
      <c r="AS394" s="101">
        <v>-0.45117806667251248</v>
      </c>
      <c r="AT394" s="101">
        <v>0.29258201215113344</v>
      </c>
      <c r="AU394" s="101">
        <v>-1.1530190474807975</v>
      </c>
      <c r="AV394" s="101">
        <v>-0.24922576896710988</v>
      </c>
      <c r="AW394" s="101">
        <v>-0.40166261397619896</v>
      </c>
      <c r="AX394" s="101">
        <v>-0.71277424599739492</v>
      </c>
      <c r="AY394" s="101">
        <v>0.45385011038119072</v>
      </c>
      <c r="AZ394" s="101">
        <v>-0.28088343683714512</v>
      </c>
      <c r="BA394" s="101">
        <v>0.19819766978290043</v>
      </c>
      <c r="BB394" s="101">
        <v>-1.1273874766348224E-2</v>
      </c>
    </row>
    <row r="395" spans="2:54">
      <c r="B395">
        <v>8.1517400000000002</v>
      </c>
      <c r="C395">
        <v>18.100000000000001</v>
      </c>
      <c r="D395">
        <v>0.7</v>
      </c>
      <c r="E395">
        <v>5.39</v>
      </c>
      <c r="F395">
        <v>98.9</v>
      </c>
      <c r="G395">
        <v>1.7281</v>
      </c>
      <c r="H395">
        <v>24</v>
      </c>
      <c r="I395">
        <v>666</v>
      </c>
      <c r="J395">
        <v>20.2</v>
      </c>
      <c r="K395">
        <v>396.9</v>
      </c>
      <c r="L395">
        <v>20.85</v>
      </c>
      <c r="M395">
        <v>11.5</v>
      </c>
      <c r="O395" s="101">
        <f t="shared" si="102"/>
        <v>0.52812691771853448</v>
      </c>
      <c r="P395" s="101">
        <f t="shared" si="103"/>
        <v>1.0159990707250266</v>
      </c>
      <c r="Q395" s="101">
        <f t="shared" si="104"/>
        <v>1.2551920376464718</v>
      </c>
      <c r="R395" s="101">
        <f t="shared" si="105"/>
        <v>-1.2745486418824534</v>
      </c>
      <c r="S395" s="101">
        <f t="shared" si="106"/>
        <v>1.078377856093562</v>
      </c>
      <c r="T395" s="101">
        <f t="shared" si="107"/>
        <v>-0.98256076531447045</v>
      </c>
      <c r="U395" s="101">
        <f t="shared" si="108"/>
        <v>1.6612452539705709</v>
      </c>
      <c r="V395" s="101">
        <f t="shared" si="109"/>
        <v>1.5309264594697112</v>
      </c>
      <c r="W395" s="101">
        <f t="shared" si="110"/>
        <v>0.80657583495378138</v>
      </c>
      <c r="X395" s="101">
        <f t="shared" si="111"/>
        <v>0.44105193260702835</v>
      </c>
      <c r="Y395" s="101">
        <f t="shared" si="112"/>
        <v>1.1489956375650452</v>
      </c>
      <c r="Z395" s="101">
        <f t="shared" si="113"/>
        <v>-1.2007828102676512</v>
      </c>
      <c r="AQ395" s="101">
        <v>3.6118416616388846</v>
      </c>
      <c r="AR395" s="101">
        <v>-0.44785188110520047</v>
      </c>
      <c r="AS395" s="101">
        <v>-0.34003121060651698</v>
      </c>
      <c r="AT395" s="101">
        <v>0.92943988079628881</v>
      </c>
      <c r="AU395" s="101">
        <v>-0.5798827420640863</v>
      </c>
      <c r="AV395" s="101">
        <v>-0.6069444937092231</v>
      </c>
      <c r="AW395" s="101">
        <v>-0.39967544638672542</v>
      </c>
      <c r="AX395" s="101">
        <v>-0.38211759034471826</v>
      </c>
      <c r="AY395" s="101">
        <v>-0.25332640664717254</v>
      </c>
      <c r="AZ395" s="101">
        <v>-7.9836043159825371E-2</v>
      </c>
      <c r="BA395" s="101">
        <v>-0.16165980152435694</v>
      </c>
      <c r="BB395" s="101">
        <v>-0.13258259396152927</v>
      </c>
    </row>
    <row r="396" spans="2:54">
      <c r="B396">
        <v>6.9621500000000003</v>
      </c>
      <c r="C396">
        <v>18.100000000000001</v>
      </c>
      <c r="D396">
        <v>0.7</v>
      </c>
      <c r="E396">
        <v>5.7130000000000001</v>
      </c>
      <c r="F396">
        <v>97</v>
      </c>
      <c r="G396">
        <v>1.9265000000000001</v>
      </c>
      <c r="H396">
        <v>24</v>
      </c>
      <c r="I396">
        <v>666</v>
      </c>
      <c r="J396">
        <v>20.2</v>
      </c>
      <c r="K396">
        <v>394.43</v>
      </c>
      <c r="L396">
        <v>17.11</v>
      </c>
      <c r="M396">
        <v>15.1</v>
      </c>
      <c r="O396" s="101">
        <f t="shared" si="102"/>
        <v>0.38969048393823885</v>
      </c>
      <c r="P396" s="101">
        <f t="shared" si="103"/>
        <v>1.0159990707250266</v>
      </c>
      <c r="Q396" s="101">
        <f t="shared" si="104"/>
        <v>1.2551920376464718</v>
      </c>
      <c r="R396" s="101">
        <f t="shared" si="105"/>
        <v>-0.81438388950059237</v>
      </c>
      <c r="S396" s="101">
        <f t="shared" si="106"/>
        <v>1.0108127695251921</v>
      </c>
      <c r="T396" s="101">
        <f t="shared" si="107"/>
        <v>-0.88824752818699326</v>
      </c>
      <c r="U396" s="101">
        <f t="shared" si="108"/>
        <v>1.6612452539705709</v>
      </c>
      <c r="V396" s="101">
        <f t="shared" si="109"/>
        <v>1.5309264594697112</v>
      </c>
      <c r="W396" s="101">
        <f t="shared" si="110"/>
        <v>0.80657583495378138</v>
      </c>
      <c r="X396" s="101">
        <f t="shared" si="111"/>
        <v>0.41396996746294118</v>
      </c>
      <c r="Y396" s="101">
        <f t="shared" si="112"/>
        <v>0.62474568774922279</v>
      </c>
      <c r="Z396" s="101">
        <f t="shared" si="113"/>
        <v>-0.80896789120063084</v>
      </c>
      <c r="AQ396" s="101">
        <v>3.1604539193035674</v>
      </c>
      <c r="AR396" s="101">
        <v>7.9794814333325914E-2</v>
      </c>
      <c r="AS396" s="101">
        <v>-9.7573060786435628E-2</v>
      </c>
      <c r="AT396" s="101">
        <v>1.119989293330945</v>
      </c>
      <c r="AU396" s="101">
        <v>-0.36110200596547865</v>
      </c>
      <c r="AV396" s="101">
        <v>-0.67155691392265138</v>
      </c>
      <c r="AW396" s="101">
        <v>-0.34132475209421431</v>
      </c>
      <c r="AX396" s="101">
        <v>-0.28158942624715033</v>
      </c>
      <c r="AY396" s="101">
        <v>-0.37323940337278416</v>
      </c>
      <c r="AZ396" s="101">
        <v>3.39862828391857E-2</v>
      </c>
      <c r="BA396" s="101">
        <v>-0.10415214574558068</v>
      </c>
      <c r="BB396" s="101">
        <v>-0.12840949948865707</v>
      </c>
    </row>
    <row r="397" spans="2:54">
      <c r="B397">
        <v>5.29305</v>
      </c>
      <c r="C397">
        <v>18.100000000000001</v>
      </c>
      <c r="D397">
        <v>0.7</v>
      </c>
      <c r="E397">
        <v>6.0510000000000002</v>
      </c>
      <c r="F397">
        <v>82.5</v>
      </c>
      <c r="G397">
        <v>2.1678000000000002</v>
      </c>
      <c r="H397">
        <v>24</v>
      </c>
      <c r="I397">
        <v>666</v>
      </c>
      <c r="J397">
        <v>20.2</v>
      </c>
      <c r="K397">
        <v>378.38</v>
      </c>
      <c r="L397">
        <v>18.760000000000002</v>
      </c>
      <c r="M397">
        <v>23.2</v>
      </c>
      <c r="O397" s="101">
        <f t="shared" si="102"/>
        <v>0.19545192138921635</v>
      </c>
      <c r="P397" s="101">
        <f t="shared" si="103"/>
        <v>1.0159990707250266</v>
      </c>
      <c r="Q397" s="101">
        <f t="shared" si="104"/>
        <v>1.2551920376464718</v>
      </c>
      <c r="R397" s="101">
        <f t="shared" si="105"/>
        <v>-0.33284925697715945</v>
      </c>
      <c r="S397" s="101">
        <f t="shared" si="106"/>
        <v>0.49518447729289561</v>
      </c>
      <c r="T397" s="101">
        <f t="shared" si="107"/>
        <v>-0.77354095500725417</v>
      </c>
      <c r="U397" s="101">
        <f t="shared" si="108"/>
        <v>1.6612452539705709</v>
      </c>
      <c r="V397" s="101">
        <f t="shared" si="109"/>
        <v>1.5309264594697112</v>
      </c>
      <c r="W397" s="101">
        <f t="shared" si="110"/>
        <v>0.80657583495378138</v>
      </c>
      <c r="X397" s="101">
        <f t="shared" si="111"/>
        <v>0.23799201581816207</v>
      </c>
      <c r="Y397" s="101">
        <f t="shared" si="112"/>
        <v>0.85603243031502707</v>
      </c>
      <c r="Z397" s="101">
        <f t="shared" si="113"/>
        <v>7.261567670016511E-2</v>
      </c>
      <c r="AQ397" s="101">
        <v>2.6895697375602579</v>
      </c>
      <c r="AR397" s="101">
        <v>0.57607488939735207</v>
      </c>
      <c r="AS397" s="101">
        <v>0.22809561954661828</v>
      </c>
      <c r="AT397" s="101">
        <v>1.1105031118012703</v>
      </c>
      <c r="AU397" s="101">
        <v>-0.1456631626245532</v>
      </c>
      <c r="AV397" s="101">
        <v>-0.85247605863487574</v>
      </c>
      <c r="AW397" s="101">
        <v>-0.31945302099872513</v>
      </c>
      <c r="AX397" s="101">
        <v>-0.38576361251558805</v>
      </c>
      <c r="AY397" s="101">
        <v>0.23306717934554316</v>
      </c>
      <c r="AZ397" s="101">
        <v>-0.27799418185235086</v>
      </c>
      <c r="BA397" s="101">
        <v>0.40960219735038905</v>
      </c>
      <c r="BB397" s="101">
        <v>1.0144670655565843E-3</v>
      </c>
    </row>
    <row r="398" spans="2:54">
      <c r="B398">
        <v>11.5779</v>
      </c>
      <c r="C398">
        <v>18.100000000000001</v>
      </c>
      <c r="D398">
        <v>0.7</v>
      </c>
      <c r="E398">
        <v>5.0359999999999996</v>
      </c>
      <c r="F398">
        <v>97</v>
      </c>
      <c r="G398">
        <v>1.77</v>
      </c>
      <c r="H398">
        <v>24</v>
      </c>
      <c r="I398">
        <v>666</v>
      </c>
      <c r="J398">
        <v>20.2</v>
      </c>
      <c r="K398">
        <v>396.9</v>
      </c>
      <c r="L398">
        <v>25.68</v>
      </c>
      <c r="M398">
        <v>9.6999999999999993</v>
      </c>
      <c r="O398" s="101">
        <f t="shared" si="102"/>
        <v>0.92684023235693769</v>
      </c>
      <c r="P398" s="101">
        <f t="shared" si="103"/>
        <v>1.0159990707250266</v>
      </c>
      <c r="Q398" s="101">
        <f t="shared" si="104"/>
        <v>1.2551920376464718</v>
      </c>
      <c r="R398" s="101">
        <f t="shared" si="105"/>
        <v>-1.7788778132235636</v>
      </c>
      <c r="S398" s="101">
        <f t="shared" si="106"/>
        <v>1.0108127695251921</v>
      </c>
      <c r="T398" s="101">
        <f t="shared" si="107"/>
        <v>-0.9626427984009559</v>
      </c>
      <c r="U398" s="101">
        <f t="shared" si="108"/>
        <v>1.6612452539705709</v>
      </c>
      <c r="V398" s="101">
        <f t="shared" si="109"/>
        <v>1.5309264594697112</v>
      </c>
      <c r="W398" s="101">
        <f t="shared" si="110"/>
        <v>0.80657583495378138</v>
      </c>
      <c r="X398" s="101">
        <f t="shared" si="111"/>
        <v>0.44105193260702835</v>
      </c>
      <c r="Y398" s="101">
        <f t="shared" si="112"/>
        <v>1.8260350112576711</v>
      </c>
      <c r="Z398" s="101">
        <f t="shared" si="113"/>
        <v>-1.3966902698011616</v>
      </c>
      <c r="AQ398" s="101">
        <v>4.0658939078470624</v>
      </c>
      <c r="AR398" s="101">
        <v>-0.99623387771297178</v>
      </c>
      <c r="AS398" s="101">
        <v>-0.41696196521212631</v>
      </c>
      <c r="AT398" s="101">
        <v>0.65630711276258469</v>
      </c>
      <c r="AU398" s="101">
        <v>-0.99376385821808555</v>
      </c>
      <c r="AV398" s="101">
        <v>-0.50246230433444794</v>
      </c>
      <c r="AW398" s="101">
        <v>-0.36915121095327541</v>
      </c>
      <c r="AX398" s="101">
        <v>-0.51064622655031788</v>
      </c>
      <c r="AY398" s="101">
        <v>4.0718811778141961E-2</v>
      </c>
      <c r="AZ398" s="101">
        <v>-0.19630290277728776</v>
      </c>
      <c r="BA398" s="101">
        <v>-9.3556902208702386E-4</v>
      </c>
      <c r="BB398" s="101">
        <v>-8.661432048027165E-2</v>
      </c>
    </row>
    <row r="399" spans="2:54">
      <c r="B399">
        <v>8.6447599999999998</v>
      </c>
      <c r="C399">
        <v>18.100000000000001</v>
      </c>
      <c r="D399">
        <v>0.69299999999999995</v>
      </c>
      <c r="E399">
        <v>6.1929999999999996</v>
      </c>
      <c r="F399">
        <v>92.6</v>
      </c>
      <c r="G399">
        <v>1.7911999999999999</v>
      </c>
      <c r="H399">
        <v>24</v>
      </c>
      <c r="I399">
        <v>666</v>
      </c>
      <c r="J399">
        <v>20.2</v>
      </c>
      <c r="K399">
        <v>396.9</v>
      </c>
      <c r="L399">
        <v>15.17</v>
      </c>
      <c r="M399">
        <v>13.8</v>
      </c>
      <c r="O399" s="101">
        <f t="shared" si="102"/>
        <v>0.58550124885981969</v>
      </c>
      <c r="P399" s="101">
        <f t="shared" si="103"/>
        <v>1.0159990707250266</v>
      </c>
      <c r="Q399" s="101">
        <f t="shared" si="104"/>
        <v>1.1947237272056543</v>
      </c>
      <c r="R399" s="101">
        <f t="shared" si="105"/>
        <v>-0.13054772497027425</v>
      </c>
      <c r="S399" s="101">
        <f t="shared" si="106"/>
        <v>0.85434625326159841</v>
      </c>
      <c r="T399" s="101">
        <f t="shared" si="107"/>
        <v>-0.95256497265951179</v>
      </c>
      <c r="U399" s="101">
        <f t="shared" si="108"/>
        <v>1.6612452539705709</v>
      </c>
      <c r="V399" s="101">
        <f t="shared" si="109"/>
        <v>1.5309264594697112</v>
      </c>
      <c r="W399" s="101">
        <f t="shared" si="110"/>
        <v>0.80657583495378138</v>
      </c>
      <c r="X399" s="101">
        <f t="shared" si="111"/>
        <v>0.44105193260702835</v>
      </c>
      <c r="Y399" s="101">
        <f t="shared" si="112"/>
        <v>0.35280854800518674</v>
      </c>
      <c r="Z399" s="101">
        <f t="shared" si="113"/>
        <v>-0.95045661197483255</v>
      </c>
      <c r="AQ399" s="101">
        <v>2.9662748938224364</v>
      </c>
      <c r="AR399" s="101">
        <v>0.43503173995592392</v>
      </c>
      <c r="AS399" s="101">
        <v>0.23428747425800817</v>
      </c>
      <c r="AT399" s="101">
        <v>1.2077203750487691</v>
      </c>
      <c r="AU399" s="101">
        <v>-0.36515777355706935</v>
      </c>
      <c r="AV399" s="101">
        <v>-0.46304699447513797</v>
      </c>
      <c r="AW399" s="101">
        <v>-0.41349724731949378</v>
      </c>
      <c r="AX399" s="101">
        <v>0.17433277769907329</v>
      </c>
      <c r="AY399" s="101">
        <v>-0.48498803184119565</v>
      </c>
      <c r="AZ399" s="101">
        <v>-0.16402966623169596</v>
      </c>
      <c r="BA399" s="101">
        <v>-0.30943490750104419</v>
      </c>
      <c r="BB399" s="101">
        <v>-0.15701379203466193</v>
      </c>
    </row>
    <row r="400" spans="2:54">
      <c r="B400">
        <v>13.3598</v>
      </c>
      <c r="C400">
        <v>18.100000000000001</v>
      </c>
      <c r="D400">
        <v>0.69299999999999995</v>
      </c>
      <c r="E400">
        <v>5.8869999999999996</v>
      </c>
      <c r="F400">
        <v>94.7</v>
      </c>
      <c r="G400">
        <v>1.7821</v>
      </c>
      <c r="H400">
        <v>24</v>
      </c>
      <c r="I400">
        <v>666</v>
      </c>
      <c r="J400">
        <v>20.2</v>
      </c>
      <c r="K400">
        <v>396.9</v>
      </c>
      <c r="L400">
        <v>16.350000000000001</v>
      </c>
      <c r="M400">
        <v>12.7</v>
      </c>
      <c r="O400" s="101">
        <f t="shared" si="102"/>
        <v>1.134205695544346</v>
      </c>
      <c r="P400" s="101">
        <f t="shared" si="103"/>
        <v>1.0159990707250266</v>
      </c>
      <c r="Q400" s="101">
        <f t="shared" si="104"/>
        <v>1.1947237272056543</v>
      </c>
      <c r="R400" s="101">
        <f t="shared" si="105"/>
        <v>-0.56649327985835252</v>
      </c>
      <c r="S400" s="101">
        <f t="shared" si="106"/>
        <v>0.92902345420558641</v>
      </c>
      <c r="T400" s="101">
        <f t="shared" si="107"/>
        <v>-0.95689083182211288</v>
      </c>
      <c r="U400" s="101">
        <f t="shared" si="108"/>
        <v>1.6612452539705709</v>
      </c>
      <c r="V400" s="101">
        <f t="shared" si="109"/>
        <v>1.5309264594697112</v>
      </c>
      <c r="W400" s="101">
        <f t="shared" si="110"/>
        <v>0.80657583495378138</v>
      </c>
      <c r="X400" s="101">
        <f t="shared" si="111"/>
        <v>0.44105193260702835</v>
      </c>
      <c r="Y400" s="101">
        <f t="shared" si="112"/>
        <v>0.51821361238558006</v>
      </c>
      <c r="Z400" s="101">
        <f t="shared" si="113"/>
        <v>-1.0701778372453112</v>
      </c>
      <c r="AQ400" s="101">
        <v>3.3083472837490921</v>
      </c>
      <c r="AR400" s="101">
        <v>0.13553473050766074</v>
      </c>
      <c r="AS400" s="101">
        <v>0.27611735433785478</v>
      </c>
      <c r="AT400" s="101">
        <v>1.0418296435256544</v>
      </c>
      <c r="AU400" s="101">
        <v>-0.79656036995224877</v>
      </c>
      <c r="AV400" s="101">
        <v>-0.28224199042111831</v>
      </c>
      <c r="AW400" s="101">
        <v>-0.18336694499586459</v>
      </c>
      <c r="AX400" s="101">
        <v>8.3292173541687775E-2</v>
      </c>
      <c r="AY400" s="101">
        <v>-0.49519190263366264</v>
      </c>
      <c r="AZ400" s="101">
        <v>-2.7556689913557031E-2</v>
      </c>
      <c r="BA400" s="101">
        <v>-0.2539175496833489</v>
      </c>
      <c r="BB400" s="101">
        <v>-0.13307883299481649</v>
      </c>
    </row>
    <row r="401" spans="2:54">
      <c r="B401">
        <v>8.7167499999999993</v>
      </c>
      <c r="C401">
        <v>18.100000000000001</v>
      </c>
      <c r="D401">
        <v>0.69299999999999995</v>
      </c>
      <c r="E401">
        <v>6.4710000000000001</v>
      </c>
      <c r="F401">
        <v>98.8</v>
      </c>
      <c r="G401">
        <v>1.7257</v>
      </c>
      <c r="H401">
        <v>24</v>
      </c>
      <c r="I401">
        <v>666</v>
      </c>
      <c r="J401">
        <v>20.2</v>
      </c>
      <c r="K401">
        <v>391.98</v>
      </c>
      <c r="L401">
        <v>17.12</v>
      </c>
      <c r="M401">
        <v>13.1</v>
      </c>
      <c r="O401" s="101">
        <f t="shared" si="102"/>
        <v>0.59387895787539935</v>
      </c>
      <c r="P401" s="101">
        <f t="shared" si="103"/>
        <v>1.0159990707250266</v>
      </c>
      <c r="Q401" s="101">
        <f t="shared" si="104"/>
        <v>1.1947237272056543</v>
      </c>
      <c r="R401" s="101">
        <f t="shared" si="105"/>
        <v>0.26550738698686943</v>
      </c>
      <c r="S401" s="101">
        <f t="shared" si="106"/>
        <v>1.0748217989057529</v>
      </c>
      <c r="T401" s="101">
        <f t="shared" si="107"/>
        <v>-0.98370165124746423</v>
      </c>
      <c r="U401" s="101">
        <f t="shared" si="108"/>
        <v>1.6612452539705709</v>
      </c>
      <c r="V401" s="101">
        <f t="shared" si="109"/>
        <v>1.5309264594697112</v>
      </c>
      <c r="W401" s="101">
        <f t="shared" si="110"/>
        <v>0.80657583495378138</v>
      </c>
      <c r="X401" s="101">
        <f t="shared" si="111"/>
        <v>0.38710728948601247</v>
      </c>
      <c r="Y401" s="101">
        <f t="shared" si="112"/>
        <v>0.62614742558295522</v>
      </c>
      <c r="Z401" s="101">
        <f t="shared" si="113"/>
        <v>-1.0266428462378645</v>
      </c>
      <c r="AQ401" s="101">
        <v>3.0816675095185508</v>
      </c>
      <c r="AR401" s="101">
        <v>0.61348930619234632</v>
      </c>
      <c r="AS401" s="101">
        <v>0.20795390235121133</v>
      </c>
      <c r="AT401" s="101">
        <v>1.1548838919508753</v>
      </c>
      <c r="AU401" s="101">
        <v>-0.29059361592321264</v>
      </c>
      <c r="AV401" s="101">
        <v>-0.20308430640448311</v>
      </c>
      <c r="AW401" s="101">
        <v>-0.75807526016595173</v>
      </c>
      <c r="AX401" s="101">
        <v>0.31819856130220048</v>
      </c>
      <c r="AY401" s="101">
        <v>-0.33625758435524983</v>
      </c>
      <c r="AZ401" s="101">
        <v>-0.24250819806373841</v>
      </c>
      <c r="BA401" s="101">
        <v>-0.32989742560512947</v>
      </c>
      <c r="BB401" s="101">
        <v>-0.15260110485855616</v>
      </c>
    </row>
    <row r="402" spans="2:54">
      <c r="B402">
        <v>5.8720499999999998</v>
      </c>
      <c r="C402">
        <v>18.100000000000001</v>
      </c>
      <c r="D402">
        <v>0.69299999999999995</v>
      </c>
      <c r="E402">
        <v>6.4050000000000002</v>
      </c>
      <c r="F402">
        <v>96</v>
      </c>
      <c r="G402">
        <v>1.6768000000000001</v>
      </c>
      <c r="H402">
        <v>24</v>
      </c>
      <c r="I402">
        <v>666</v>
      </c>
      <c r="J402">
        <v>20.2</v>
      </c>
      <c r="K402">
        <v>396.9</v>
      </c>
      <c r="L402">
        <v>19.37</v>
      </c>
      <c r="M402">
        <v>12.5</v>
      </c>
      <c r="O402" s="101">
        <f t="shared" si="102"/>
        <v>0.26283202307029235</v>
      </c>
      <c r="P402" s="101">
        <f t="shared" si="103"/>
        <v>1.0159990707250266</v>
      </c>
      <c r="Q402" s="101">
        <f t="shared" si="104"/>
        <v>1.1947237272056543</v>
      </c>
      <c r="R402" s="101">
        <f t="shared" si="105"/>
        <v>0.1714799143639508</v>
      </c>
      <c r="S402" s="101">
        <f t="shared" si="106"/>
        <v>0.97525219764710258</v>
      </c>
      <c r="T402" s="101">
        <f t="shared" si="107"/>
        <v>-1.0069472021322103</v>
      </c>
      <c r="U402" s="101">
        <f t="shared" si="108"/>
        <v>1.6612452539705709</v>
      </c>
      <c r="V402" s="101">
        <f t="shared" si="109"/>
        <v>1.5309264594697112</v>
      </c>
      <c r="W402" s="101">
        <f t="shared" si="110"/>
        <v>0.80657583495378138</v>
      </c>
      <c r="X402" s="101">
        <f t="shared" si="111"/>
        <v>0.44105193260702835</v>
      </c>
      <c r="Y402" s="101">
        <f t="shared" si="112"/>
        <v>0.94153843817268779</v>
      </c>
      <c r="Z402" s="101">
        <f t="shared" si="113"/>
        <v>-1.0919453327490345</v>
      </c>
      <c r="AQ402" s="101">
        <v>3.1016873464102366</v>
      </c>
      <c r="AR402" s="101">
        <v>0.41762824292722234</v>
      </c>
      <c r="AS402" s="101">
        <v>1.5546390984209554E-3</v>
      </c>
      <c r="AT402" s="101">
        <v>1.1567804207811105</v>
      </c>
      <c r="AU402" s="101">
        <v>-0.16409365033002318</v>
      </c>
      <c r="AV402" s="101">
        <v>-0.37231086614606129</v>
      </c>
      <c r="AW402" s="101">
        <v>-0.92520665665394874</v>
      </c>
      <c r="AX402" s="101">
        <v>0.23752876966363726</v>
      </c>
      <c r="AY402" s="101">
        <v>-0.15117687266561319</v>
      </c>
      <c r="AZ402" s="101">
        <v>-0.44365107570198137</v>
      </c>
      <c r="BA402" s="101">
        <v>-0.31058215324575505</v>
      </c>
      <c r="BB402" s="101">
        <v>-0.15308235622083927</v>
      </c>
    </row>
    <row r="403" spans="2:54">
      <c r="B403">
        <v>7.6720199999999998</v>
      </c>
      <c r="C403">
        <v>18.100000000000001</v>
      </c>
      <c r="D403">
        <v>0.69299999999999995</v>
      </c>
      <c r="E403">
        <v>5.7469999999999999</v>
      </c>
      <c r="F403">
        <v>98.9</v>
      </c>
      <c r="G403">
        <v>1.6334</v>
      </c>
      <c r="H403">
        <v>24</v>
      </c>
      <c r="I403">
        <v>666</v>
      </c>
      <c r="J403">
        <v>20.2</v>
      </c>
      <c r="K403">
        <v>393.1</v>
      </c>
      <c r="L403">
        <v>19.920000000000002</v>
      </c>
      <c r="M403">
        <v>8.5</v>
      </c>
      <c r="O403" s="101">
        <f t="shared" si="102"/>
        <v>0.4723003505709597</v>
      </c>
      <c r="P403" s="101">
        <f t="shared" si="103"/>
        <v>1.0159990707250266</v>
      </c>
      <c r="Q403" s="101">
        <f t="shared" si="104"/>
        <v>1.1947237272056543</v>
      </c>
      <c r="R403" s="101">
        <f t="shared" si="105"/>
        <v>-0.7659454945130284</v>
      </c>
      <c r="S403" s="101">
        <f t="shared" si="106"/>
        <v>1.078377856093562</v>
      </c>
      <c r="T403" s="101">
        <f t="shared" si="107"/>
        <v>-1.0275782227538459</v>
      </c>
      <c r="U403" s="101">
        <f t="shared" si="108"/>
        <v>1.6612452539705709</v>
      </c>
      <c r="V403" s="101">
        <f t="shared" si="109"/>
        <v>1.5309264594697112</v>
      </c>
      <c r="W403" s="101">
        <f t="shared" si="110"/>
        <v>0.80657583495378138</v>
      </c>
      <c r="X403" s="101">
        <f t="shared" si="111"/>
        <v>0.3993873708468943</v>
      </c>
      <c r="Y403" s="101">
        <f t="shared" si="112"/>
        <v>1.0186340190279559</v>
      </c>
      <c r="Z403" s="101">
        <f t="shared" si="113"/>
        <v>-1.5272952428235016</v>
      </c>
      <c r="AQ403" s="101">
        <v>3.541616669513727</v>
      </c>
      <c r="AR403" s="101">
        <v>-0.29358379946914737</v>
      </c>
      <c r="AS403" s="101">
        <v>-0.21430766921439612</v>
      </c>
      <c r="AT403" s="101">
        <v>0.94371365872463753</v>
      </c>
      <c r="AU403" s="101">
        <v>-0.41461078984571753</v>
      </c>
      <c r="AV403" s="101">
        <v>-0.46617213701303117</v>
      </c>
      <c r="AW403" s="101">
        <v>-0.62905150329352177</v>
      </c>
      <c r="AX403" s="101">
        <v>-1.753442024597851E-2</v>
      </c>
      <c r="AY403" s="101">
        <v>-0.38031461958704554</v>
      </c>
      <c r="AZ403" s="101">
        <v>-0.22858776165297934</v>
      </c>
      <c r="BA403" s="101">
        <v>-0.43330865308763084</v>
      </c>
      <c r="BB403" s="101">
        <v>-0.19058909703558841</v>
      </c>
    </row>
    <row r="404" spans="2:54">
      <c r="B404">
        <v>38.351799999999997</v>
      </c>
      <c r="C404">
        <v>18.100000000000001</v>
      </c>
      <c r="D404">
        <v>0.69299999999999995</v>
      </c>
      <c r="E404">
        <v>5.4530000000000003</v>
      </c>
      <c r="F404">
        <v>100</v>
      </c>
      <c r="G404">
        <v>1.4896</v>
      </c>
      <c r="H404">
        <v>24</v>
      </c>
      <c r="I404">
        <v>666</v>
      </c>
      <c r="J404">
        <v>20.2</v>
      </c>
      <c r="K404">
        <v>396.9</v>
      </c>
      <c r="L404">
        <v>30.59</v>
      </c>
      <c r="M404">
        <v>5</v>
      </c>
      <c r="O404" s="101">
        <f t="shared" si="102"/>
        <v>4.042605524928546</v>
      </c>
      <c r="P404" s="101">
        <f t="shared" si="103"/>
        <v>1.0159990707250266</v>
      </c>
      <c r="Q404" s="101">
        <f t="shared" si="104"/>
        <v>1.1947237272056543</v>
      </c>
      <c r="R404" s="101">
        <f t="shared" si="105"/>
        <v>-1.184795145287848</v>
      </c>
      <c r="S404" s="101">
        <f t="shared" si="106"/>
        <v>1.1174944851594601</v>
      </c>
      <c r="T404" s="101">
        <f t="shared" si="107"/>
        <v>-1.0959363049057169</v>
      </c>
      <c r="U404" s="101">
        <f t="shared" si="108"/>
        <v>1.6612452539705709</v>
      </c>
      <c r="V404" s="101">
        <f t="shared" si="109"/>
        <v>1.5309264594697112</v>
      </c>
      <c r="W404" s="101">
        <f t="shared" si="110"/>
        <v>0.80657583495378138</v>
      </c>
      <c r="X404" s="101">
        <f t="shared" si="111"/>
        <v>0.44105193260702835</v>
      </c>
      <c r="Y404" s="101">
        <f t="shared" si="112"/>
        <v>2.514288287620154</v>
      </c>
      <c r="Z404" s="101">
        <f t="shared" si="113"/>
        <v>-1.9082264141386605</v>
      </c>
      <c r="AQ404" s="101">
        <v>5.1587968378906828</v>
      </c>
      <c r="AR404" s="101">
        <v>-0.89807406707712023</v>
      </c>
      <c r="AS404" s="101">
        <v>0.72951870598085744</v>
      </c>
      <c r="AT404" s="101">
        <v>6.2721568953311879E-2</v>
      </c>
      <c r="AU404" s="101">
        <v>-2.9468868087626494</v>
      </c>
      <c r="AV404" s="101">
        <v>1.2583451957035141</v>
      </c>
      <c r="AW404" s="101">
        <v>-4.1071292431803241E-2</v>
      </c>
      <c r="AX404" s="101">
        <v>0.40998859652875463</v>
      </c>
      <c r="AY404" s="101">
        <v>0.25735848352833346</v>
      </c>
      <c r="AZ404" s="101">
        <v>-0.31066363959425036</v>
      </c>
      <c r="BA404" s="101">
        <v>9.4435880358404889E-2</v>
      </c>
      <c r="BB404" s="101">
        <v>5.0557055768256087E-2</v>
      </c>
    </row>
    <row r="405" spans="2:54">
      <c r="B405">
        <v>9.9165500000000009</v>
      </c>
      <c r="C405">
        <v>18.100000000000001</v>
      </c>
      <c r="D405">
        <v>0.69299999999999995</v>
      </c>
      <c r="E405">
        <v>5.8520000000000003</v>
      </c>
      <c r="F405">
        <v>77.8</v>
      </c>
      <c r="G405">
        <v>1.5004</v>
      </c>
      <c r="H405">
        <v>24</v>
      </c>
      <c r="I405">
        <v>666</v>
      </c>
      <c r="J405">
        <v>20.2</v>
      </c>
      <c r="K405">
        <v>338.16</v>
      </c>
      <c r="L405">
        <v>29.97</v>
      </c>
      <c r="M405">
        <v>6.3</v>
      </c>
      <c r="O405" s="101">
        <f t="shared" si="102"/>
        <v>0.73350356236064129</v>
      </c>
      <c r="P405" s="101">
        <f t="shared" si="103"/>
        <v>1.0159990707250266</v>
      </c>
      <c r="Q405" s="101">
        <f t="shared" si="104"/>
        <v>1.1947237272056543</v>
      </c>
      <c r="R405" s="101">
        <f t="shared" si="105"/>
        <v>-0.61635633352202057</v>
      </c>
      <c r="S405" s="101">
        <f t="shared" si="106"/>
        <v>0.32804978946587526</v>
      </c>
      <c r="T405" s="101">
        <f t="shared" si="107"/>
        <v>-1.0908023182072455</v>
      </c>
      <c r="U405" s="101">
        <f t="shared" si="108"/>
        <v>1.6612452539705709</v>
      </c>
      <c r="V405" s="101">
        <f t="shared" si="109"/>
        <v>1.5309264594697112</v>
      </c>
      <c r="W405" s="101">
        <f t="shared" si="110"/>
        <v>0.80657583495378138</v>
      </c>
      <c r="X405" s="101">
        <f t="shared" si="111"/>
        <v>-0.20299447733778847</v>
      </c>
      <c r="Y405" s="101">
        <f t="shared" si="112"/>
        <v>2.4273805419287613</v>
      </c>
      <c r="Z405" s="101">
        <f t="shared" si="113"/>
        <v>-1.7667376933644585</v>
      </c>
      <c r="AQ405" s="101">
        <v>4.018047291823037</v>
      </c>
      <c r="AR405" s="101">
        <v>-0.76411369181927991</v>
      </c>
      <c r="AS405" s="101">
        <v>9.9136318537795365E-2</v>
      </c>
      <c r="AT405" s="101">
        <v>0.15707308716423177</v>
      </c>
      <c r="AU405" s="101">
        <v>-0.41857718507302416</v>
      </c>
      <c r="AV405" s="101">
        <v>-0.35875595935927468</v>
      </c>
      <c r="AW405" s="101">
        <v>-0.85086715939954394</v>
      </c>
      <c r="AX405" s="101">
        <v>0.14620963123426489</v>
      </c>
      <c r="AY405" s="101">
        <v>0.51575244469275183</v>
      </c>
      <c r="AZ405" s="101">
        <v>-1.1764029128389881</v>
      </c>
      <c r="BA405" s="101">
        <v>-0.12473472494764759</v>
      </c>
      <c r="BB405" s="101">
        <v>-7.7249112507884132E-2</v>
      </c>
    </row>
    <row r="406" spans="2:54">
      <c r="B406">
        <v>25.046099999999999</v>
      </c>
      <c r="C406">
        <v>18.100000000000001</v>
      </c>
      <c r="D406">
        <v>0.69299999999999995</v>
      </c>
      <c r="E406">
        <v>5.9870000000000001</v>
      </c>
      <c r="F406">
        <v>100</v>
      </c>
      <c r="G406">
        <v>1.5888</v>
      </c>
      <c r="H406">
        <v>24</v>
      </c>
      <c r="I406">
        <v>666</v>
      </c>
      <c r="J406">
        <v>20.2</v>
      </c>
      <c r="K406">
        <v>396.9</v>
      </c>
      <c r="L406">
        <v>26.77</v>
      </c>
      <c r="M406">
        <v>5.6</v>
      </c>
      <c r="O406" s="101">
        <f t="shared" si="102"/>
        <v>2.4941782037922886</v>
      </c>
      <c r="P406" s="101">
        <f t="shared" si="103"/>
        <v>1.0159990707250266</v>
      </c>
      <c r="Q406" s="101">
        <f t="shared" si="104"/>
        <v>1.1947237272056543</v>
      </c>
      <c r="R406" s="101">
        <f t="shared" si="105"/>
        <v>-0.42402741224786872</v>
      </c>
      <c r="S406" s="101">
        <f t="shared" si="106"/>
        <v>1.1174944851594601</v>
      </c>
      <c r="T406" s="101">
        <f t="shared" si="107"/>
        <v>-1.0487796863419783</v>
      </c>
      <c r="U406" s="101">
        <f t="shared" si="108"/>
        <v>1.6612452539705709</v>
      </c>
      <c r="V406" s="101">
        <f t="shared" si="109"/>
        <v>1.5309264594697112</v>
      </c>
      <c r="W406" s="101">
        <f t="shared" si="110"/>
        <v>0.80657583495378138</v>
      </c>
      <c r="X406" s="101">
        <f t="shared" si="111"/>
        <v>0.44105193260702835</v>
      </c>
      <c r="Y406" s="101">
        <f t="shared" si="112"/>
        <v>1.9788244351344748</v>
      </c>
      <c r="Z406" s="101">
        <f t="shared" si="113"/>
        <v>-1.8429239276274907</v>
      </c>
      <c r="AQ406" s="101">
        <v>4.3970785970033175</v>
      </c>
      <c r="AR406" s="101">
        <v>-0.395555790007871</v>
      </c>
      <c r="AS406" s="101">
        <v>0.42917345537242546</v>
      </c>
      <c r="AT406" s="101">
        <v>0.47180408699173049</v>
      </c>
      <c r="AU406" s="101">
        <v>-1.778283152012474</v>
      </c>
      <c r="AV406" s="101">
        <v>0.69824522281582413</v>
      </c>
      <c r="AW406" s="101">
        <v>-0.62208640240109636</v>
      </c>
      <c r="AX406" s="101">
        <v>0.5356287675770276</v>
      </c>
      <c r="AY406" s="101">
        <v>6.2819403155214171E-2</v>
      </c>
      <c r="AZ406" s="101">
        <v>-0.45677673808866243</v>
      </c>
      <c r="BA406" s="101">
        <v>-0.17924750378746546</v>
      </c>
      <c r="BB406" s="101">
        <v>-6.1254190995606528E-2</v>
      </c>
    </row>
    <row r="407" spans="2:54">
      <c r="B407">
        <v>14.2362</v>
      </c>
      <c r="C407">
        <v>18.100000000000001</v>
      </c>
      <c r="D407">
        <v>0.69299999999999995</v>
      </c>
      <c r="E407">
        <v>6.343</v>
      </c>
      <c r="F407">
        <v>100</v>
      </c>
      <c r="G407">
        <v>1.5741000000000001</v>
      </c>
      <c r="H407">
        <v>24</v>
      </c>
      <c r="I407">
        <v>666</v>
      </c>
      <c r="J407">
        <v>20.2</v>
      </c>
      <c r="K407">
        <v>396.9</v>
      </c>
      <c r="L407">
        <v>20.32</v>
      </c>
      <c r="M407">
        <v>7.2</v>
      </c>
      <c r="O407" s="101">
        <f t="shared" si="102"/>
        <v>1.2361951966035776</v>
      </c>
      <c r="P407" s="101">
        <f t="shared" si="103"/>
        <v>1.0159990707250266</v>
      </c>
      <c r="Q407" s="101">
        <f t="shared" si="104"/>
        <v>1.1947237272056543</v>
      </c>
      <c r="R407" s="101">
        <f t="shared" si="105"/>
        <v>8.3151076445450889E-2</v>
      </c>
      <c r="S407" s="101">
        <f t="shared" si="106"/>
        <v>1.1174944851594601</v>
      </c>
      <c r="T407" s="101">
        <f t="shared" si="107"/>
        <v>-1.0557676126815645</v>
      </c>
      <c r="U407" s="101">
        <f t="shared" si="108"/>
        <v>1.6612452539705709</v>
      </c>
      <c r="V407" s="101">
        <f t="shared" si="109"/>
        <v>1.5309264594697112</v>
      </c>
      <c r="W407" s="101">
        <f t="shared" si="110"/>
        <v>0.80657583495378138</v>
      </c>
      <c r="X407" s="101">
        <f t="shared" si="111"/>
        <v>0.44105193260702835</v>
      </c>
      <c r="Y407" s="101">
        <f t="shared" si="112"/>
        <v>1.0747035323772414</v>
      </c>
      <c r="Z407" s="101">
        <f t="shared" si="113"/>
        <v>-1.6687839635977035</v>
      </c>
      <c r="AQ407" s="101">
        <v>3.6299746577286793</v>
      </c>
      <c r="AR407" s="101">
        <v>0.14256211839211852</v>
      </c>
      <c r="AS407" s="101">
        <v>0.23998044898020826</v>
      </c>
      <c r="AT407" s="101">
        <v>0.9096168501130133</v>
      </c>
      <c r="AU407" s="101">
        <v>-0.79268298581363494</v>
      </c>
      <c r="AV407" s="101">
        <v>0.14984168797790784</v>
      </c>
      <c r="AW407" s="101">
        <v>-0.8136620602657143</v>
      </c>
      <c r="AX407" s="101">
        <v>0.56401272462687468</v>
      </c>
      <c r="AY407" s="101">
        <v>-0.34785633750942868</v>
      </c>
      <c r="AZ407" s="101">
        <v>-0.3959728610658334</v>
      </c>
      <c r="BA407" s="101">
        <v>-0.47687438247729486</v>
      </c>
      <c r="BB407" s="101">
        <v>-0.16835995115361807</v>
      </c>
    </row>
    <row r="408" spans="2:54">
      <c r="B408">
        <v>9.5957100000000004</v>
      </c>
      <c r="C408">
        <v>18.100000000000001</v>
      </c>
      <c r="D408">
        <v>0.69299999999999995</v>
      </c>
      <c r="E408">
        <v>6.4039999999999999</v>
      </c>
      <c r="F408">
        <v>100</v>
      </c>
      <c r="G408">
        <v>1.639</v>
      </c>
      <c r="H408">
        <v>24</v>
      </c>
      <c r="I408">
        <v>666</v>
      </c>
      <c r="J408">
        <v>20.2</v>
      </c>
      <c r="K408">
        <v>376.11</v>
      </c>
      <c r="L408">
        <v>20.309999999999999</v>
      </c>
      <c r="M408">
        <v>12.1</v>
      </c>
      <c r="O408" s="101">
        <f t="shared" si="102"/>
        <v>0.69616637441011198</v>
      </c>
      <c r="P408" s="101">
        <f t="shared" si="103"/>
        <v>1.0159990707250266</v>
      </c>
      <c r="Q408" s="101">
        <f t="shared" si="104"/>
        <v>1.1947237272056543</v>
      </c>
      <c r="R408" s="101">
        <f t="shared" si="105"/>
        <v>0.17005525568784549</v>
      </c>
      <c r="S408" s="101">
        <f t="shared" si="106"/>
        <v>1.1174944851594601</v>
      </c>
      <c r="T408" s="101">
        <f t="shared" si="107"/>
        <v>-1.0249161555768604</v>
      </c>
      <c r="U408" s="101">
        <f t="shared" si="108"/>
        <v>1.6612452539705709</v>
      </c>
      <c r="V408" s="101">
        <f t="shared" si="109"/>
        <v>1.5309264594697112</v>
      </c>
      <c r="W408" s="101">
        <f t="shared" si="110"/>
        <v>0.80657583495378138</v>
      </c>
      <c r="X408" s="101">
        <f t="shared" si="111"/>
        <v>0.21310292234566083</v>
      </c>
      <c r="Y408" s="101">
        <f t="shared" si="112"/>
        <v>1.073301794543509</v>
      </c>
      <c r="Z408" s="101">
        <f t="shared" si="113"/>
        <v>-1.1354803237564812</v>
      </c>
      <c r="AQ408" s="101">
        <v>3.3634660278451234</v>
      </c>
      <c r="AR408" s="101">
        <v>0.43767510108417784</v>
      </c>
      <c r="AS408" s="101">
        <v>0.16426115181498441</v>
      </c>
      <c r="AT408" s="101">
        <v>0.91383755083180507</v>
      </c>
      <c r="AU408" s="101">
        <v>-0.31603075045161777</v>
      </c>
      <c r="AV408" s="101">
        <v>-7.954969524723704E-2</v>
      </c>
      <c r="AW408" s="101">
        <v>-0.86238945295599712</v>
      </c>
      <c r="AX408" s="101">
        <v>0.26304655168420421</v>
      </c>
      <c r="AY408" s="101">
        <v>-0.11561998369423504</v>
      </c>
      <c r="AZ408" s="101">
        <v>-0.35294399167738055</v>
      </c>
      <c r="BA408" s="101">
        <v>-0.27103709093461248</v>
      </c>
      <c r="BB408" s="101">
        <v>-0.12695870834854842</v>
      </c>
    </row>
    <row r="409" spans="2:54">
      <c r="B409">
        <v>24.8017</v>
      </c>
      <c r="C409">
        <v>18.100000000000001</v>
      </c>
      <c r="D409">
        <v>0.69299999999999995</v>
      </c>
      <c r="E409">
        <v>5.3490000000000002</v>
      </c>
      <c r="F409">
        <v>96</v>
      </c>
      <c r="G409">
        <v>1.7028000000000001</v>
      </c>
      <c r="H409">
        <v>24</v>
      </c>
      <c r="I409">
        <v>666</v>
      </c>
      <c r="J409">
        <v>20.2</v>
      </c>
      <c r="K409">
        <v>396.9</v>
      </c>
      <c r="L409">
        <v>19.77</v>
      </c>
      <c r="M409">
        <v>8.3000000000000007</v>
      </c>
      <c r="O409" s="101">
        <f t="shared" si="102"/>
        <v>2.4657365857424529</v>
      </c>
      <c r="P409" s="101">
        <f t="shared" si="103"/>
        <v>1.0159990707250266</v>
      </c>
      <c r="Q409" s="101">
        <f t="shared" si="104"/>
        <v>1.1947237272056543</v>
      </c>
      <c r="R409" s="101">
        <f t="shared" si="105"/>
        <v>-1.3329596476027508</v>
      </c>
      <c r="S409" s="101">
        <f t="shared" si="106"/>
        <v>0.97525219764710258</v>
      </c>
      <c r="T409" s="101">
        <f t="shared" si="107"/>
        <v>-0.9945876045247789</v>
      </c>
      <c r="U409" s="101">
        <f t="shared" si="108"/>
        <v>1.6612452539705709</v>
      </c>
      <c r="V409" s="101">
        <f t="shared" si="109"/>
        <v>1.5309264594697112</v>
      </c>
      <c r="W409" s="101">
        <f t="shared" si="110"/>
        <v>0.80657583495378138</v>
      </c>
      <c r="X409" s="101">
        <f t="shared" si="111"/>
        <v>0.44105193260702835</v>
      </c>
      <c r="Y409" s="101">
        <f t="shared" si="112"/>
        <v>0.99760795152197335</v>
      </c>
      <c r="Z409" s="101">
        <f t="shared" si="113"/>
        <v>-1.5490627383272251</v>
      </c>
      <c r="AQ409" s="101">
        <v>4.1226281071430515</v>
      </c>
      <c r="AR409" s="101">
        <v>-0.56257138515400484</v>
      </c>
      <c r="AS409" s="101">
        <v>0.46510236036402014</v>
      </c>
      <c r="AT409" s="101">
        <v>0.61880596692643097</v>
      </c>
      <c r="AU409" s="101">
        <v>-1.8100103889997927</v>
      </c>
      <c r="AV409" s="101">
        <v>0.20760383657438267</v>
      </c>
      <c r="AW409" s="101">
        <v>0.2350312108928565</v>
      </c>
      <c r="AX409" s="101">
        <v>9.6376804116745096E-2</v>
      </c>
      <c r="AY409" s="101">
        <v>-0.49898450790867321</v>
      </c>
      <c r="AZ409" s="101">
        <v>7.8805859240820564E-2</v>
      </c>
      <c r="BA409" s="101">
        <v>-0.20300330176204595</v>
      </c>
      <c r="BB409" s="101">
        <v>-8.9426558477150003E-2</v>
      </c>
    </row>
    <row r="410" spans="2:54">
      <c r="B410">
        <v>41.529200000000003</v>
      </c>
      <c r="C410">
        <v>18.100000000000001</v>
      </c>
      <c r="D410">
        <v>0.69299999999999995</v>
      </c>
      <c r="E410">
        <v>5.5309999999999997</v>
      </c>
      <c r="F410">
        <v>85.4</v>
      </c>
      <c r="G410">
        <v>1.6073999999999999</v>
      </c>
      <c r="H410">
        <v>24</v>
      </c>
      <c r="I410">
        <v>666</v>
      </c>
      <c r="J410">
        <v>20.2</v>
      </c>
      <c r="K410">
        <v>329.46</v>
      </c>
      <c r="L410">
        <v>27.38</v>
      </c>
      <c r="M410">
        <v>8.5</v>
      </c>
      <c r="O410" s="101">
        <f t="shared" si="102"/>
        <v>4.4123698342229352</v>
      </c>
      <c r="P410" s="101">
        <f t="shared" si="103"/>
        <v>1.0159990707250266</v>
      </c>
      <c r="Q410" s="101">
        <f t="shared" si="104"/>
        <v>1.1947237272056543</v>
      </c>
      <c r="R410" s="101">
        <f t="shared" si="105"/>
        <v>-1.0736717685516721</v>
      </c>
      <c r="S410" s="101">
        <f t="shared" si="106"/>
        <v>0.5983101357393551</v>
      </c>
      <c r="T410" s="101">
        <f t="shared" si="107"/>
        <v>-1.0399378203612772</v>
      </c>
      <c r="U410" s="101">
        <f t="shared" si="108"/>
        <v>1.6612452539705709</v>
      </c>
      <c r="V410" s="101">
        <f t="shared" si="109"/>
        <v>1.5309264594697112</v>
      </c>
      <c r="W410" s="101">
        <f t="shared" si="110"/>
        <v>0.80657583495378138</v>
      </c>
      <c r="X410" s="101">
        <f t="shared" si="111"/>
        <v>-0.29838439505178133</v>
      </c>
      <c r="Y410" s="101">
        <f t="shared" si="112"/>
        <v>2.0643304429921354</v>
      </c>
      <c r="Z410" s="101">
        <f t="shared" si="113"/>
        <v>-1.5272952428235016</v>
      </c>
      <c r="AQ410" s="101">
        <v>4.9625157765069172</v>
      </c>
      <c r="AR410" s="101">
        <v>-0.59609356141468794</v>
      </c>
      <c r="AS410" s="101">
        <v>1.46371286584028</v>
      </c>
      <c r="AT410" s="101">
        <v>-0.37698004333941582</v>
      </c>
      <c r="AU410" s="101">
        <v>-2.7403147316288234</v>
      </c>
      <c r="AV410" s="101">
        <v>1.2024672407540813</v>
      </c>
      <c r="AW410" s="101">
        <v>0.56610928588089671</v>
      </c>
      <c r="AX410" s="101">
        <v>0.43385772994760619</v>
      </c>
      <c r="AY410" s="101">
        <v>0.19946849559945734</v>
      </c>
      <c r="AZ410" s="101">
        <v>-0.31767603747288181</v>
      </c>
      <c r="BA410" s="101">
        <v>0.27329364734580208</v>
      </c>
      <c r="BB410" s="101">
        <v>0.11038207303440004</v>
      </c>
    </row>
    <row r="411" spans="2:54">
      <c r="B411">
        <v>67.9208</v>
      </c>
      <c r="C411">
        <v>18.100000000000001</v>
      </c>
      <c r="D411">
        <v>0.69299999999999995</v>
      </c>
      <c r="E411">
        <v>5.6829999999999998</v>
      </c>
      <c r="F411">
        <v>100</v>
      </c>
      <c r="G411">
        <v>1.4254</v>
      </c>
      <c r="H411">
        <v>24</v>
      </c>
      <c r="I411">
        <v>666</v>
      </c>
      <c r="J411">
        <v>20.2</v>
      </c>
      <c r="K411">
        <v>384.97</v>
      </c>
      <c r="L411">
        <v>22.98</v>
      </c>
      <c r="M411">
        <v>5</v>
      </c>
      <c r="O411" s="101">
        <f t="shared" si="102"/>
        <v>7.4836456399678166</v>
      </c>
      <c r="P411" s="101">
        <f t="shared" si="103"/>
        <v>1.0159990707250266</v>
      </c>
      <c r="Q411" s="101">
        <f t="shared" si="104"/>
        <v>1.1947237272056543</v>
      </c>
      <c r="R411" s="101">
        <f t="shared" si="105"/>
        <v>-0.85712364978373767</v>
      </c>
      <c r="S411" s="101">
        <f t="shared" si="106"/>
        <v>1.1174944851594601</v>
      </c>
      <c r="T411" s="101">
        <f t="shared" si="107"/>
        <v>-1.1264550036132979</v>
      </c>
      <c r="U411" s="101">
        <f t="shared" si="108"/>
        <v>1.6612452539705709</v>
      </c>
      <c r="V411" s="101">
        <f t="shared" si="109"/>
        <v>1.5309264594697112</v>
      </c>
      <c r="W411" s="101">
        <f t="shared" si="110"/>
        <v>0.80657583495378138</v>
      </c>
      <c r="X411" s="101">
        <f t="shared" si="111"/>
        <v>0.31024713739692217</v>
      </c>
      <c r="Y411" s="101">
        <f t="shared" si="112"/>
        <v>1.4475657961499921</v>
      </c>
      <c r="Z411" s="101">
        <f t="shared" si="113"/>
        <v>-1.9082264141386605</v>
      </c>
      <c r="AQ411" s="101">
        <v>5.6683497605733235</v>
      </c>
      <c r="AR411" s="101">
        <v>-0.27825917354267393</v>
      </c>
      <c r="AS411" s="101">
        <v>2.4008991170853742</v>
      </c>
      <c r="AT411" s="101">
        <v>-0.28899078052200217</v>
      </c>
      <c r="AU411" s="101">
        <v>-4.9006030164812433</v>
      </c>
      <c r="AV411" s="101">
        <v>2.7557701380769228</v>
      </c>
      <c r="AW411" s="101">
        <v>1.3300949481076667</v>
      </c>
      <c r="AX411" s="101">
        <v>1.227693354734412</v>
      </c>
      <c r="AY411" s="101">
        <v>-0.47072910659990996</v>
      </c>
      <c r="AZ411" s="101">
        <v>0.31611539409838985</v>
      </c>
      <c r="BA411" s="101">
        <v>0.12825526681889654</v>
      </c>
      <c r="BB411" s="101">
        <v>0.15496704972435865</v>
      </c>
    </row>
    <row r="412" spans="2:54">
      <c r="B412">
        <v>20.716200000000001</v>
      </c>
      <c r="C412">
        <v>18.100000000000001</v>
      </c>
      <c r="D412">
        <v>0.65900000000000003</v>
      </c>
      <c r="E412">
        <v>4.1379999999999999</v>
      </c>
      <c r="F412">
        <v>100</v>
      </c>
      <c r="G412">
        <v>1.1780999999999999</v>
      </c>
      <c r="H412">
        <v>24</v>
      </c>
      <c r="I412">
        <v>666</v>
      </c>
      <c r="J412">
        <v>20.2</v>
      </c>
      <c r="K412">
        <v>370.22</v>
      </c>
      <c r="L412">
        <v>23.34</v>
      </c>
      <c r="M412">
        <v>11.9</v>
      </c>
      <c r="O412" s="101">
        <f t="shared" si="102"/>
        <v>1.9902937439151023</v>
      </c>
      <c r="P412" s="101">
        <f t="shared" si="103"/>
        <v>1.0159990707250266</v>
      </c>
      <c r="Q412" s="101">
        <f t="shared" si="104"/>
        <v>0.90102050506454157</v>
      </c>
      <c r="R412" s="101">
        <f t="shared" si="105"/>
        <v>-3.0582213043657012</v>
      </c>
      <c r="S412" s="101">
        <f t="shared" si="106"/>
        <v>1.1174944851594601</v>
      </c>
      <c r="T412" s="101">
        <f t="shared" si="107"/>
        <v>-1.2440137916255212</v>
      </c>
      <c r="U412" s="101">
        <f t="shared" si="108"/>
        <v>1.6612452539705709</v>
      </c>
      <c r="V412" s="101">
        <f t="shared" si="109"/>
        <v>1.5309264594697112</v>
      </c>
      <c r="W412" s="101">
        <f t="shared" si="110"/>
        <v>0.80657583495378138</v>
      </c>
      <c r="X412" s="101">
        <f t="shared" si="111"/>
        <v>0.14852285161745235</v>
      </c>
      <c r="Y412" s="101">
        <f t="shared" si="112"/>
        <v>1.4980283581643492</v>
      </c>
      <c r="Z412" s="101">
        <f t="shared" si="113"/>
        <v>-1.1572478192602045</v>
      </c>
      <c r="AQ412" s="101">
        <v>4.49248032210944</v>
      </c>
      <c r="AR412" s="101">
        <v>-1.4074028689283153</v>
      </c>
      <c r="AS412" s="101">
        <v>-0.18216320784172652</v>
      </c>
      <c r="AT412" s="101">
        <v>0.34086362101641776</v>
      </c>
      <c r="AU412" s="101">
        <v>-1.6451702305230218</v>
      </c>
      <c r="AV412" s="101">
        <v>-0.25648360659321057</v>
      </c>
      <c r="AW412" s="101">
        <v>0.81380446876042645</v>
      </c>
      <c r="AX412" s="101">
        <v>-1.1674320292869012</v>
      </c>
      <c r="AY412" s="101">
        <v>-3.6573154995337698E-2</v>
      </c>
      <c r="AZ412" s="101">
        <v>0.42487653076190418</v>
      </c>
      <c r="BA412" s="101">
        <v>-0.1404263560621139</v>
      </c>
      <c r="BB412" s="101">
        <v>-4.6846706388251391E-2</v>
      </c>
    </row>
    <row r="413" spans="2:54">
      <c r="B413">
        <v>11.9511</v>
      </c>
      <c r="C413">
        <v>18.100000000000001</v>
      </c>
      <c r="D413">
        <v>0.65900000000000003</v>
      </c>
      <c r="E413">
        <v>5.6079999999999997</v>
      </c>
      <c r="F413">
        <v>100</v>
      </c>
      <c r="G413">
        <v>1.2851999999999999</v>
      </c>
      <c r="H413">
        <v>24</v>
      </c>
      <c r="I413">
        <v>666</v>
      </c>
      <c r="J413">
        <v>20.2</v>
      </c>
      <c r="K413">
        <v>332.09</v>
      </c>
      <c r="L413">
        <v>12.13</v>
      </c>
      <c r="M413">
        <v>27.9</v>
      </c>
      <c r="O413" s="101">
        <f t="shared" si="102"/>
        <v>0.97027072276691628</v>
      </c>
      <c r="P413" s="101">
        <f t="shared" si="103"/>
        <v>1.0159990707250266</v>
      </c>
      <c r="Q413" s="101">
        <f t="shared" si="104"/>
        <v>0.90102050506454157</v>
      </c>
      <c r="R413" s="101">
        <f t="shared" si="105"/>
        <v>-0.9639730504916002</v>
      </c>
      <c r="S413" s="101">
        <f t="shared" si="106"/>
        <v>1.1174944851594601</v>
      </c>
      <c r="T413" s="101">
        <f t="shared" si="107"/>
        <v>-1.1931017568656783</v>
      </c>
      <c r="U413" s="101">
        <f t="shared" si="108"/>
        <v>1.6612452539705709</v>
      </c>
      <c r="V413" s="101">
        <f t="shared" si="109"/>
        <v>1.5309264594697112</v>
      </c>
      <c r="W413" s="101">
        <f t="shared" si="110"/>
        <v>0.80657583495378138</v>
      </c>
      <c r="X413" s="101">
        <f t="shared" si="111"/>
        <v>-0.26954813257042509</v>
      </c>
      <c r="Y413" s="101">
        <f t="shared" si="112"/>
        <v>-7.3319753449385211E-2</v>
      </c>
      <c r="Z413" s="101">
        <f t="shared" si="113"/>
        <v>0.58415182103766394</v>
      </c>
      <c r="AQ413" s="101">
        <v>2.8778636987753954</v>
      </c>
      <c r="AR413" s="101">
        <v>0.97325772782914455</v>
      </c>
      <c r="AS413" s="101">
        <v>0.48262505571615727</v>
      </c>
      <c r="AT413" s="101">
        <v>0.94952466315797746</v>
      </c>
      <c r="AU413" s="101">
        <v>-0.28246790036778696</v>
      </c>
      <c r="AV413" s="101">
        <v>-0.38829099539351064</v>
      </c>
      <c r="AW413" s="101">
        <v>0.72146703537103229</v>
      </c>
      <c r="AX413" s="101">
        <v>-1.0009273716584504</v>
      </c>
      <c r="AY413" s="101">
        <v>-0.10493840070658436</v>
      </c>
      <c r="AZ413" s="101">
        <v>0.65289984065149098</v>
      </c>
      <c r="BA413" s="101">
        <v>7.8754226601155997E-2</v>
      </c>
      <c r="BB413" s="101">
        <v>8.5868428926976631E-3</v>
      </c>
    </row>
    <row r="414" spans="2:54">
      <c r="B414">
        <v>7.4038899999999996</v>
      </c>
      <c r="C414">
        <v>18.100000000000001</v>
      </c>
      <c r="D414">
        <v>0.59699999999999998</v>
      </c>
      <c r="E414">
        <v>5.617</v>
      </c>
      <c r="F414">
        <v>97.9</v>
      </c>
      <c r="G414">
        <v>1.4547000000000001</v>
      </c>
      <c r="H414">
        <v>24</v>
      </c>
      <c r="I414">
        <v>666</v>
      </c>
      <c r="J414">
        <v>20.2</v>
      </c>
      <c r="K414">
        <v>314.64</v>
      </c>
      <c r="L414">
        <v>26.4</v>
      </c>
      <c r="M414">
        <v>17.2</v>
      </c>
      <c r="O414" s="101">
        <f t="shared" si="102"/>
        <v>0.44109719571129324</v>
      </c>
      <c r="P414" s="101">
        <f t="shared" si="103"/>
        <v>1.0159990707250266</v>
      </c>
      <c r="Q414" s="101">
        <f t="shared" si="104"/>
        <v>0.36544404116015794</v>
      </c>
      <c r="R414" s="101">
        <f t="shared" si="105"/>
        <v>-0.95115112240665634</v>
      </c>
      <c r="S414" s="101">
        <f t="shared" si="106"/>
        <v>1.0428172842154726</v>
      </c>
      <c r="T414" s="101">
        <f t="shared" si="107"/>
        <v>-1.112526687848</v>
      </c>
      <c r="U414" s="101">
        <f t="shared" si="108"/>
        <v>1.6612452539705709</v>
      </c>
      <c r="V414" s="101">
        <f t="shared" si="109"/>
        <v>1.5309264594697112</v>
      </c>
      <c r="W414" s="101">
        <f t="shared" si="110"/>
        <v>0.80657583495378138</v>
      </c>
      <c r="X414" s="101">
        <f t="shared" si="111"/>
        <v>-0.46087618591630619</v>
      </c>
      <c r="Y414" s="101">
        <f t="shared" si="112"/>
        <v>1.9269601352863854</v>
      </c>
      <c r="Z414" s="101">
        <f t="shared" si="113"/>
        <v>-0.58040918841153566</v>
      </c>
      <c r="AQ414" s="101">
        <v>3.5213680470758528</v>
      </c>
      <c r="AR414" s="101">
        <v>-0.27790923626521924</v>
      </c>
      <c r="AS414" s="101">
        <v>7.6453763059611435E-2</v>
      </c>
      <c r="AT414" s="101">
        <v>0.35763007004164638</v>
      </c>
      <c r="AU414" s="101">
        <v>-3.317780467304688E-2</v>
      </c>
      <c r="AV414" s="101">
        <v>-0.2142219413937165</v>
      </c>
      <c r="AW414" s="101">
        <v>-0.48128960921727565</v>
      </c>
      <c r="AX414" s="101">
        <v>-0.80924719496027575</v>
      </c>
      <c r="AY414" s="101">
        <v>0.9821478268981837</v>
      </c>
      <c r="AZ414" s="101">
        <v>-0.11077185305662146</v>
      </c>
      <c r="BA414" s="101">
        <v>-0.28316959986007362</v>
      </c>
      <c r="BB414" s="101">
        <v>-7.1709183827205522E-2</v>
      </c>
    </row>
    <row r="415" spans="2:54">
      <c r="B415">
        <v>14.4383</v>
      </c>
      <c r="C415">
        <v>18.100000000000001</v>
      </c>
      <c r="D415">
        <v>0.59699999999999998</v>
      </c>
      <c r="E415">
        <v>6.8520000000000003</v>
      </c>
      <c r="F415">
        <v>100</v>
      </c>
      <c r="G415">
        <v>1.4655</v>
      </c>
      <c r="H415">
        <v>24</v>
      </c>
      <c r="I415">
        <v>666</v>
      </c>
      <c r="J415">
        <v>20.2</v>
      </c>
      <c r="K415">
        <v>179.36</v>
      </c>
      <c r="L415">
        <v>19.78</v>
      </c>
      <c r="M415">
        <v>27.5</v>
      </c>
      <c r="O415" s="101">
        <f t="shared" si="102"/>
        <v>1.2597142269140187</v>
      </c>
      <c r="P415" s="101">
        <f t="shared" si="103"/>
        <v>1.0159990707250266</v>
      </c>
      <c r="Q415" s="101">
        <f t="shared" si="104"/>
        <v>0.36544404116015794</v>
      </c>
      <c r="R415" s="101">
        <f t="shared" si="105"/>
        <v>0.80830234258281031</v>
      </c>
      <c r="S415" s="101">
        <f t="shared" si="106"/>
        <v>1.1174944851594601</v>
      </c>
      <c r="T415" s="101">
        <f t="shared" si="107"/>
        <v>-1.1073927011495284</v>
      </c>
      <c r="U415" s="101">
        <f t="shared" si="108"/>
        <v>1.6612452539705709</v>
      </c>
      <c r="V415" s="101">
        <f t="shared" si="109"/>
        <v>1.5309264594697112</v>
      </c>
      <c r="W415" s="101">
        <f t="shared" si="110"/>
        <v>0.80657583495378138</v>
      </c>
      <c r="X415" s="101">
        <f t="shared" si="111"/>
        <v>-1.9441345845770974</v>
      </c>
      <c r="Y415" s="101">
        <f t="shared" si="112"/>
        <v>0.99900968935570578</v>
      </c>
      <c r="Z415" s="101">
        <f t="shared" si="113"/>
        <v>0.54061683003021743</v>
      </c>
      <c r="AQ415" s="101">
        <v>3.0865804041233647</v>
      </c>
      <c r="AR415" s="101">
        <v>1.6498735427778575</v>
      </c>
      <c r="AS415" s="101">
        <v>1.5453442985453605</v>
      </c>
      <c r="AT415" s="101">
        <v>-0.27094242274311464</v>
      </c>
      <c r="AU415" s="101">
        <v>0.65071313909174089</v>
      </c>
      <c r="AV415" s="101">
        <v>0.61381873011907195</v>
      </c>
      <c r="AW415" s="101">
        <v>-0.12448008390328055</v>
      </c>
      <c r="AX415" s="101">
        <v>-0.40982056513144083</v>
      </c>
      <c r="AY415" s="101">
        <v>0.98582885486473848</v>
      </c>
      <c r="AZ415" s="101">
        <v>0.18738453072763422</v>
      </c>
      <c r="BA415" s="101">
        <v>6.65034215129226E-3</v>
      </c>
      <c r="BB415" s="101">
        <v>6.2497658765595474E-2</v>
      </c>
    </row>
    <row r="416" spans="2:54">
      <c r="B416">
        <v>51.135800000000003</v>
      </c>
      <c r="C416">
        <v>18.100000000000001</v>
      </c>
      <c r="D416">
        <v>0.59699999999999998</v>
      </c>
      <c r="E416">
        <v>5.7569999999999997</v>
      </c>
      <c r="F416">
        <v>100</v>
      </c>
      <c r="G416">
        <v>1.413</v>
      </c>
      <c r="H416">
        <v>24</v>
      </c>
      <c r="I416">
        <v>666</v>
      </c>
      <c r="J416">
        <v>20.2</v>
      </c>
      <c r="K416">
        <v>2.6</v>
      </c>
      <c r="L416">
        <v>10.11</v>
      </c>
      <c r="M416">
        <v>15</v>
      </c>
      <c r="O416" s="101">
        <f t="shared" si="102"/>
        <v>5.5303209306122705</v>
      </c>
      <c r="P416" s="101">
        <f t="shared" si="103"/>
        <v>1.0159990707250266</v>
      </c>
      <c r="Q416" s="101">
        <f t="shared" si="104"/>
        <v>0.36544404116015794</v>
      </c>
      <c r="R416" s="101">
        <f t="shared" si="105"/>
        <v>-0.75169890775198045</v>
      </c>
      <c r="S416" s="101">
        <f t="shared" si="106"/>
        <v>1.1174944851594601</v>
      </c>
      <c r="T416" s="101">
        <f t="shared" si="107"/>
        <v>-1.1323495809337649</v>
      </c>
      <c r="U416" s="101">
        <f t="shared" si="108"/>
        <v>1.6612452539705709</v>
      </c>
      <c r="V416" s="101">
        <f t="shared" si="109"/>
        <v>1.5309264594697112</v>
      </c>
      <c r="W416" s="101">
        <f t="shared" si="110"/>
        <v>0.80657583495378138</v>
      </c>
      <c r="X416" s="101">
        <f t="shared" si="111"/>
        <v>-3.8821945679248318</v>
      </c>
      <c r="Y416" s="101">
        <f t="shared" si="112"/>
        <v>-0.35647079586327868</v>
      </c>
      <c r="Z416" s="101">
        <f t="shared" si="113"/>
        <v>-0.81985163895249258</v>
      </c>
      <c r="AQ416" s="101">
        <v>4.8604218596033082</v>
      </c>
      <c r="AR416" s="101">
        <v>0.80235721656327086</v>
      </c>
      <c r="AS416" s="101">
        <v>3.6754925243375878</v>
      </c>
      <c r="AT416" s="101">
        <v>-2.2845801380761102</v>
      </c>
      <c r="AU416" s="101">
        <v>-1.0463749350243314</v>
      </c>
      <c r="AV416" s="101">
        <v>2.0949148210070834</v>
      </c>
      <c r="AW416" s="101">
        <v>2.3392746245168765</v>
      </c>
      <c r="AX416" s="101">
        <v>8.3234671033845076E-2</v>
      </c>
      <c r="AY416" s="101">
        <v>-0.6440191205515865</v>
      </c>
      <c r="AZ416" s="101">
        <v>1.3857068867553568</v>
      </c>
      <c r="BA416" s="101">
        <v>-0.417742102538745</v>
      </c>
      <c r="BB416" s="101">
        <v>5.3181558073987834E-2</v>
      </c>
    </row>
    <row r="417" spans="2:54">
      <c r="B417">
        <v>14.050700000000001</v>
      </c>
      <c r="C417">
        <v>18.100000000000001</v>
      </c>
      <c r="D417">
        <v>0.59699999999999998</v>
      </c>
      <c r="E417">
        <v>6.657</v>
      </c>
      <c r="F417">
        <v>100</v>
      </c>
      <c r="G417">
        <v>1.5275000000000001</v>
      </c>
      <c r="H417">
        <v>24</v>
      </c>
      <c r="I417">
        <v>666</v>
      </c>
      <c r="J417">
        <v>20.2</v>
      </c>
      <c r="K417">
        <v>35.049999999999997</v>
      </c>
      <c r="L417">
        <v>21.22</v>
      </c>
      <c r="M417">
        <v>17.2</v>
      </c>
      <c r="O417" s="101">
        <f t="shared" si="102"/>
        <v>1.214607961954459</v>
      </c>
      <c r="P417" s="101">
        <f t="shared" si="103"/>
        <v>1.0159990707250266</v>
      </c>
      <c r="Q417" s="101">
        <f t="shared" si="104"/>
        <v>0.36544404116015794</v>
      </c>
      <c r="R417" s="101">
        <f t="shared" si="105"/>
        <v>0.53049390074236791</v>
      </c>
      <c r="S417" s="101">
        <f t="shared" si="106"/>
        <v>1.1174944851594601</v>
      </c>
      <c r="T417" s="101">
        <f t="shared" si="107"/>
        <v>-1.077919814547192</v>
      </c>
      <c r="U417" s="101">
        <f t="shared" si="108"/>
        <v>1.6612452539705709</v>
      </c>
      <c r="V417" s="101">
        <f t="shared" si="109"/>
        <v>1.5309264594697112</v>
      </c>
      <c r="W417" s="101">
        <f t="shared" si="110"/>
        <v>0.80657583495378138</v>
      </c>
      <c r="X417" s="101">
        <f t="shared" si="111"/>
        <v>-3.5264011392099981</v>
      </c>
      <c r="Y417" s="101">
        <f t="shared" si="112"/>
        <v>1.2008599374131343</v>
      </c>
      <c r="Z417" s="101">
        <f t="shared" si="113"/>
        <v>-0.58040918841153566</v>
      </c>
      <c r="AQ417" s="101">
        <v>3.8286752885964872</v>
      </c>
      <c r="AR417" s="101">
        <v>1.0070706493390376</v>
      </c>
      <c r="AS417" s="101">
        <v>1.9071784559168279</v>
      </c>
      <c r="AT417" s="101">
        <v>-1.5716269170109824</v>
      </c>
      <c r="AU417" s="101">
        <v>1.5316427144652196</v>
      </c>
      <c r="AV417" s="101">
        <v>0.70260279809334747</v>
      </c>
      <c r="AW417" s="101">
        <v>-0.14894638807724186</v>
      </c>
      <c r="AX417" s="101">
        <v>-0.23823335855644201</v>
      </c>
      <c r="AY417" s="101">
        <v>0.65559674244290855</v>
      </c>
      <c r="AZ417" s="101">
        <v>0.13584252121379653</v>
      </c>
      <c r="BA417" s="101">
        <v>-0.39113787634197372</v>
      </c>
      <c r="BB417" s="101">
        <v>-4.036625174651863E-2</v>
      </c>
    </row>
    <row r="418" spans="2:54">
      <c r="B418">
        <v>18.811</v>
      </c>
      <c r="C418">
        <v>18.100000000000001</v>
      </c>
      <c r="D418">
        <v>0.59699999999999998</v>
      </c>
      <c r="E418">
        <v>4.6280000000000001</v>
      </c>
      <c r="F418">
        <v>100</v>
      </c>
      <c r="G418">
        <v>1.5539000000000001</v>
      </c>
      <c r="H418">
        <v>24</v>
      </c>
      <c r="I418">
        <v>666</v>
      </c>
      <c r="J418">
        <v>20.2</v>
      </c>
      <c r="K418">
        <v>28.79</v>
      </c>
      <c r="L418">
        <v>34.369999999999997</v>
      </c>
      <c r="M418">
        <v>17.899999999999999</v>
      </c>
      <c r="O418" s="101">
        <f t="shared" si="102"/>
        <v>1.768579461146905</v>
      </c>
      <c r="P418" s="101">
        <f t="shared" si="103"/>
        <v>1.0159990707250266</v>
      </c>
      <c r="Q418" s="101">
        <f t="shared" si="104"/>
        <v>0.36544404116015794</v>
      </c>
      <c r="R418" s="101">
        <f t="shared" si="105"/>
        <v>-2.360138553074334</v>
      </c>
      <c r="S418" s="101">
        <f t="shared" si="106"/>
        <v>1.1174944851594601</v>
      </c>
      <c r="T418" s="101">
        <f t="shared" si="107"/>
        <v>-1.0653700692842614</v>
      </c>
      <c r="U418" s="101">
        <f t="shared" si="108"/>
        <v>1.6612452539705709</v>
      </c>
      <c r="V418" s="101">
        <f t="shared" si="109"/>
        <v>1.5309264594697112</v>
      </c>
      <c r="W418" s="101">
        <f t="shared" si="110"/>
        <v>0.80657583495378138</v>
      </c>
      <c r="X418" s="101">
        <f t="shared" si="111"/>
        <v>-3.5950380225306411</v>
      </c>
      <c r="Y418" s="101">
        <f t="shared" si="112"/>
        <v>3.044145188770905</v>
      </c>
      <c r="Z418" s="101">
        <f t="shared" si="113"/>
        <v>-0.50422295414850393</v>
      </c>
      <c r="AQ418" s="101">
        <v>5.1573990811947894</v>
      </c>
      <c r="AR418" s="101">
        <v>-0.99060007300024377</v>
      </c>
      <c r="AS418" s="101">
        <v>1.0907793524752525</v>
      </c>
      <c r="AT418" s="101">
        <v>-2.3204805743950572</v>
      </c>
      <c r="AU418" s="101">
        <v>0.54702989059656293</v>
      </c>
      <c r="AV418" s="101">
        <v>0.37935743305523695</v>
      </c>
      <c r="AW418" s="101">
        <v>0.51548276436033214</v>
      </c>
      <c r="AX418" s="101">
        <v>-1.7174562009774224</v>
      </c>
      <c r="AY418" s="101">
        <v>1.5465909971959741</v>
      </c>
      <c r="AZ418" s="101">
        <v>0.34117930654553152</v>
      </c>
      <c r="BA418" s="101">
        <v>0.3281981402424573</v>
      </c>
      <c r="BB418" s="101">
        <v>0.13437555077700214</v>
      </c>
    </row>
    <row r="419" spans="2:54">
      <c r="B419">
        <v>28.655799999999999</v>
      </c>
      <c r="C419">
        <v>18.100000000000001</v>
      </c>
      <c r="D419">
        <v>0.59699999999999998</v>
      </c>
      <c r="E419">
        <v>5.1550000000000002</v>
      </c>
      <c r="F419">
        <v>100</v>
      </c>
      <c r="G419">
        <v>1.5893999999999999</v>
      </c>
      <c r="H419">
        <v>24</v>
      </c>
      <c r="I419">
        <v>666</v>
      </c>
      <c r="J419">
        <v>20.2</v>
      </c>
      <c r="K419">
        <v>210.97</v>
      </c>
      <c r="L419">
        <v>20.079999999999998</v>
      </c>
      <c r="M419">
        <v>16.3</v>
      </c>
      <c r="O419" s="101">
        <f t="shared" si="102"/>
        <v>2.9142506615438952</v>
      </c>
      <c r="P419" s="101">
        <f t="shared" si="103"/>
        <v>1.0159990707250266</v>
      </c>
      <c r="Q419" s="101">
        <f t="shared" si="104"/>
        <v>0.36544404116015794</v>
      </c>
      <c r="R419" s="101">
        <f t="shared" si="105"/>
        <v>-1.6093434307670877</v>
      </c>
      <c r="S419" s="101">
        <f t="shared" si="106"/>
        <v>1.1174944851594601</v>
      </c>
      <c r="T419" s="101">
        <f t="shared" si="107"/>
        <v>-1.04849446485873</v>
      </c>
      <c r="U419" s="101">
        <f t="shared" si="108"/>
        <v>1.6612452539705709</v>
      </c>
      <c r="V419" s="101">
        <f t="shared" si="109"/>
        <v>1.5309264594697112</v>
      </c>
      <c r="W419" s="101">
        <f t="shared" si="110"/>
        <v>0.80657583495378138</v>
      </c>
      <c r="X419" s="101">
        <f t="shared" si="111"/>
        <v>-1.5975512168829253</v>
      </c>
      <c r="Y419" s="101">
        <f t="shared" si="112"/>
        <v>1.0410618243676697</v>
      </c>
      <c r="Z419" s="101">
        <f t="shared" si="113"/>
        <v>-0.67836291817829064</v>
      </c>
      <c r="AQ419" s="101">
        <v>4.2764556622347847</v>
      </c>
      <c r="AR419" s="101">
        <v>-0.27641600715517334</v>
      </c>
      <c r="AS419" s="101">
        <v>1.4279497739189417</v>
      </c>
      <c r="AT419" s="101">
        <v>-0.68255362254594476</v>
      </c>
      <c r="AU419" s="101">
        <v>-0.97088631099237921</v>
      </c>
      <c r="AV419" s="101">
        <v>0.68614980477955589</v>
      </c>
      <c r="AW419" s="101">
        <v>0.99574140466857153</v>
      </c>
      <c r="AX419" s="101">
        <v>-0.69856455078373836</v>
      </c>
      <c r="AY419" s="101">
        <v>0.25620648368459925</v>
      </c>
      <c r="AZ419" s="101">
        <v>0.75411848079175159</v>
      </c>
      <c r="BA419" s="101">
        <v>-0.22431529516812837</v>
      </c>
      <c r="BB419" s="101">
        <v>-2.3405426797233342E-3</v>
      </c>
    </row>
    <row r="420" spans="2:54">
      <c r="B420">
        <v>45.746099999999998</v>
      </c>
      <c r="C420">
        <v>18.100000000000001</v>
      </c>
      <c r="D420">
        <v>0.69299999999999995</v>
      </c>
      <c r="E420">
        <v>4.5190000000000001</v>
      </c>
      <c r="F420">
        <v>100</v>
      </c>
      <c r="G420">
        <v>1.6581999999999999</v>
      </c>
      <c r="H420">
        <v>24</v>
      </c>
      <c r="I420">
        <v>666</v>
      </c>
      <c r="J420">
        <v>20.2</v>
      </c>
      <c r="K420">
        <v>88.27</v>
      </c>
      <c r="L420">
        <v>36.979999999999997</v>
      </c>
      <c r="M420">
        <v>7</v>
      </c>
      <c r="O420" s="101">
        <f t="shared" si="102"/>
        <v>4.9031041188152136</v>
      </c>
      <c r="P420" s="101">
        <f t="shared" si="103"/>
        <v>1.0159990707250266</v>
      </c>
      <c r="Q420" s="101">
        <f t="shared" si="104"/>
        <v>1.1947237272056543</v>
      </c>
      <c r="R420" s="101">
        <f t="shared" si="105"/>
        <v>-2.5154263487697603</v>
      </c>
      <c r="S420" s="101">
        <f t="shared" si="106"/>
        <v>1.1174944851594601</v>
      </c>
      <c r="T420" s="101">
        <f t="shared" si="107"/>
        <v>-1.0157890681129114</v>
      </c>
      <c r="U420" s="101">
        <f t="shared" si="108"/>
        <v>1.6612452539705709</v>
      </c>
      <c r="V420" s="101">
        <f t="shared" si="109"/>
        <v>1.5309264594697112</v>
      </c>
      <c r="W420" s="101">
        <f t="shared" si="110"/>
        <v>0.80657583495378138</v>
      </c>
      <c r="X420" s="101">
        <f t="shared" si="111"/>
        <v>-2.9428779874009559</v>
      </c>
      <c r="Y420" s="101">
        <f t="shared" si="112"/>
        <v>3.4099987633749946</v>
      </c>
      <c r="Z420" s="101">
        <f t="shared" si="113"/>
        <v>-1.6905514591014268</v>
      </c>
      <c r="AQ420" s="101">
        <v>6.5677008655780433</v>
      </c>
      <c r="AR420" s="101">
        <v>-1.4711850342194503</v>
      </c>
      <c r="AS420" s="101">
        <v>1.7513084475020511</v>
      </c>
      <c r="AT420" s="101">
        <v>-2.6530213608961697</v>
      </c>
      <c r="AU420" s="101">
        <v>-1.8979248383514336</v>
      </c>
      <c r="AV420" s="101">
        <v>1.609696753270502</v>
      </c>
      <c r="AW420" s="101">
        <v>0.95280535640737751</v>
      </c>
      <c r="AX420" s="101">
        <v>-0.58779990194681908</v>
      </c>
      <c r="AY420" s="101">
        <v>0.77050263519978113</v>
      </c>
      <c r="AZ420" s="101">
        <v>0.15843359255647793</v>
      </c>
      <c r="BA420" s="101">
        <v>0.69356815134339356</v>
      </c>
      <c r="BB420" s="101">
        <v>0.23995360686565537</v>
      </c>
    </row>
    <row r="421" spans="2:54">
      <c r="B421">
        <v>18.084599999999998</v>
      </c>
      <c r="C421">
        <v>18.100000000000001</v>
      </c>
      <c r="D421">
        <v>0.67900000000000005</v>
      </c>
      <c r="E421">
        <v>6.4340000000000002</v>
      </c>
      <c r="F421">
        <v>100</v>
      </c>
      <c r="G421">
        <v>1.8347</v>
      </c>
      <c r="H421">
        <v>24</v>
      </c>
      <c r="I421">
        <v>666</v>
      </c>
      <c r="J421">
        <v>20.2</v>
      </c>
      <c r="K421">
        <v>27.25</v>
      </c>
      <c r="L421">
        <v>29.05</v>
      </c>
      <c r="M421">
        <v>7.2</v>
      </c>
      <c r="O421" s="101">
        <f t="shared" si="102"/>
        <v>1.6840459449791438</v>
      </c>
      <c r="P421" s="101">
        <f t="shared" si="103"/>
        <v>1.0159990707250266</v>
      </c>
      <c r="Q421" s="101">
        <f t="shared" si="104"/>
        <v>1.0737871063240203</v>
      </c>
      <c r="R421" s="101">
        <f t="shared" si="105"/>
        <v>0.21279501597099076</v>
      </c>
      <c r="S421" s="101">
        <f t="shared" si="106"/>
        <v>1.1174944851594601</v>
      </c>
      <c r="T421" s="101">
        <f t="shared" si="107"/>
        <v>-0.93188641512400139</v>
      </c>
      <c r="U421" s="101">
        <f t="shared" si="108"/>
        <v>1.6612452539705709</v>
      </c>
      <c r="V421" s="101">
        <f t="shared" si="109"/>
        <v>1.5309264594697112</v>
      </c>
      <c r="W421" s="101">
        <f t="shared" si="110"/>
        <v>0.80657583495378138</v>
      </c>
      <c r="X421" s="101">
        <f t="shared" si="111"/>
        <v>-3.6119231344018536</v>
      </c>
      <c r="Y421" s="101">
        <f t="shared" si="112"/>
        <v>2.2984206612254039</v>
      </c>
      <c r="Z421" s="101">
        <f t="shared" si="113"/>
        <v>-1.6687839635977035</v>
      </c>
      <c r="AQ421" s="101">
        <v>4.8807623460181446</v>
      </c>
      <c r="AR421" s="101">
        <v>0.18026221332729175</v>
      </c>
      <c r="AS421" s="101">
        <v>1.6540799658615324</v>
      </c>
      <c r="AT421" s="101">
        <v>-2.1631647132365432</v>
      </c>
      <c r="AU421" s="101">
        <v>1.0984993671714125</v>
      </c>
      <c r="AV421" s="101">
        <v>0.85441540006061434</v>
      </c>
      <c r="AW421" s="101">
        <v>-0.64865799588211459</v>
      </c>
      <c r="AX421" s="101">
        <v>0.1793371063332293</v>
      </c>
      <c r="AY421" s="101">
        <v>0.49661815947724308</v>
      </c>
      <c r="AZ421" s="101">
        <v>-0.37717650159283711</v>
      </c>
      <c r="BA421" s="101">
        <v>-5.6035643473318575E-2</v>
      </c>
      <c r="BB421" s="101">
        <v>-9.9514777762545192E-3</v>
      </c>
    </row>
    <row r="422" spans="2:54">
      <c r="B422">
        <v>10.834199999999999</v>
      </c>
      <c r="C422">
        <v>18.100000000000001</v>
      </c>
      <c r="D422">
        <v>0.67900000000000005</v>
      </c>
      <c r="E422">
        <v>6.782</v>
      </c>
      <c r="F422">
        <v>90.8</v>
      </c>
      <c r="G422">
        <v>1.8194999999999999</v>
      </c>
      <c r="H422">
        <v>24</v>
      </c>
      <c r="I422">
        <v>666</v>
      </c>
      <c r="J422">
        <v>20.2</v>
      </c>
      <c r="K422">
        <v>21.57</v>
      </c>
      <c r="L422">
        <v>25.79</v>
      </c>
      <c r="M422">
        <v>7.5</v>
      </c>
      <c r="O422" s="101">
        <f t="shared" si="102"/>
        <v>0.84029345926502697</v>
      </c>
      <c r="P422" s="101">
        <f t="shared" si="103"/>
        <v>1.0159990707250266</v>
      </c>
      <c r="Q422" s="101">
        <f t="shared" si="104"/>
        <v>1.0737871063240203</v>
      </c>
      <c r="R422" s="101">
        <f t="shared" si="105"/>
        <v>0.70857623525547175</v>
      </c>
      <c r="S422" s="101">
        <f t="shared" si="106"/>
        <v>0.79033722388103755</v>
      </c>
      <c r="T422" s="101">
        <f t="shared" si="107"/>
        <v>-0.9391120260329614</v>
      </c>
      <c r="U422" s="101">
        <f t="shared" si="108"/>
        <v>1.6612452539705709</v>
      </c>
      <c r="V422" s="101">
        <f t="shared" si="109"/>
        <v>1.5309264594697112</v>
      </c>
      <c r="W422" s="101">
        <f t="shared" si="110"/>
        <v>0.80657583495378138</v>
      </c>
      <c r="X422" s="101">
        <f t="shared" si="111"/>
        <v>-3.6742006898748971</v>
      </c>
      <c r="Y422" s="101">
        <f t="shared" si="112"/>
        <v>1.8414541274287246</v>
      </c>
      <c r="Z422" s="101">
        <f t="shared" si="113"/>
        <v>-1.6361327203421185</v>
      </c>
      <c r="AQ422" s="101">
        <v>4.3211150248029497</v>
      </c>
      <c r="AR422" s="101">
        <v>0.48208600966126025</v>
      </c>
      <c r="AS422" s="101">
        <v>1.6711312604660986</v>
      </c>
      <c r="AT422" s="101">
        <v>-1.9572197039520285</v>
      </c>
      <c r="AU422" s="101">
        <v>1.7824704403217948</v>
      </c>
      <c r="AV422" s="101">
        <v>0.4237414917479182</v>
      </c>
      <c r="AW422" s="101">
        <v>-0.79771832689395827</v>
      </c>
      <c r="AX422" s="101">
        <v>0.35184236654950429</v>
      </c>
      <c r="AY422" s="101">
        <v>0.34007660167219089</v>
      </c>
      <c r="AZ422" s="101">
        <v>-0.63232933110531164</v>
      </c>
      <c r="BA422" s="101">
        <v>-0.23717521199827307</v>
      </c>
      <c r="BB422" s="101">
        <v>-7.2114861189170015E-2</v>
      </c>
    </row>
    <row r="423" spans="2:54">
      <c r="B423">
        <v>25.9406</v>
      </c>
      <c r="C423">
        <v>18.100000000000001</v>
      </c>
      <c r="D423">
        <v>0.67900000000000005</v>
      </c>
      <c r="E423">
        <v>5.3040000000000003</v>
      </c>
      <c r="F423">
        <v>89.1</v>
      </c>
      <c r="G423">
        <v>1.6475</v>
      </c>
      <c r="H423">
        <v>24</v>
      </c>
      <c r="I423">
        <v>666</v>
      </c>
      <c r="J423">
        <v>20.2</v>
      </c>
      <c r="K423">
        <v>127.36</v>
      </c>
      <c r="L423">
        <v>26.64</v>
      </c>
      <c r="M423">
        <v>10.4</v>
      </c>
      <c r="O423" s="101">
        <f t="shared" si="102"/>
        <v>2.5982740603617578</v>
      </c>
      <c r="P423" s="101">
        <f t="shared" si="103"/>
        <v>1.0159990707250266</v>
      </c>
      <c r="Q423" s="101">
        <f t="shared" si="104"/>
        <v>1.0737871063240203</v>
      </c>
      <c r="R423" s="101">
        <f t="shared" si="105"/>
        <v>-1.397069288027468</v>
      </c>
      <c r="S423" s="101">
        <f t="shared" si="106"/>
        <v>0.72988425168828541</v>
      </c>
      <c r="T423" s="101">
        <f t="shared" si="107"/>
        <v>-1.0208755178975082</v>
      </c>
      <c r="U423" s="101">
        <f t="shared" si="108"/>
        <v>1.6612452539705709</v>
      </c>
      <c r="V423" s="101">
        <f t="shared" si="109"/>
        <v>1.5309264594697112</v>
      </c>
      <c r="W423" s="101">
        <f t="shared" si="110"/>
        <v>0.80657583495378138</v>
      </c>
      <c r="X423" s="101">
        <f t="shared" si="111"/>
        <v>-2.5142812191894657</v>
      </c>
      <c r="Y423" s="101">
        <f t="shared" si="112"/>
        <v>1.9606018432959571</v>
      </c>
      <c r="Z423" s="101">
        <f t="shared" si="113"/>
        <v>-1.3205040355381297</v>
      </c>
      <c r="AQ423" s="101">
        <v>4.9276805111607196</v>
      </c>
      <c r="AR423" s="101">
        <v>-0.56008734844334351</v>
      </c>
      <c r="AS423" s="101">
        <v>1.4399013118134218</v>
      </c>
      <c r="AT423" s="101">
        <v>-1.5888427317762583</v>
      </c>
      <c r="AU423" s="101">
        <v>-0.35323919261061387</v>
      </c>
      <c r="AV423" s="101">
        <v>0.51537803821014261</v>
      </c>
      <c r="AW423" s="101">
        <v>0.52438864289667508</v>
      </c>
      <c r="AX423" s="101">
        <v>-0.38012334158336358</v>
      </c>
      <c r="AY423" s="101">
        <v>0.2959450268719892</v>
      </c>
      <c r="AZ423" s="101">
        <v>-6.9683821264926671E-2</v>
      </c>
      <c r="BA423" s="101">
        <v>0.16552215376451962</v>
      </c>
      <c r="BB423" s="101">
        <v>5.6405069752251458E-2</v>
      </c>
    </row>
    <row r="424" spans="2:54">
      <c r="B424">
        <v>73.534099999999995</v>
      </c>
      <c r="C424">
        <v>18.100000000000001</v>
      </c>
      <c r="D424">
        <v>0.67900000000000005</v>
      </c>
      <c r="E424">
        <v>5.9569999999999999</v>
      </c>
      <c r="F424">
        <v>100</v>
      </c>
      <c r="G424">
        <v>1.8026</v>
      </c>
      <c r="H424">
        <v>24</v>
      </c>
      <c r="I424">
        <v>666</v>
      </c>
      <c r="J424">
        <v>20.2</v>
      </c>
      <c r="K424">
        <v>16.45</v>
      </c>
      <c r="L424">
        <v>20.62</v>
      </c>
      <c r="M424">
        <v>8.8000000000000007</v>
      </c>
      <c r="O424" s="101">
        <f t="shared" si="102"/>
        <v>8.1368835065764245</v>
      </c>
      <c r="P424" s="101">
        <f t="shared" si="103"/>
        <v>1.0159990707250266</v>
      </c>
      <c r="Q424" s="101">
        <f t="shared" si="104"/>
        <v>1.0737871063240203</v>
      </c>
      <c r="R424" s="101">
        <f t="shared" si="105"/>
        <v>-0.46676717253101402</v>
      </c>
      <c r="S424" s="101">
        <f t="shared" si="106"/>
        <v>1.1174944851594601</v>
      </c>
      <c r="T424" s="101">
        <f t="shared" si="107"/>
        <v>-0.94714576447779186</v>
      </c>
      <c r="U424" s="101">
        <f t="shared" si="108"/>
        <v>1.6612452539705709</v>
      </c>
      <c r="V424" s="101">
        <f t="shared" si="109"/>
        <v>1.5309264594697112</v>
      </c>
      <c r="W424" s="101">
        <f t="shared" si="110"/>
        <v>0.80657583495378138</v>
      </c>
      <c r="X424" s="101">
        <f t="shared" si="111"/>
        <v>-3.7303382046674995</v>
      </c>
      <c r="Y424" s="101">
        <f t="shared" si="112"/>
        <v>1.1167556673892058</v>
      </c>
      <c r="Z424" s="101">
        <f t="shared" si="113"/>
        <v>-1.4946439995679166</v>
      </c>
      <c r="AQ424" s="101">
        <v>6.2828991616278671</v>
      </c>
      <c r="AR424" s="101">
        <v>0.48311150866590513</v>
      </c>
      <c r="AS424" s="101">
        <v>4.2917924804221652</v>
      </c>
      <c r="AT424" s="101">
        <v>-2.9962216171330223</v>
      </c>
      <c r="AU424" s="101">
        <v>-2.9408208580680242</v>
      </c>
      <c r="AV424" s="101">
        <v>3.3814933601250194</v>
      </c>
      <c r="AW424" s="101">
        <v>2.1420860424721515</v>
      </c>
      <c r="AX424" s="101">
        <v>0.97192415991241665</v>
      </c>
      <c r="AY424" s="101">
        <v>-0.41439608638540582</v>
      </c>
      <c r="AZ424" s="101">
        <v>0.89477748111116118</v>
      </c>
      <c r="BA424" s="101">
        <v>0.38045725373584593</v>
      </c>
      <c r="BB424" s="101">
        <v>0.26499470384568435</v>
      </c>
    </row>
    <row r="425" spans="2:54">
      <c r="B425">
        <v>11.8123</v>
      </c>
      <c r="C425">
        <v>18.100000000000001</v>
      </c>
      <c r="D425">
        <v>0.71799999999999997</v>
      </c>
      <c r="E425">
        <v>6.8239999999999998</v>
      </c>
      <c r="F425">
        <v>76.5</v>
      </c>
      <c r="G425">
        <v>1.794</v>
      </c>
      <c r="H425">
        <v>24</v>
      </c>
      <c r="I425">
        <v>666</v>
      </c>
      <c r="J425">
        <v>20.2</v>
      </c>
      <c r="K425">
        <v>48.45</v>
      </c>
      <c r="L425">
        <v>22.74</v>
      </c>
      <c r="M425">
        <v>8.4</v>
      </c>
      <c r="O425" s="101">
        <f t="shared" si="102"/>
        <v>0.95411811808067559</v>
      </c>
      <c r="P425" s="101">
        <f t="shared" si="103"/>
        <v>1.0159990707250266</v>
      </c>
      <c r="Q425" s="101">
        <f t="shared" si="104"/>
        <v>1.4106819787800025</v>
      </c>
      <c r="R425" s="101">
        <f t="shared" si="105"/>
        <v>0.7684118996518744</v>
      </c>
      <c r="S425" s="101">
        <f t="shared" si="106"/>
        <v>0.28182104602435915</v>
      </c>
      <c r="T425" s="101">
        <f t="shared" si="107"/>
        <v>-0.95123393907101916</v>
      </c>
      <c r="U425" s="101">
        <f t="shared" si="108"/>
        <v>1.6612452539705709</v>
      </c>
      <c r="V425" s="101">
        <f t="shared" si="109"/>
        <v>1.5309264594697112</v>
      </c>
      <c r="W425" s="101">
        <f t="shared" si="110"/>
        <v>0.80657583495378138</v>
      </c>
      <c r="X425" s="101">
        <f t="shared" si="111"/>
        <v>-3.3794787372137343</v>
      </c>
      <c r="Y425" s="101">
        <f t="shared" si="112"/>
        <v>1.4139240881404203</v>
      </c>
      <c r="Z425" s="101">
        <f t="shared" si="113"/>
        <v>-1.5381789905753633</v>
      </c>
      <c r="AQ425" s="101">
        <v>4.0750782167372686</v>
      </c>
      <c r="AR425" s="101">
        <v>0.62792305840437512</v>
      </c>
      <c r="AS425" s="101">
        <v>1.8186985927868173</v>
      </c>
      <c r="AT425" s="101">
        <v>-1.7167809670903944</v>
      </c>
      <c r="AU425" s="101">
        <v>1.5563114245619638</v>
      </c>
      <c r="AV425" s="101">
        <v>0.12683437386593116</v>
      </c>
      <c r="AW425" s="101">
        <v>-0.47040465198225184</v>
      </c>
      <c r="AX425" s="101">
        <v>0.56326665316927793</v>
      </c>
      <c r="AY425" s="101">
        <v>8.0887494701830098E-3</v>
      </c>
      <c r="AZ425" s="101">
        <v>-0.90005368818934095</v>
      </c>
      <c r="BA425" s="101">
        <v>-5.6303878869431223E-2</v>
      </c>
      <c r="BB425" s="101">
        <v>-4.2522903962118774E-2</v>
      </c>
    </row>
    <row r="426" spans="2:54">
      <c r="B426">
        <v>11.087400000000001</v>
      </c>
      <c r="C426">
        <v>18.100000000000001</v>
      </c>
      <c r="D426">
        <v>0.71799999999999997</v>
      </c>
      <c r="E426">
        <v>6.4109999999999996</v>
      </c>
      <c r="F426">
        <v>100</v>
      </c>
      <c r="G426">
        <v>1.8589</v>
      </c>
      <c r="H426">
        <v>24</v>
      </c>
      <c r="I426">
        <v>666</v>
      </c>
      <c r="J426">
        <v>20.2</v>
      </c>
      <c r="K426">
        <v>318.75</v>
      </c>
      <c r="L426">
        <v>15.02</v>
      </c>
      <c r="M426">
        <v>16.7</v>
      </c>
      <c r="O426" s="101">
        <f t="shared" si="102"/>
        <v>0.86975916176182932</v>
      </c>
      <c r="P426" s="101">
        <f t="shared" si="103"/>
        <v>1.0159990707250266</v>
      </c>
      <c r="Q426" s="101">
        <f t="shared" si="104"/>
        <v>1.4106819787800025</v>
      </c>
      <c r="R426" s="101">
        <f t="shared" si="105"/>
        <v>0.18002786642057883</v>
      </c>
      <c r="S426" s="101">
        <f t="shared" si="106"/>
        <v>1.1174944851594601</v>
      </c>
      <c r="T426" s="101">
        <f t="shared" si="107"/>
        <v>-0.92038248196631522</v>
      </c>
      <c r="U426" s="101">
        <f t="shared" si="108"/>
        <v>1.6612452539705709</v>
      </c>
      <c r="V426" s="101">
        <f t="shared" si="109"/>
        <v>1.5309264594697112</v>
      </c>
      <c r="W426" s="101">
        <f t="shared" si="110"/>
        <v>0.80657583495378138</v>
      </c>
      <c r="X426" s="101">
        <f t="shared" si="111"/>
        <v>-0.41581267306521308</v>
      </c>
      <c r="Y426" s="101">
        <f t="shared" si="112"/>
        <v>0.3317824804992045</v>
      </c>
      <c r="Z426" s="101">
        <f t="shared" si="113"/>
        <v>-0.63482792717084402</v>
      </c>
      <c r="AQ426" s="101">
        <v>3.2004955406365854</v>
      </c>
      <c r="AR426" s="101">
        <v>0.95118846216580488</v>
      </c>
      <c r="AS426" s="101">
        <v>0.59767059397796996</v>
      </c>
      <c r="AT426" s="101">
        <v>0.65345112008831374</v>
      </c>
      <c r="AU426" s="101">
        <v>-5.7180158127029222E-3</v>
      </c>
      <c r="AV426" s="101">
        <v>-0.14239254830843728</v>
      </c>
      <c r="AW426" s="101">
        <v>-0.35337675832116244</v>
      </c>
      <c r="AX426" s="101">
        <v>0.12755551249818609</v>
      </c>
      <c r="AY426" s="101">
        <v>-0.49570986192378386</v>
      </c>
      <c r="AZ426" s="101">
        <v>3.3821623433976322E-2</v>
      </c>
      <c r="BA426" s="101">
        <v>-1.8218945410003629E-2</v>
      </c>
      <c r="BB426" s="101">
        <v>-7.9318575337376546E-2</v>
      </c>
    </row>
    <row r="427" spans="2:54">
      <c r="B427">
        <v>7.0225900000000001</v>
      </c>
      <c r="C427">
        <v>18.100000000000001</v>
      </c>
      <c r="D427">
        <v>0.71799999999999997</v>
      </c>
      <c r="E427">
        <v>6.0060000000000002</v>
      </c>
      <c r="F427">
        <v>95.3</v>
      </c>
      <c r="G427">
        <v>1.8746</v>
      </c>
      <c r="H427">
        <v>24</v>
      </c>
      <c r="I427">
        <v>666</v>
      </c>
      <c r="J427">
        <v>20.2</v>
      </c>
      <c r="K427">
        <v>319.98</v>
      </c>
      <c r="L427">
        <v>15.7</v>
      </c>
      <c r="M427">
        <v>14.2</v>
      </c>
      <c r="O427" s="101">
        <f t="shared" si="102"/>
        <v>0.39672408211717536</v>
      </c>
      <c r="P427" s="101">
        <f t="shared" si="103"/>
        <v>1.0159990707250266</v>
      </c>
      <c r="Q427" s="101">
        <f t="shared" si="104"/>
        <v>1.4106819787800025</v>
      </c>
      <c r="R427" s="101">
        <f t="shared" si="105"/>
        <v>-0.39695889740187673</v>
      </c>
      <c r="S427" s="101">
        <f t="shared" si="106"/>
        <v>0.95035979733243992</v>
      </c>
      <c r="T427" s="101">
        <f t="shared" si="107"/>
        <v>-0.91291918648798154</v>
      </c>
      <c r="U427" s="101">
        <f t="shared" si="108"/>
        <v>1.6612452539705709</v>
      </c>
      <c r="V427" s="101">
        <f t="shared" si="109"/>
        <v>1.5309264594697112</v>
      </c>
      <c r="W427" s="101">
        <f t="shared" si="110"/>
        <v>0.80657583495378138</v>
      </c>
      <c r="X427" s="101">
        <f t="shared" si="111"/>
        <v>-0.4023265122849588</v>
      </c>
      <c r="Y427" s="101">
        <f t="shared" si="112"/>
        <v>0.42710065319299034</v>
      </c>
      <c r="Z427" s="101">
        <f t="shared" si="113"/>
        <v>-0.90692162096738604</v>
      </c>
      <c r="AQ427" s="101">
        <v>3.2497657015093186</v>
      </c>
      <c r="AR427" s="101">
        <v>0.41168633620905792</v>
      </c>
      <c r="AS427" s="101">
        <v>0.29527614387362894</v>
      </c>
      <c r="AT427" s="101">
        <v>0.61336944648544012</v>
      </c>
      <c r="AU427" s="101">
        <v>0.18140617508812315</v>
      </c>
      <c r="AV427" s="101">
        <v>-0.56514758789088759</v>
      </c>
      <c r="AW427" s="101">
        <v>-0.30939672910973826</v>
      </c>
      <c r="AX427" s="101">
        <v>-8.1846178420860283E-2</v>
      </c>
      <c r="AY427" s="101">
        <v>-0.56163940904466469</v>
      </c>
      <c r="AZ427" s="101">
        <v>-4.6438306695307602E-2</v>
      </c>
      <c r="BA427" s="101">
        <v>-0.11316915009908551</v>
      </c>
      <c r="BB427" s="101">
        <v>-0.12519328056842274</v>
      </c>
    </row>
    <row r="428" spans="2:54">
      <c r="B428">
        <v>12.0482</v>
      </c>
      <c r="C428">
        <v>18.100000000000001</v>
      </c>
      <c r="D428">
        <v>0.61399999999999999</v>
      </c>
      <c r="E428">
        <v>5.6479999999999997</v>
      </c>
      <c r="F428">
        <v>87.6</v>
      </c>
      <c r="G428">
        <v>1.9512</v>
      </c>
      <c r="H428">
        <v>24</v>
      </c>
      <c r="I428">
        <v>666</v>
      </c>
      <c r="J428">
        <v>20.2</v>
      </c>
      <c r="K428">
        <v>291.55</v>
      </c>
      <c r="L428">
        <v>14.1</v>
      </c>
      <c r="M428">
        <v>20.8</v>
      </c>
      <c r="O428" s="101">
        <f t="shared" si="102"/>
        <v>0.98157056365332807</v>
      </c>
      <c r="P428" s="101">
        <f t="shared" si="103"/>
        <v>1.0159990707250266</v>
      </c>
      <c r="Q428" s="101">
        <f t="shared" si="104"/>
        <v>0.51229565223071472</v>
      </c>
      <c r="R428" s="101">
        <f t="shared" si="105"/>
        <v>-0.90698670344740695</v>
      </c>
      <c r="S428" s="101">
        <f t="shared" si="106"/>
        <v>0.67654339387115137</v>
      </c>
      <c r="T428" s="101">
        <f t="shared" si="107"/>
        <v>-0.87650591045993342</v>
      </c>
      <c r="U428" s="101">
        <f t="shared" si="108"/>
        <v>1.6612452539705709</v>
      </c>
      <c r="V428" s="101">
        <f t="shared" si="109"/>
        <v>1.5309264594697112</v>
      </c>
      <c r="W428" s="101">
        <f t="shared" si="110"/>
        <v>0.80657583495378138</v>
      </c>
      <c r="X428" s="101">
        <f t="shared" si="111"/>
        <v>-0.71404322040091317</v>
      </c>
      <c r="Y428" s="101">
        <f t="shared" si="112"/>
        <v>0.20282259979584719</v>
      </c>
      <c r="Z428" s="101">
        <f t="shared" si="113"/>
        <v>-0.18859426934451504</v>
      </c>
      <c r="AQ428" s="101">
        <v>2.9087864615660295</v>
      </c>
      <c r="AR428" s="101">
        <v>0.28796834126533261</v>
      </c>
      <c r="AS428" s="101">
        <v>0.90627602673247776</v>
      </c>
      <c r="AT428" s="101">
        <v>0.4560038730493452</v>
      </c>
      <c r="AU428" s="101">
        <v>-8.1409031117083558E-2</v>
      </c>
      <c r="AV428" s="101">
        <v>-0.42589127499561213</v>
      </c>
      <c r="AW428" s="101">
        <v>0.50710940243902258</v>
      </c>
      <c r="AX428" s="101">
        <v>-0.60205699304305282</v>
      </c>
      <c r="AY428" s="101">
        <v>1.8072009696723401E-2</v>
      </c>
      <c r="AZ428" s="101">
        <v>0.44070674483448419</v>
      </c>
      <c r="BA428" s="101">
        <v>-0.25167697998428951</v>
      </c>
      <c r="BB428" s="101">
        <v>-9.276297584872123E-2</v>
      </c>
    </row>
    <row r="429" spans="2:54">
      <c r="B429">
        <v>7.0504199999999999</v>
      </c>
      <c r="C429">
        <v>18.100000000000001</v>
      </c>
      <c r="D429">
        <v>0.61399999999999999</v>
      </c>
      <c r="E429">
        <v>6.1029999999999998</v>
      </c>
      <c r="F429">
        <v>85.1</v>
      </c>
      <c r="G429">
        <v>2.0217999999999998</v>
      </c>
      <c r="H429">
        <v>24</v>
      </c>
      <c r="I429">
        <v>666</v>
      </c>
      <c r="J429">
        <v>20.2</v>
      </c>
      <c r="K429">
        <v>2.52</v>
      </c>
      <c r="L429">
        <v>23.29</v>
      </c>
      <c r="M429">
        <v>13.4</v>
      </c>
      <c r="O429" s="101">
        <f t="shared" si="102"/>
        <v>0.39996274918070612</v>
      </c>
      <c r="P429" s="101">
        <f t="shared" si="103"/>
        <v>1.0159990707250266</v>
      </c>
      <c r="Q429" s="101">
        <f t="shared" si="104"/>
        <v>0.51229565223071472</v>
      </c>
      <c r="R429" s="101">
        <f t="shared" si="105"/>
        <v>-0.2587670058197088</v>
      </c>
      <c r="S429" s="101">
        <f t="shared" si="106"/>
        <v>0.58764196417592784</v>
      </c>
      <c r="T429" s="101">
        <f t="shared" si="107"/>
        <v>-0.84294484926436963</v>
      </c>
      <c r="U429" s="101">
        <f t="shared" si="108"/>
        <v>1.6612452539705709</v>
      </c>
      <c r="V429" s="101">
        <f t="shared" si="109"/>
        <v>1.5309264594697112</v>
      </c>
      <c r="W429" s="101">
        <f t="shared" si="110"/>
        <v>0.80657583495378138</v>
      </c>
      <c r="X429" s="101">
        <f t="shared" si="111"/>
        <v>-3.8830717165934665</v>
      </c>
      <c r="Y429" s="101">
        <f t="shared" si="112"/>
        <v>1.4910196689956883</v>
      </c>
      <c r="Z429" s="101">
        <f t="shared" si="113"/>
        <v>-0.9939916029822794</v>
      </c>
      <c r="AQ429" s="101">
        <v>3.8861530578858354</v>
      </c>
      <c r="AR429" s="101">
        <v>0.12596439304643059</v>
      </c>
      <c r="AS429" s="101">
        <v>1.665670995156598</v>
      </c>
      <c r="AT429" s="101">
        <v>-1.9442675548935169</v>
      </c>
      <c r="AU429" s="101">
        <v>2.0536136766224744</v>
      </c>
      <c r="AV429" s="101">
        <v>-9.7822870404822543E-2</v>
      </c>
      <c r="AW429" s="101">
        <v>-0.15076935196889504</v>
      </c>
      <c r="AX429" s="101">
        <v>-0.46463466511635571</v>
      </c>
      <c r="AY429" s="101">
        <v>0.61117632002292255</v>
      </c>
      <c r="AZ429" s="101">
        <v>-0.13180358386108257</v>
      </c>
      <c r="BA429" s="101">
        <v>-0.2915346795847365</v>
      </c>
      <c r="BB429" s="101">
        <v>-8.2743874021271757E-2</v>
      </c>
    </row>
    <row r="430" spans="2:54">
      <c r="B430">
        <v>8.7921200000000006</v>
      </c>
      <c r="C430">
        <v>18.100000000000001</v>
      </c>
      <c r="D430">
        <v>0.58399999999999996</v>
      </c>
      <c r="E430">
        <v>5.5650000000000004</v>
      </c>
      <c r="F430">
        <v>70.599999999999994</v>
      </c>
      <c r="G430">
        <v>2.0634999999999999</v>
      </c>
      <c r="H430">
        <v>24</v>
      </c>
      <c r="I430">
        <v>666</v>
      </c>
      <c r="J430">
        <v>20.2</v>
      </c>
      <c r="K430">
        <v>3.65</v>
      </c>
      <c r="L430">
        <v>17.16</v>
      </c>
      <c r="M430">
        <v>11.7</v>
      </c>
      <c r="O430" s="101">
        <f t="shared" si="102"/>
        <v>0.60265000841720029</v>
      </c>
      <c r="P430" s="101">
        <f t="shared" si="103"/>
        <v>1.0159990707250266</v>
      </c>
      <c r="Q430" s="101">
        <f t="shared" si="104"/>
        <v>0.25314575034149683</v>
      </c>
      <c r="R430" s="101">
        <f t="shared" si="105"/>
        <v>-1.0252333735641068</v>
      </c>
      <c r="S430" s="101">
        <f t="shared" si="106"/>
        <v>7.2013671943631452E-2</v>
      </c>
      <c r="T430" s="101">
        <f t="shared" si="107"/>
        <v>-0.8231219561786044</v>
      </c>
      <c r="U430" s="101">
        <f t="shared" si="108"/>
        <v>1.6612452539705709</v>
      </c>
      <c r="V430" s="101">
        <f t="shared" si="109"/>
        <v>1.5309264594697112</v>
      </c>
      <c r="W430" s="101">
        <f t="shared" si="110"/>
        <v>0.80657583495378138</v>
      </c>
      <c r="X430" s="101">
        <f t="shared" si="111"/>
        <v>-3.8706819916490054</v>
      </c>
      <c r="Y430" s="101">
        <f t="shared" si="112"/>
        <v>0.63175437691788361</v>
      </c>
      <c r="Z430" s="101">
        <f t="shared" si="113"/>
        <v>-1.179015314763928</v>
      </c>
      <c r="AQ430" s="101">
        <v>3.6227300398006239</v>
      </c>
      <c r="AR430" s="101">
        <v>-0.35612842962455216</v>
      </c>
      <c r="AS430" s="101">
        <v>1.9600274298695439</v>
      </c>
      <c r="AT430" s="101">
        <v>-1.9013170464314275</v>
      </c>
      <c r="AU430" s="101">
        <v>1.8690865490818525</v>
      </c>
      <c r="AV430" s="101">
        <v>-0.50341661057144316</v>
      </c>
      <c r="AW430" s="101">
        <v>0.70419171789326085</v>
      </c>
      <c r="AX430" s="101">
        <v>-0.56482174911069905</v>
      </c>
      <c r="AY430" s="101">
        <v>0.12916198433904352</v>
      </c>
      <c r="AZ430" s="101">
        <v>9.5204931859910663E-2</v>
      </c>
      <c r="BA430" s="101">
        <v>-0.62971014168800088</v>
      </c>
      <c r="BB430" s="101">
        <v>-0.16410544984097558</v>
      </c>
    </row>
    <row r="431" spans="2:54">
      <c r="B431">
        <v>15.860300000000001</v>
      </c>
      <c r="C431">
        <v>18.100000000000001</v>
      </c>
      <c r="D431">
        <v>0.67900000000000005</v>
      </c>
      <c r="E431">
        <v>5.8959999999999999</v>
      </c>
      <c r="F431">
        <v>95.4</v>
      </c>
      <c r="G431">
        <v>1.9096</v>
      </c>
      <c r="H431">
        <v>24</v>
      </c>
      <c r="I431">
        <v>666</v>
      </c>
      <c r="J431">
        <v>20.2</v>
      </c>
      <c r="K431">
        <v>7.68</v>
      </c>
      <c r="L431">
        <v>24.39</v>
      </c>
      <c r="M431">
        <v>8.3000000000000007</v>
      </c>
      <c r="O431" s="101">
        <f t="shared" si="102"/>
        <v>1.4251969636851589</v>
      </c>
      <c r="P431" s="101">
        <f t="shared" si="103"/>
        <v>1.0159990707250266</v>
      </c>
      <c r="Q431" s="101">
        <f t="shared" si="104"/>
        <v>1.0737871063240203</v>
      </c>
      <c r="R431" s="101">
        <f t="shared" si="105"/>
        <v>-0.55367135177340865</v>
      </c>
      <c r="S431" s="101">
        <f t="shared" si="106"/>
        <v>0.95391585452024918</v>
      </c>
      <c r="T431" s="101">
        <f t="shared" si="107"/>
        <v>-0.89628126663182384</v>
      </c>
      <c r="U431" s="101">
        <f t="shared" si="108"/>
        <v>1.6612452539705709</v>
      </c>
      <c r="V431" s="101">
        <f t="shared" si="109"/>
        <v>1.5309264594697112</v>
      </c>
      <c r="W431" s="101">
        <f t="shared" si="110"/>
        <v>0.80657583495378138</v>
      </c>
      <c r="X431" s="101">
        <f t="shared" si="111"/>
        <v>-3.8264956274665467</v>
      </c>
      <c r="Y431" s="101">
        <f t="shared" si="112"/>
        <v>1.6452108307062245</v>
      </c>
      <c r="Z431" s="101">
        <f t="shared" si="113"/>
        <v>-1.5490627383272251</v>
      </c>
      <c r="AQ431" s="101">
        <v>4.715125987064706</v>
      </c>
      <c r="AR431" s="101">
        <v>-6.6576785181760911E-2</v>
      </c>
      <c r="AS431" s="101">
        <v>1.6374920115424139</v>
      </c>
      <c r="AT431" s="101">
        <v>-2.2053712964434249</v>
      </c>
      <c r="AU431" s="101">
        <v>1.3242813102161224</v>
      </c>
      <c r="AV431" s="101">
        <v>0.36503505314662199</v>
      </c>
      <c r="AW431" s="101">
        <v>-4.6225923231756449E-2</v>
      </c>
      <c r="AX431" s="101">
        <v>-0.20698317072416261</v>
      </c>
      <c r="AY431" s="101">
        <v>9.524447709787176E-2</v>
      </c>
      <c r="AZ431" s="101">
        <v>-4.3457031312376049E-2</v>
      </c>
      <c r="BA431" s="101">
        <v>-0.10911084778219038</v>
      </c>
      <c r="BB431" s="101">
        <v>-4.4743406780680339E-2</v>
      </c>
    </row>
    <row r="432" spans="2:54">
      <c r="B432">
        <v>12.247199999999999</v>
      </c>
      <c r="C432">
        <v>18.100000000000001</v>
      </c>
      <c r="D432">
        <v>0.58399999999999996</v>
      </c>
      <c r="E432">
        <v>5.8369999999999997</v>
      </c>
      <c r="F432">
        <v>59.7</v>
      </c>
      <c r="G432">
        <v>1.9976</v>
      </c>
      <c r="H432">
        <v>24</v>
      </c>
      <c r="I432">
        <v>666</v>
      </c>
      <c r="J432">
        <v>20.2</v>
      </c>
      <c r="K432">
        <v>24.65</v>
      </c>
      <c r="L432">
        <v>15.69</v>
      </c>
      <c r="M432">
        <v>10.199999999999999</v>
      </c>
      <c r="O432" s="101">
        <f t="shared" si="102"/>
        <v>1.004728836942679</v>
      </c>
      <c r="P432" s="101">
        <f t="shared" si="103"/>
        <v>1.0159990707250266</v>
      </c>
      <c r="Q432" s="101">
        <f t="shared" si="104"/>
        <v>0.25314575034149683</v>
      </c>
      <c r="R432" s="101">
        <f t="shared" si="105"/>
        <v>-0.63772621366359383</v>
      </c>
      <c r="S432" s="101">
        <f t="shared" si="106"/>
        <v>-0.31559656152754278</v>
      </c>
      <c r="T432" s="101">
        <f t="shared" si="107"/>
        <v>-0.85444878242205569</v>
      </c>
      <c r="U432" s="101">
        <f t="shared" si="108"/>
        <v>1.6612452539705709</v>
      </c>
      <c r="V432" s="101">
        <f t="shared" si="109"/>
        <v>1.5309264594697112</v>
      </c>
      <c r="W432" s="101">
        <f t="shared" si="110"/>
        <v>0.80657583495378138</v>
      </c>
      <c r="X432" s="101">
        <f t="shared" si="111"/>
        <v>-3.640430466132472</v>
      </c>
      <c r="Y432" s="101">
        <f t="shared" si="112"/>
        <v>0.42569891535925825</v>
      </c>
      <c r="Z432" s="101">
        <f t="shared" si="113"/>
        <v>-1.3422715310418531</v>
      </c>
      <c r="AQ432" s="101">
        <v>3.469423895288533</v>
      </c>
      <c r="AR432" s="101">
        <v>-0.24647513436342733</v>
      </c>
      <c r="AS432" s="101">
        <v>2.2967636728345338</v>
      </c>
      <c r="AT432" s="101">
        <v>-1.76804226352351</v>
      </c>
      <c r="AU432" s="101">
        <v>1.5448609111203255</v>
      </c>
      <c r="AV432" s="101">
        <v>-0.40749539244945621</v>
      </c>
      <c r="AW432" s="101">
        <v>0.82033074142927487</v>
      </c>
      <c r="AX432" s="101">
        <v>-0.13026274965943918</v>
      </c>
      <c r="AY432" s="101">
        <v>1.3543586902641236E-2</v>
      </c>
      <c r="AZ432" s="101">
        <v>-0.18631867457288193</v>
      </c>
      <c r="BA432" s="101">
        <v>-0.72547487303521097</v>
      </c>
      <c r="BB432" s="101">
        <v>-0.17134374345980052</v>
      </c>
    </row>
    <row r="433" spans="2:54">
      <c r="B433">
        <v>37.661900000000003</v>
      </c>
      <c r="C433">
        <v>18.100000000000001</v>
      </c>
      <c r="D433">
        <v>0.67900000000000005</v>
      </c>
      <c r="E433">
        <v>6.202</v>
      </c>
      <c r="F433">
        <v>78.7</v>
      </c>
      <c r="G433">
        <v>1.8629</v>
      </c>
      <c r="H433">
        <v>24</v>
      </c>
      <c r="I433">
        <v>666</v>
      </c>
      <c r="J433">
        <v>20.2</v>
      </c>
      <c r="K433">
        <v>18.82</v>
      </c>
      <c r="L433">
        <v>14.52</v>
      </c>
      <c r="M433">
        <v>10.9</v>
      </c>
      <c r="O433" s="101">
        <f t="shared" si="102"/>
        <v>3.9623196317510434</v>
      </c>
      <c r="P433" s="101">
        <f t="shared" si="103"/>
        <v>1.0159990707250266</v>
      </c>
      <c r="Q433" s="101">
        <f t="shared" si="104"/>
        <v>1.0737871063240203</v>
      </c>
      <c r="R433" s="101">
        <f t="shared" si="105"/>
        <v>-0.11772579688533027</v>
      </c>
      <c r="S433" s="101">
        <f t="shared" si="106"/>
        <v>0.36005430415615597</v>
      </c>
      <c r="T433" s="101">
        <f t="shared" si="107"/>
        <v>-0.91848100541132571</v>
      </c>
      <c r="U433" s="101">
        <f t="shared" si="108"/>
        <v>1.6612452539705709</v>
      </c>
      <c r="V433" s="101">
        <f t="shared" si="109"/>
        <v>1.5309264594697112</v>
      </c>
      <c r="W433" s="101">
        <f t="shared" si="110"/>
        <v>0.80657583495378138</v>
      </c>
      <c r="X433" s="101">
        <f t="shared" si="111"/>
        <v>-3.7043526753592046</v>
      </c>
      <c r="Y433" s="101">
        <f t="shared" si="112"/>
        <v>0.2616955888125973</v>
      </c>
      <c r="Z433" s="101">
        <f t="shared" si="113"/>
        <v>-1.2660852967788214</v>
      </c>
      <c r="AQ433" s="101">
        <v>4.5561625076584997</v>
      </c>
      <c r="AR433" s="101">
        <v>0.63645593857063398</v>
      </c>
      <c r="AS433" s="101">
        <v>3.1874088841464596</v>
      </c>
      <c r="AT433" s="101">
        <v>-2.1705565418701327</v>
      </c>
      <c r="AU433" s="101">
        <v>-0.18669901052149987</v>
      </c>
      <c r="AV433" s="101">
        <v>1.1650971777228438</v>
      </c>
      <c r="AW433" s="101">
        <v>1.3625015938091189</v>
      </c>
      <c r="AX433" s="101">
        <v>0.5551252452685409</v>
      </c>
      <c r="AY433" s="101">
        <v>-0.60515502988209002</v>
      </c>
      <c r="AZ433" s="101">
        <v>0.23711857815939394</v>
      </c>
      <c r="BA433" s="101">
        <v>-6.8513159240270016E-2</v>
      </c>
      <c r="BB433" s="101">
        <v>3.8451587320791736E-2</v>
      </c>
    </row>
    <row r="434" spans="2:54">
      <c r="B434">
        <v>7.3671100000000003</v>
      </c>
      <c r="C434">
        <v>18.100000000000001</v>
      </c>
      <c r="D434">
        <v>0.67900000000000005</v>
      </c>
      <c r="E434">
        <v>6.1929999999999996</v>
      </c>
      <c r="F434">
        <v>78.099999999999994</v>
      </c>
      <c r="G434">
        <v>1.9356</v>
      </c>
      <c r="H434">
        <v>24</v>
      </c>
      <c r="I434">
        <v>666</v>
      </c>
      <c r="J434">
        <v>20.2</v>
      </c>
      <c r="K434">
        <v>96.73</v>
      </c>
      <c r="L434">
        <v>21.52</v>
      </c>
      <c r="M434">
        <v>11</v>
      </c>
      <c r="O434" s="101">
        <f t="shared" si="102"/>
        <v>0.43681698821590476</v>
      </c>
      <c r="P434" s="101">
        <f t="shared" si="103"/>
        <v>1.0159990707250266</v>
      </c>
      <c r="Q434" s="101">
        <f t="shared" si="104"/>
        <v>1.0737871063240203</v>
      </c>
      <c r="R434" s="101">
        <f t="shared" si="105"/>
        <v>-0.13054772497027425</v>
      </c>
      <c r="S434" s="101">
        <f t="shared" si="106"/>
        <v>0.33871796102930202</v>
      </c>
      <c r="T434" s="101">
        <f t="shared" si="107"/>
        <v>-0.88392166902439229</v>
      </c>
      <c r="U434" s="101">
        <f t="shared" si="108"/>
        <v>1.6612452539705709</v>
      </c>
      <c r="V434" s="101">
        <f t="shared" si="109"/>
        <v>1.5309264594697112</v>
      </c>
      <c r="W434" s="101">
        <f t="shared" si="110"/>
        <v>0.80657583495378138</v>
      </c>
      <c r="X434" s="101">
        <f t="shared" si="111"/>
        <v>-2.850119515692866</v>
      </c>
      <c r="Y434" s="101">
        <f t="shared" si="112"/>
        <v>1.2429120724250988</v>
      </c>
      <c r="Z434" s="101">
        <f t="shared" si="113"/>
        <v>-1.2552015490269597</v>
      </c>
      <c r="AQ434" s="101">
        <v>3.7703517482126783</v>
      </c>
      <c r="AR434" s="101">
        <v>0.1505382963592512</v>
      </c>
      <c r="AS434" s="101">
        <v>1.3411172708079624</v>
      </c>
      <c r="AT434" s="101">
        <v>-1.2666098484256918</v>
      </c>
      <c r="AU434" s="101">
        <v>1.4679900166067341</v>
      </c>
      <c r="AV434" s="101">
        <v>-0.35517595042557654</v>
      </c>
      <c r="AW434" s="101">
        <v>-0.2327318045888272</v>
      </c>
      <c r="AX434" s="101">
        <v>-4.3635476812961982E-2</v>
      </c>
      <c r="AY434" s="101">
        <v>0.1037074967728514</v>
      </c>
      <c r="AZ434" s="101">
        <v>-0.51471283545617397</v>
      </c>
      <c r="BA434" s="101">
        <v>-0.15879933127536894</v>
      </c>
      <c r="BB434" s="101">
        <v>-8.675326598645243E-2</v>
      </c>
    </row>
    <row r="435" spans="2:54">
      <c r="B435">
        <v>9.3388899999999992</v>
      </c>
      <c r="C435">
        <v>18.100000000000001</v>
      </c>
      <c r="D435">
        <v>0.67900000000000005</v>
      </c>
      <c r="E435">
        <v>6.38</v>
      </c>
      <c r="F435">
        <v>95.6</v>
      </c>
      <c r="G435">
        <v>1.9681999999999999</v>
      </c>
      <c r="H435">
        <v>24</v>
      </c>
      <c r="I435">
        <v>666</v>
      </c>
      <c r="J435">
        <v>20.2</v>
      </c>
      <c r="K435">
        <v>60.72</v>
      </c>
      <c r="L435">
        <v>24.08</v>
      </c>
      <c r="M435">
        <v>9.5</v>
      </c>
      <c r="O435" s="101">
        <f t="shared" si="102"/>
        <v>0.66627940081126225</v>
      </c>
      <c r="P435" s="101">
        <f t="shared" si="103"/>
        <v>1.0159990707250266</v>
      </c>
      <c r="Q435" s="101">
        <f t="shared" si="104"/>
        <v>1.0737871063240203</v>
      </c>
      <c r="R435" s="101">
        <f t="shared" si="105"/>
        <v>0.13586344746132953</v>
      </c>
      <c r="S435" s="101">
        <f t="shared" si="106"/>
        <v>0.96102796889586661</v>
      </c>
      <c r="T435" s="101">
        <f t="shared" si="107"/>
        <v>-0.86842463510122825</v>
      </c>
      <c r="U435" s="101">
        <f t="shared" si="108"/>
        <v>1.6612452539705709</v>
      </c>
      <c r="V435" s="101">
        <f t="shared" si="109"/>
        <v>1.5309264594697112</v>
      </c>
      <c r="W435" s="101">
        <f t="shared" si="110"/>
        <v>0.80657583495378138</v>
      </c>
      <c r="X435" s="101">
        <f t="shared" si="111"/>
        <v>-3.2449460601619311</v>
      </c>
      <c r="Y435" s="101">
        <f t="shared" si="112"/>
        <v>1.6017569578605277</v>
      </c>
      <c r="Z435" s="101">
        <f t="shared" si="113"/>
        <v>-1.4184577653048849</v>
      </c>
      <c r="AQ435" s="101">
        <v>4.1987761298498425</v>
      </c>
      <c r="AR435" s="101">
        <v>0.30337825753090386</v>
      </c>
      <c r="AS435" s="101">
        <v>1.333383726190891</v>
      </c>
      <c r="AT435" s="101">
        <v>-1.609021567457761</v>
      </c>
      <c r="AU435" s="101">
        <v>1.590124428956845</v>
      </c>
      <c r="AV435" s="101">
        <v>0.16626505386096002</v>
      </c>
      <c r="AW435" s="101">
        <v>-0.61800165290340092</v>
      </c>
      <c r="AX435" s="101">
        <v>3.4162854877791693E-3</v>
      </c>
      <c r="AY435" s="101">
        <v>0.19934665189609668</v>
      </c>
      <c r="AZ435" s="101">
        <v>-0.28810496225072313</v>
      </c>
      <c r="BA435" s="101">
        <v>-0.17472104430795343</v>
      </c>
      <c r="BB435" s="101">
        <v>-8.236862962296182E-2</v>
      </c>
    </row>
    <row r="436" spans="2:54">
      <c r="B436">
        <v>8.4921299999999995</v>
      </c>
      <c r="C436">
        <v>18.100000000000001</v>
      </c>
      <c r="D436">
        <v>0.58399999999999996</v>
      </c>
      <c r="E436">
        <v>6.3479999999999999</v>
      </c>
      <c r="F436">
        <v>86.1</v>
      </c>
      <c r="G436">
        <v>2.0527000000000002</v>
      </c>
      <c r="H436">
        <v>24</v>
      </c>
      <c r="I436">
        <v>666</v>
      </c>
      <c r="J436">
        <v>20.2</v>
      </c>
      <c r="K436">
        <v>83.45</v>
      </c>
      <c r="L436">
        <v>17.64</v>
      </c>
      <c r="M436">
        <v>14.5</v>
      </c>
      <c r="O436" s="101">
        <f t="shared" si="102"/>
        <v>0.56773920236658537</v>
      </c>
      <c r="P436" s="101">
        <f t="shared" si="103"/>
        <v>1.0159990707250266</v>
      </c>
      <c r="Q436" s="101">
        <f t="shared" si="104"/>
        <v>0.25314575034149683</v>
      </c>
      <c r="R436" s="101">
        <f t="shared" si="105"/>
        <v>9.0274369825974893E-2</v>
      </c>
      <c r="S436" s="101">
        <f t="shared" si="106"/>
        <v>0.62320253605401721</v>
      </c>
      <c r="T436" s="101">
        <f t="shared" si="107"/>
        <v>-0.82825594287707582</v>
      </c>
      <c r="U436" s="101">
        <f t="shared" si="108"/>
        <v>1.6612452539705709</v>
      </c>
      <c r="V436" s="101">
        <f t="shared" si="109"/>
        <v>1.5309264594697112</v>
      </c>
      <c r="W436" s="101">
        <f t="shared" si="110"/>
        <v>0.80657583495378138</v>
      </c>
      <c r="X436" s="101">
        <f t="shared" si="111"/>
        <v>-2.9957261946861791</v>
      </c>
      <c r="Y436" s="101">
        <f t="shared" si="112"/>
        <v>0.69903779293702661</v>
      </c>
      <c r="Z436" s="101">
        <f t="shared" si="113"/>
        <v>-0.87427037771180094</v>
      </c>
      <c r="AQ436" s="101">
        <v>3.3031272328094499</v>
      </c>
      <c r="AR436" s="101">
        <v>0.44922820092371374</v>
      </c>
      <c r="AS436" s="101">
        <v>1.7269960084535765</v>
      </c>
      <c r="AT436" s="101">
        <v>-1.1380568729672442</v>
      </c>
      <c r="AU436" s="101">
        <v>1.5940425786622978</v>
      </c>
      <c r="AV436" s="101">
        <v>-3.7720816507400778E-2</v>
      </c>
      <c r="AW436" s="101">
        <v>-4.4327585109499357E-2</v>
      </c>
      <c r="AX436" s="101">
        <v>-0.19522911895642064</v>
      </c>
      <c r="AY436" s="101">
        <v>0.3160062007045879</v>
      </c>
      <c r="AZ436" s="101">
        <v>0.10302563481811661</v>
      </c>
      <c r="BA436" s="101">
        <v>-0.61272556262643674</v>
      </c>
      <c r="BB436" s="101">
        <v>-0.15521823056260264</v>
      </c>
    </row>
    <row r="437" spans="2:54">
      <c r="B437">
        <v>10.0623</v>
      </c>
      <c r="C437">
        <v>18.100000000000001</v>
      </c>
      <c r="D437">
        <v>0.58399999999999996</v>
      </c>
      <c r="E437">
        <v>6.8330000000000002</v>
      </c>
      <c r="F437">
        <v>94.3</v>
      </c>
      <c r="G437">
        <v>2.0882000000000001</v>
      </c>
      <c r="H437">
        <v>24</v>
      </c>
      <c r="I437">
        <v>666</v>
      </c>
      <c r="J437">
        <v>20.2</v>
      </c>
      <c r="K437">
        <v>81.33</v>
      </c>
      <c r="L437">
        <v>19.690000000000001</v>
      </c>
      <c r="M437">
        <v>14.1</v>
      </c>
      <c r="O437" s="101">
        <f t="shared" si="102"/>
        <v>0.75046496101352012</v>
      </c>
      <c r="P437" s="101">
        <f t="shared" si="103"/>
        <v>1.0159990707250266</v>
      </c>
      <c r="Q437" s="101">
        <f t="shared" si="104"/>
        <v>0.25314575034149683</v>
      </c>
      <c r="R437" s="101">
        <f t="shared" si="105"/>
        <v>0.78123382773681826</v>
      </c>
      <c r="S437" s="101">
        <f t="shared" si="106"/>
        <v>0.91479922545435044</v>
      </c>
      <c r="T437" s="101">
        <f t="shared" si="107"/>
        <v>-0.81138033845154445</v>
      </c>
      <c r="U437" s="101">
        <f t="shared" si="108"/>
        <v>1.6612452539705709</v>
      </c>
      <c r="V437" s="101">
        <f t="shared" si="109"/>
        <v>1.5309264594697112</v>
      </c>
      <c r="W437" s="101">
        <f t="shared" si="110"/>
        <v>0.80657583495378138</v>
      </c>
      <c r="X437" s="101">
        <f t="shared" si="111"/>
        <v>-3.0189706344049907</v>
      </c>
      <c r="Y437" s="101">
        <f t="shared" si="112"/>
        <v>0.98639404885211646</v>
      </c>
      <c r="Z437" s="101">
        <f t="shared" si="113"/>
        <v>-0.91780536871924767</v>
      </c>
      <c r="AQ437" s="101">
        <v>3.3981319921900921</v>
      </c>
      <c r="AR437" s="101">
        <v>0.80878388206980412</v>
      </c>
      <c r="AS437" s="101">
        <v>1.8195124389425541</v>
      </c>
      <c r="AT437" s="101">
        <v>-1.168230572294521</v>
      </c>
      <c r="AU437" s="101">
        <v>1.5858460487475141</v>
      </c>
      <c r="AV437" s="101">
        <v>0.40308879731735259</v>
      </c>
      <c r="AW437" s="101">
        <v>-0.50503612618267779</v>
      </c>
      <c r="AX437" s="101">
        <v>0.10274689836066786</v>
      </c>
      <c r="AY437" s="101">
        <v>0.49709163903785936</v>
      </c>
      <c r="AZ437" s="101">
        <v>3.3752479229896659E-2</v>
      </c>
      <c r="BA437" s="101">
        <v>-0.60052652724236255</v>
      </c>
      <c r="BB437" s="101">
        <v>-0.1411297351397586</v>
      </c>
    </row>
    <row r="438" spans="2:54">
      <c r="B438">
        <v>6.4440499999999998</v>
      </c>
      <c r="C438">
        <v>18.100000000000001</v>
      </c>
      <c r="D438">
        <v>0.58399999999999996</v>
      </c>
      <c r="E438">
        <v>6.4249999999999998</v>
      </c>
      <c r="F438">
        <v>74.8</v>
      </c>
      <c r="G438">
        <v>2.2004000000000001</v>
      </c>
      <c r="H438">
        <v>24</v>
      </c>
      <c r="I438">
        <v>666</v>
      </c>
      <c r="J438">
        <v>20.2</v>
      </c>
      <c r="K438">
        <v>97.95</v>
      </c>
      <c r="L438">
        <v>12.03</v>
      </c>
      <c r="M438">
        <v>16.100000000000001</v>
      </c>
      <c r="O438" s="101">
        <f t="shared" si="102"/>
        <v>0.32939751212309976</v>
      </c>
      <c r="P438" s="101">
        <f t="shared" si="103"/>
        <v>1.0159990707250266</v>
      </c>
      <c r="Q438" s="101">
        <f t="shared" si="104"/>
        <v>0.25314575034149683</v>
      </c>
      <c r="R438" s="101">
        <f t="shared" si="105"/>
        <v>0.19997308788604681</v>
      </c>
      <c r="S438" s="101">
        <f t="shared" si="106"/>
        <v>0.22136807383160706</v>
      </c>
      <c r="T438" s="101">
        <f t="shared" si="107"/>
        <v>-0.75804392108409013</v>
      </c>
      <c r="U438" s="101">
        <f t="shared" si="108"/>
        <v>1.6612452539705709</v>
      </c>
      <c r="V438" s="101">
        <f t="shared" si="109"/>
        <v>1.5309264594697112</v>
      </c>
      <c r="W438" s="101">
        <f t="shared" si="110"/>
        <v>0.80657583495378138</v>
      </c>
      <c r="X438" s="101">
        <f t="shared" si="111"/>
        <v>-2.8367429984961916</v>
      </c>
      <c r="Y438" s="101">
        <f t="shared" si="112"/>
        <v>-8.7337131786706851E-2</v>
      </c>
      <c r="Z438" s="101">
        <f t="shared" si="113"/>
        <v>-0.7001304136820139</v>
      </c>
      <c r="AQ438" s="101">
        <v>2.7428851229881586</v>
      </c>
      <c r="AR438" s="101">
        <v>0.65491317097080981</v>
      </c>
      <c r="AS438" s="101">
        <v>1.9328926134906284</v>
      </c>
      <c r="AT438" s="101">
        <v>-0.83105956605989872</v>
      </c>
      <c r="AU438" s="101">
        <v>1.7292096662463023</v>
      </c>
      <c r="AV438" s="101">
        <v>-0.42226725348661309</v>
      </c>
      <c r="AW438" s="101">
        <v>0.27778680989017474</v>
      </c>
      <c r="AX438" s="101">
        <v>-8.1216117902597973E-2</v>
      </c>
      <c r="AY438" s="101">
        <v>-3.7545801415144492E-2</v>
      </c>
      <c r="AZ438" s="101">
        <v>0.11572205645317164</v>
      </c>
      <c r="BA438" s="101">
        <v>-0.69551922375037289</v>
      </c>
      <c r="BB438" s="101">
        <v>-0.19383290195465203</v>
      </c>
    </row>
    <row r="439" spans="2:54">
      <c r="B439">
        <v>5.5810700000000004</v>
      </c>
      <c r="C439">
        <v>18.100000000000001</v>
      </c>
      <c r="D439">
        <v>0.71299999999999997</v>
      </c>
      <c r="E439">
        <v>6.4359999999999999</v>
      </c>
      <c r="F439">
        <v>87.9</v>
      </c>
      <c r="G439">
        <v>2.3157999999999999</v>
      </c>
      <c r="H439">
        <v>24</v>
      </c>
      <c r="I439">
        <v>666</v>
      </c>
      <c r="J439">
        <v>20.2</v>
      </c>
      <c r="K439">
        <v>100.19</v>
      </c>
      <c r="L439">
        <v>16.22</v>
      </c>
      <c r="M439">
        <v>14.3</v>
      </c>
      <c r="O439" s="101">
        <f t="shared" si="102"/>
        <v>0.2289697398454919</v>
      </c>
      <c r="P439" s="101">
        <f t="shared" si="103"/>
        <v>1.0159990707250266</v>
      </c>
      <c r="Q439" s="101">
        <f t="shared" si="104"/>
        <v>1.367490328465133</v>
      </c>
      <c r="R439" s="101">
        <f t="shared" si="105"/>
        <v>0.21564433332320013</v>
      </c>
      <c r="S439" s="101">
        <f t="shared" si="106"/>
        <v>0.68721156543457862</v>
      </c>
      <c r="T439" s="101">
        <f t="shared" si="107"/>
        <v>-0.70318632247264434</v>
      </c>
      <c r="U439" s="101">
        <f t="shared" si="108"/>
        <v>1.6612452539705709</v>
      </c>
      <c r="V439" s="101">
        <f t="shared" si="109"/>
        <v>1.5309264594697112</v>
      </c>
      <c r="W439" s="101">
        <f t="shared" si="110"/>
        <v>0.80657583495378138</v>
      </c>
      <c r="X439" s="101">
        <f t="shared" si="111"/>
        <v>-2.8121828357744278</v>
      </c>
      <c r="Y439" s="101">
        <f t="shared" si="112"/>
        <v>0.49999102054706179</v>
      </c>
      <c r="Z439" s="101">
        <f t="shared" si="113"/>
        <v>-0.89603787321552419</v>
      </c>
      <c r="AQ439" s="101">
        <v>3.4464395774875287</v>
      </c>
      <c r="AR439" s="101">
        <v>0.78271418693545258</v>
      </c>
      <c r="AS439" s="101">
        <v>1.3536090451457963</v>
      </c>
      <c r="AT439" s="101">
        <v>-0.99832957771095432</v>
      </c>
      <c r="AU439" s="101">
        <v>1.7167557405691785</v>
      </c>
      <c r="AV439" s="101">
        <v>-0.41992163783607478</v>
      </c>
      <c r="AW439" s="101">
        <v>-0.27053875972785391</v>
      </c>
      <c r="AX439" s="101">
        <v>6.000347462051081E-3</v>
      </c>
      <c r="AY439" s="101">
        <v>-0.38523636103207187</v>
      </c>
      <c r="AZ439" s="101">
        <v>-9.9768975509353403E-2</v>
      </c>
      <c r="BA439" s="101">
        <v>8.0991503294639555E-3</v>
      </c>
      <c r="BB439" s="101">
        <v>-9.2102269630471134E-2</v>
      </c>
    </row>
    <row r="440" spans="2:54">
      <c r="B440">
        <v>13.913399999999999</v>
      </c>
      <c r="C440">
        <v>18.100000000000001</v>
      </c>
      <c r="D440">
        <v>0.71299999999999997</v>
      </c>
      <c r="E440">
        <v>6.2080000000000002</v>
      </c>
      <c r="F440">
        <v>95</v>
      </c>
      <c r="G440">
        <v>2.2222</v>
      </c>
      <c r="H440">
        <v>24</v>
      </c>
      <c r="I440">
        <v>666</v>
      </c>
      <c r="J440">
        <v>20.2</v>
      </c>
      <c r="K440">
        <v>100.63</v>
      </c>
      <c r="L440">
        <v>15.17</v>
      </c>
      <c r="M440">
        <v>11.7</v>
      </c>
      <c r="O440" s="101">
        <f t="shared" si="102"/>
        <v>1.1986299171171328</v>
      </c>
      <c r="P440" s="101">
        <f t="shared" si="103"/>
        <v>1.0159990707250266</v>
      </c>
      <c r="Q440" s="101">
        <f t="shared" si="104"/>
        <v>1.367490328465133</v>
      </c>
      <c r="R440" s="101">
        <f t="shared" si="105"/>
        <v>-0.10917784482870097</v>
      </c>
      <c r="S440" s="101">
        <f t="shared" si="106"/>
        <v>0.93969162576901322</v>
      </c>
      <c r="T440" s="101">
        <f t="shared" si="107"/>
        <v>-0.74768087385939763</v>
      </c>
      <c r="U440" s="101">
        <f t="shared" si="108"/>
        <v>1.6612452539705709</v>
      </c>
      <c r="V440" s="101">
        <f t="shared" si="109"/>
        <v>1.5309264594697112</v>
      </c>
      <c r="W440" s="101">
        <f t="shared" si="110"/>
        <v>0.80657583495378138</v>
      </c>
      <c r="X440" s="101">
        <f t="shared" si="111"/>
        <v>-2.8073585180969389</v>
      </c>
      <c r="Y440" s="101">
        <f t="shared" si="112"/>
        <v>0.35280854800518674</v>
      </c>
      <c r="Z440" s="101">
        <f t="shared" si="113"/>
        <v>-1.179015314763928</v>
      </c>
      <c r="AQ440" s="101">
        <v>3.8820991583028244</v>
      </c>
      <c r="AR440" s="101">
        <v>0.61332403934101898</v>
      </c>
      <c r="AS440" s="101">
        <v>1.5611598629395882</v>
      </c>
      <c r="AT440" s="101">
        <v>-1.1599358812258185</v>
      </c>
      <c r="AU440" s="101">
        <v>1.0836884366286608</v>
      </c>
      <c r="AV440" s="101">
        <v>2.610389594867276E-2</v>
      </c>
      <c r="AW440" s="101">
        <v>8.0394259278611269E-2</v>
      </c>
      <c r="AX440" s="101">
        <v>9.6209619537310331E-2</v>
      </c>
      <c r="AY440" s="101">
        <v>-0.67780504456213775</v>
      </c>
      <c r="AZ440" s="101">
        <v>0.21592227462127087</v>
      </c>
      <c r="BA440" s="101">
        <v>-8.8281135383202647E-2</v>
      </c>
      <c r="BB440" s="101">
        <v>-9.3083867822758057E-2</v>
      </c>
    </row>
    <row r="441" spans="2:54">
      <c r="B441">
        <v>11.160399999999999</v>
      </c>
      <c r="C441">
        <v>18.100000000000001</v>
      </c>
      <c r="D441">
        <v>0.74</v>
      </c>
      <c r="E441">
        <v>6.6289999999999996</v>
      </c>
      <c r="F441">
        <v>94.6</v>
      </c>
      <c r="G441">
        <v>2.1246999999999998</v>
      </c>
      <c r="H441">
        <v>24</v>
      </c>
      <c r="I441">
        <v>666</v>
      </c>
      <c r="J441">
        <v>20.2</v>
      </c>
      <c r="K441">
        <v>109.85</v>
      </c>
      <c r="L441">
        <v>23.27</v>
      </c>
      <c r="M441">
        <v>13.4</v>
      </c>
      <c r="O441" s="101">
        <f t="shared" si="102"/>
        <v>0.87825440774234476</v>
      </c>
      <c r="P441" s="101">
        <f t="shared" si="103"/>
        <v>1.0159990707250266</v>
      </c>
      <c r="Q441" s="101">
        <f t="shared" si="104"/>
        <v>1.6007252401654291</v>
      </c>
      <c r="R441" s="101">
        <f t="shared" si="105"/>
        <v>0.49060345781143194</v>
      </c>
      <c r="S441" s="101">
        <f t="shared" si="106"/>
        <v>0.92546739701777725</v>
      </c>
      <c r="T441" s="101">
        <f t="shared" si="107"/>
        <v>-0.79402936488726583</v>
      </c>
      <c r="U441" s="101">
        <f t="shared" si="108"/>
        <v>1.6612452539705709</v>
      </c>
      <c r="V441" s="101">
        <f t="shared" si="109"/>
        <v>1.5309264594697112</v>
      </c>
      <c r="W441" s="101">
        <f t="shared" si="110"/>
        <v>0.80657583495378138</v>
      </c>
      <c r="X441" s="101">
        <f t="shared" si="111"/>
        <v>-2.706267134036823</v>
      </c>
      <c r="Y441" s="101">
        <f t="shared" si="112"/>
        <v>1.4882161933282241</v>
      </c>
      <c r="Z441" s="101">
        <f t="shared" si="113"/>
        <v>-0.9939916029822794</v>
      </c>
      <c r="AQ441" s="101">
        <v>4.056020079942301</v>
      </c>
      <c r="AR441" s="101">
        <v>0.80485054288940494</v>
      </c>
      <c r="AS441" s="101">
        <v>1.2776463196357684</v>
      </c>
      <c r="AT441" s="101">
        <v>-1.2025024351720972</v>
      </c>
      <c r="AU441" s="101">
        <v>1.1882602298755749</v>
      </c>
      <c r="AV441" s="101">
        <v>0.15042878460905773</v>
      </c>
      <c r="AW441" s="101">
        <v>-0.67217651110467358</v>
      </c>
      <c r="AX441" s="101">
        <v>0.17798077246034655</v>
      </c>
      <c r="AY441" s="101">
        <v>4.8713159654072302E-2</v>
      </c>
      <c r="AZ441" s="101">
        <v>-0.40706730669984936</v>
      </c>
      <c r="BA441" s="101">
        <v>0.33239129461202721</v>
      </c>
      <c r="BB441" s="101">
        <v>1.3014720001411365E-2</v>
      </c>
    </row>
    <row r="442" spans="2:54">
      <c r="B442">
        <v>14.4208</v>
      </c>
      <c r="C442">
        <v>18.100000000000001</v>
      </c>
      <c r="D442">
        <v>0.74</v>
      </c>
      <c r="E442">
        <v>6.4610000000000003</v>
      </c>
      <c r="F442">
        <v>93.3</v>
      </c>
      <c r="G442">
        <v>2.0026000000000002</v>
      </c>
      <c r="H442">
        <v>24</v>
      </c>
      <c r="I442">
        <v>666</v>
      </c>
      <c r="J442">
        <v>20.2</v>
      </c>
      <c r="K442">
        <v>27.49</v>
      </c>
      <c r="L442">
        <v>18.05</v>
      </c>
      <c r="M442">
        <v>9.6</v>
      </c>
      <c r="O442" s="101">
        <f t="shared" si="102"/>
        <v>1.2576776953433471</v>
      </c>
      <c r="P442" s="101">
        <f t="shared" si="103"/>
        <v>1.0159990707250266</v>
      </c>
      <c r="Q442" s="101">
        <f t="shared" si="104"/>
        <v>1.6007252401654291</v>
      </c>
      <c r="R442" s="101">
        <f t="shared" si="105"/>
        <v>0.25126080022582142</v>
      </c>
      <c r="S442" s="101">
        <f t="shared" si="106"/>
        <v>0.87923865357626108</v>
      </c>
      <c r="T442" s="101">
        <f t="shared" si="107"/>
        <v>-0.85207193672831882</v>
      </c>
      <c r="U442" s="101">
        <f t="shared" si="108"/>
        <v>1.6612452539705709</v>
      </c>
      <c r="V442" s="101">
        <f t="shared" si="109"/>
        <v>1.5309264594697112</v>
      </c>
      <c r="W442" s="101">
        <f t="shared" si="110"/>
        <v>0.80657583495378138</v>
      </c>
      <c r="X442" s="101">
        <f t="shared" si="111"/>
        <v>-3.6092916883959503</v>
      </c>
      <c r="Y442" s="101">
        <f t="shared" si="112"/>
        <v>0.7565090441200446</v>
      </c>
      <c r="Z442" s="101">
        <f t="shared" si="113"/>
        <v>-1.4075740175530234</v>
      </c>
      <c r="AQ442" s="101">
        <v>4.2732936597345708</v>
      </c>
      <c r="AR442" s="101">
        <v>0.74778669489342164</v>
      </c>
      <c r="AS442" s="101">
        <v>1.7909296591685022</v>
      </c>
      <c r="AT442" s="101">
        <v>-1.8056367727415124</v>
      </c>
      <c r="AU442" s="101">
        <v>1.5121816315978662</v>
      </c>
      <c r="AV442" s="101">
        <v>0.22651996274097719</v>
      </c>
      <c r="AW442" s="101">
        <v>-9.0576842274551372E-2</v>
      </c>
      <c r="AX442" s="101">
        <v>0.27590691431374542</v>
      </c>
      <c r="AY442" s="101">
        <v>-0.58726704497219762</v>
      </c>
      <c r="AZ442" s="101">
        <v>-0.12270087680347452</v>
      </c>
      <c r="BA442" s="101">
        <v>1.1811994089306221E-2</v>
      </c>
      <c r="BB442" s="101">
        <v>-5.247084636433913E-2</v>
      </c>
    </row>
    <row r="443" spans="2:54">
      <c r="B443">
        <v>15.177199999999999</v>
      </c>
      <c r="C443">
        <v>18.100000000000001</v>
      </c>
      <c r="D443">
        <v>0.74</v>
      </c>
      <c r="E443">
        <v>6.1520000000000001</v>
      </c>
      <c r="F443">
        <v>100</v>
      </c>
      <c r="G443">
        <v>1.9141999999999999</v>
      </c>
      <c r="H443">
        <v>24</v>
      </c>
      <c r="I443">
        <v>666</v>
      </c>
      <c r="J443">
        <v>20.2</v>
      </c>
      <c r="K443">
        <v>9.32</v>
      </c>
      <c r="L443">
        <v>26.45</v>
      </c>
      <c r="M443">
        <v>8.6999999999999993</v>
      </c>
      <c r="O443" s="101">
        <f t="shared" si="102"/>
        <v>1.345702408489402</v>
      </c>
      <c r="P443" s="101">
        <f t="shared" si="103"/>
        <v>1.0159990707250266</v>
      </c>
      <c r="Q443" s="101">
        <f t="shared" si="104"/>
        <v>1.6007252401654291</v>
      </c>
      <c r="R443" s="101">
        <f t="shared" si="105"/>
        <v>-0.18895873069057156</v>
      </c>
      <c r="S443" s="101">
        <f t="shared" si="106"/>
        <v>1.1174944851594601</v>
      </c>
      <c r="T443" s="101">
        <f t="shared" si="107"/>
        <v>-0.89409456859358594</v>
      </c>
      <c r="U443" s="101">
        <f t="shared" si="108"/>
        <v>1.6612452539705709</v>
      </c>
      <c r="V443" s="101">
        <f t="shared" si="109"/>
        <v>1.5309264594697112</v>
      </c>
      <c r="W443" s="101">
        <f t="shared" si="110"/>
        <v>0.80657583495378138</v>
      </c>
      <c r="X443" s="101">
        <f t="shared" si="111"/>
        <v>-3.8085140797595414</v>
      </c>
      <c r="Y443" s="101">
        <f t="shared" si="112"/>
        <v>1.9339688244550461</v>
      </c>
      <c r="Z443" s="101">
        <f t="shared" si="113"/>
        <v>-1.5055277473197783</v>
      </c>
      <c r="AQ443" s="101">
        <v>4.9198604074157739</v>
      </c>
      <c r="AR443" s="101">
        <v>0.24991849426585822</v>
      </c>
      <c r="AS443" s="101">
        <v>1.4551378662192005</v>
      </c>
      <c r="AT443" s="101">
        <v>-2.2269038278557445</v>
      </c>
      <c r="AU443" s="101">
        <v>1.3852800916635819</v>
      </c>
      <c r="AV443" s="101">
        <v>0.42960876280331234</v>
      </c>
      <c r="AW443" s="101">
        <v>-0.40650197246013792</v>
      </c>
      <c r="AX443" s="101">
        <v>-5.5291126639532617E-2</v>
      </c>
      <c r="AY443" s="101">
        <v>3.3963886207328042E-2</v>
      </c>
      <c r="AZ443" s="101">
        <v>-0.26556405278101086</v>
      </c>
      <c r="BA443" s="101">
        <v>0.2589979433902001</v>
      </c>
      <c r="BB443" s="101">
        <v>2.0587011259606991E-2</v>
      </c>
    </row>
    <row r="444" spans="2:54">
      <c r="B444">
        <v>13.678100000000001</v>
      </c>
      <c r="C444">
        <v>18.100000000000001</v>
      </c>
      <c r="D444">
        <v>0.74</v>
      </c>
      <c r="E444">
        <v>5.9349999999999996</v>
      </c>
      <c r="F444">
        <v>87.9</v>
      </c>
      <c r="G444">
        <v>1.8206</v>
      </c>
      <c r="H444">
        <v>24</v>
      </c>
      <c r="I444">
        <v>666</v>
      </c>
      <c r="J444">
        <v>20.2</v>
      </c>
      <c r="K444">
        <v>68.95</v>
      </c>
      <c r="L444">
        <v>34.020000000000003</v>
      </c>
      <c r="M444">
        <v>8.4</v>
      </c>
      <c r="O444" s="101">
        <f t="shared" si="102"/>
        <v>1.1712472954840463</v>
      </c>
      <c r="P444" s="101">
        <f t="shared" si="103"/>
        <v>1.0159990707250266</v>
      </c>
      <c r="Q444" s="101">
        <f t="shared" si="104"/>
        <v>1.6007252401654291</v>
      </c>
      <c r="R444" s="101">
        <f t="shared" si="105"/>
        <v>-0.49810966340532059</v>
      </c>
      <c r="S444" s="101">
        <f t="shared" si="106"/>
        <v>0.68721156543457862</v>
      </c>
      <c r="T444" s="101">
        <f t="shared" si="107"/>
        <v>-0.93858911998033923</v>
      </c>
      <c r="U444" s="101">
        <f t="shared" si="108"/>
        <v>1.6612452539705709</v>
      </c>
      <c r="V444" s="101">
        <f t="shared" si="109"/>
        <v>1.5309264594697112</v>
      </c>
      <c r="W444" s="101">
        <f t="shared" si="110"/>
        <v>0.80657583495378138</v>
      </c>
      <c r="X444" s="101">
        <f t="shared" si="111"/>
        <v>-3.1547093908761661</v>
      </c>
      <c r="Y444" s="101">
        <f t="shared" si="112"/>
        <v>2.9950843645902809</v>
      </c>
      <c r="Z444" s="101">
        <f t="shared" si="113"/>
        <v>-1.5381789905753633</v>
      </c>
      <c r="AQ444" s="101">
        <v>5.0388326771217011</v>
      </c>
      <c r="AR444" s="101">
        <v>-0.34129357156207596</v>
      </c>
      <c r="AS444" s="101">
        <v>1.0259653856937192</v>
      </c>
      <c r="AT444" s="101">
        <v>-2.0181178183402775</v>
      </c>
      <c r="AU444" s="101">
        <v>0.93046561588379917</v>
      </c>
      <c r="AV444" s="101">
        <v>0.19251057867862059</v>
      </c>
      <c r="AW444" s="101">
        <v>-0.69141762480257984</v>
      </c>
      <c r="AX444" s="101">
        <v>-0.16920198736630732</v>
      </c>
      <c r="AY444" s="101">
        <v>0.7125332632272251</v>
      </c>
      <c r="AZ444" s="101">
        <v>-0.89099996399433401</v>
      </c>
      <c r="BA444" s="101">
        <v>0.51033587774667055</v>
      </c>
      <c r="BB444" s="101">
        <v>8.4903241521599893E-2</v>
      </c>
    </row>
    <row r="445" spans="2:54">
      <c r="B445">
        <v>9.3906299999999998</v>
      </c>
      <c r="C445">
        <v>18.100000000000001</v>
      </c>
      <c r="D445">
        <v>0.74</v>
      </c>
      <c r="E445">
        <v>5.6269999999999998</v>
      </c>
      <c r="F445">
        <v>93.9</v>
      </c>
      <c r="G445">
        <v>1.8171999999999999</v>
      </c>
      <c r="H445">
        <v>24</v>
      </c>
      <c r="I445">
        <v>666</v>
      </c>
      <c r="J445">
        <v>20.2</v>
      </c>
      <c r="K445">
        <v>396.9</v>
      </c>
      <c r="L445">
        <v>22.88</v>
      </c>
      <c r="M445">
        <v>12.8</v>
      </c>
      <c r="O445" s="101">
        <f t="shared" si="102"/>
        <v>0.67230055186649351</v>
      </c>
      <c r="P445" s="101">
        <f t="shared" si="103"/>
        <v>1.0159990707250266</v>
      </c>
      <c r="Q445" s="101">
        <f t="shared" si="104"/>
        <v>1.6007252401654291</v>
      </c>
      <c r="R445" s="101">
        <f t="shared" si="105"/>
        <v>-0.93690453564560827</v>
      </c>
      <c r="S445" s="101">
        <f t="shared" si="106"/>
        <v>0.90057499670311503</v>
      </c>
      <c r="T445" s="101">
        <f t="shared" si="107"/>
        <v>-0.94020537505208035</v>
      </c>
      <c r="U445" s="101">
        <f t="shared" si="108"/>
        <v>1.6612452539705709</v>
      </c>
      <c r="V445" s="101">
        <f t="shared" si="109"/>
        <v>1.5309264594697112</v>
      </c>
      <c r="W445" s="101">
        <f t="shared" si="110"/>
        <v>0.80657583495378138</v>
      </c>
      <c r="X445" s="101">
        <f t="shared" si="111"/>
        <v>0.44105193260702835</v>
      </c>
      <c r="Y445" s="101">
        <f t="shared" si="112"/>
        <v>1.4335484178126703</v>
      </c>
      <c r="Z445" s="101">
        <f t="shared" si="113"/>
        <v>-1.0592940894934495</v>
      </c>
      <c r="AQ445" s="101">
        <v>3.6806094610273141</v>
      </c>
      <c r="AR445" s="101">
        <v>-0.22113674540017442</v>
      </c>
      <c r="AS445" s="101">
        <v>-0.25089848121929798</v>
      </c>
      <c r="AT445" s="101">
        <v>0.86452806984770747</v>
      </c>
      <c r="AU445" s="101">
        <v>-0.67775493102560203</v>
      </c>
      <c r="AV445" s="101">
        <v>-0.5667467007041036</v>
      </c>
      <c r="AW445" s="101">
        <v>-0.54332735968260137</v>
      </c>
      <c r="AX445" s="101">
        <v>-0.19755757465514723</v>
      </c>
      <c r="AY445" s="101">
        <v>-0.14958223447547997</v>
      </c>
      <c r="AZ445" s="101">
        <v>-0.39302097228564292</v>
      </c>
      <c r="BA445" s="101">
        <v>0.21124638387701472</v>
      </c>
      <c r="BB445" s="101">
        <v>-5.200203372995689E-2</v>
      </c>
    </row>
    <row r="446" spans="2:54">
      <c r="B446">
        <v>22.051100000000002</v>
      </c>
      <c r="C446">
        <v>18.100000000000001</v>
      </c>
      <c r="D446">
        <v>0.74</v>
      </c>
      <c r="E446">
        <v>5.8179999999999996</v>
      </c>
      <c r="F446">
        <v>92.4</v>
      </c>
      <c r="G446">
        <v>1.8662000000000001</v>
      </c>
      <c r="H446">
        <v>24</v>
      </c>
      <c r="I446">
        <v>666</v>
      </c>
      <c r="J446">
        <v>20.2</v>
      </c>
      <c r="K446">
        <v>391.45</v>
      </c>
      <c r="L446">
        <v>22.11</v>
      </c>
      <c r="M446">
        <v>10.5</v>
      </c>
      <c r="O446" s="101">
        <f t="shared" si="102"/>
        <v>2.1456403721259285</v>
      </c>
      <c r="P446" s="101">
        <f t="shared" si="103"/>
        <v>1.0159990707250266</v>
      </c>
      <c r="Q446" s="101">
        <f t="shared" si="104"/>
        <v>1.6007252401654291</v>
      </c>
      <c r="R446" s="101">
        <f t="shared" si="105"/>
        <v>-0.66479472850958587</v>
      </c>
      <c r="S446" s="101">
        <f t="shared" si="106"/>
        <v>0.84723413888598087</v>
      </c>
      <c r="T446" s="101">
        <f t="shared" si="107"/>
        <v>-0.91691228725345941</v>
      </c>
      <c r="U446" s="101">
        <f t="shared" si="108"/>
        <v>1.6612452539705709</v>
      </c>
      <c r="V446" s="101">
        <f t="shared" si="109"/>
        <v>1.5309264594697112</v>
      </c>
      <c r="W446" s="101">
        <f t="shared" si="110"/>
        <v>0.80657583495378138</v>
      </c>
      <c r="X446" s="101">
        <f t="shared" si="111"/>
        <v>0.38129617955630912</v>
      </c>
      <c r="Y446" s="101">
        <f t="shared" si="112"/>
        <v>1.3256146046152952</v>
      </c>
      <c r="Z446" s="101">
        <f t="shared" si="113"/>
        <v>-1.3096202877862682</v>
      </c>
      <c r="AQ446" s="101">
        <v>4.0270511791121972</v>
      </c>
      <c r="AR446" s="101">
        <v>-0.11637018312089631</v>
      </c>
      <c r="AS446" s="101">
        <v>0.44911111574009821</v>
      </c>
      <c r="AT446" s="101">
        <v>0.61168141897371975</v>
      </c>
      <c r="AU446" s="101">
        <v>-1.5317726123478683</v>
      </c>
      <c r="AV446" s="101">
        <v>0.14252608172319409</v>
      </c>
      <c r="AW446" s="101">
        <v>-0.20647406447525074</v>
      </c>
      <c r="AX446" s="101">
        <v>0.31120059749256024</v>
      </c>
      <c r="AY446" s="101">
        <v>-0.32475650516628429</v>
      </c>
      <c r="AZ446" s="101">
        <v>-0.3278919411855582</v>
      </c>
      <c r="BA446" s="101">
        <v>0.21163166748715434</v>
      </c>
      <c r="BB446" s="101">
        <v>-1.3849365480964604E-2</v>
      </c>
    </row>
    <row r="447" spans="2:54">
      <c r="B447">
        <v>9.7241800000000005</v>
      </c>
      <c r="C447">
        <v>18.100000000000001</v>
      </c>
      <c r="D447">
        <v>0.74</v>
      </c>
      <c r="E447">
        <v>6.4059999999999997</v>
      </c>
      <c r="F447">
        <v>97.2</v>
      </c>
      <c r="G447">
        <v>2.0651000000000002</v>
      </c>
      <c r="H447">
        <v>24</v>
      </c>
      <c r="I447">
        <v>666</v>
      </c>
      <c r="J447">
        <v>20.2</v>
      </c>
      <c r="K447">
        <v>385.96</v>
      </c>
      <c r="L447">
        <v>19.52</v>
      </c>
      <c r="M447">
        <v>17.100000000000001</v>
      </c>
      <c r="O447" s="101">
        <f t="shared" si="102"/>
        <v>0.71111684360349348</v>
      </c>
      <c r="P447" s="101">
        <f t="shared" si="103"/>
        <v>1.0159990707250266</v>
      </c>
      <c r="Q447" s="101">
        <f t="shared" si="104"/>
        <v>1.6007252401654291</v>
      </c>
      <c r="R447" s="101">
        <f t="shared" si="105"/>
        <v>0.17290457304005485</v>
      </c>
      <c r="S447" s="101">
        <f t="shared" si="106"/>
        <v>1.0179248839008099</v>
      </c>
      <c r="T447" s="101">
        <f t="shared" si="107"/>
        <v>-0.82236136555660855</v>
      </c>
      <c r="U447" s="101">
        <f t="shared" si="108"/>
        <v>1.6612452539705709</v>
      </c>
      <c r="V447" s="101">
        <f t="shared" si="109"/>
        <v>1.5309264594697112</v>
      </c>
      <c r="W447" s="101">
        <f t="shared" si="110"/>
        <v>0.80657583495378138</v>
      </c>
      <c r="X447" s="101">
        <f t="shared" si="111"/>
        <v>0.32110185217127246</v>
      </c>
      <c r="Y447" s="101">
        <f t="shared" si="112"/>
        <v>0.9625645056786698</v>
      </c>
      <c r="Z447" s="101">
        <f t="shared" si="113"/>
        <v>-0.59129293616339706</v>
      </c>
      <c r="AQ447" s="101">
        <v>3.2034274934287441</v>
      </c>
      <c r="AR447" s="101">
        <v>0.73958922766522117</v>
      </c>
      <c r="AS447" s="101">
        <v>0.18700050301252624</v>
      </c>
      <c r="AT447" s="101">
        <v>1.0317193123957145</v>
      </c>
      <c r="AU447" s="101">
        <v>-0.41381887024580943</v>
      </c>
      <c r="AV447" s="101">
        <v>-0.2832528817699187</v>
      </c>
      <c r="AW447" s="101">
        <v>-0.76331863789992993</v>
      </c>
      <c r="AX447" s="101">
        <v>0.16350517124957967</v>
      </c>
      <c r="AY447" s="101">
        <v>-0.17612095592767499</v>
      </c>
      <c r="AZ447" s="101">
        <v>-0.29791556507092204</v>
      </c>
      <c r="BA447" s="101">
        <v>0.29313857556833373</v>
      </c>
      <c r="BB447" s="101">
        <v>-3.1373744278235402E-2</v>
      </c>
    </row>
    <row r="448" spans="2:54">
      <c r="B448">
        <v>5.6663699999999997</v>
      </c>
      <c r="C448">
        <v>18.100000000000001</v>
      </c>
      <c r="D448">
        <v>0.74</v>
      </c>
      <c r="E448">
        <v>6.2190000000000003</v>
      </c>
      <c r="F448">
        <v>100</v>
      </c>
      <c r="G448">
        <v>2.0047999999999999</v>
      </c>
      <c r="H448">
        <v>24</v>
      </c>
      <c r="I448">
        <v>666</v>
      </c>
      <c r="J448">
        <v>20.2</v>
      </c>
      <c r="K448">
        <v>395.69</v>
      </c>
      <c r="L448">
        <v>16.59</v>
      </c>
      <c r="M448">
        <v>18.399999999999999</v>
      </c>
      <c r="O448" s="101">
        <f t="shared" si="102"/>
        <v>0.23889637658710805</v>
      </c>
      <c r="P448" s="101">
        <f t="shared" si="103"/>
        <v>1.0159990707250266</v>
      </c>
      <c r="Q448" s="101">
        <f t="shared" si="104"/>
        <v>1.6007252401654291</v>
      </c>
      <c r="R448" s="101">
        <f t="shared" si="105"/>
        <v>-9.3506599391547665E-2</v>
      </c>
      <c r="S448" s="101">
        <f t="shared" si="106"/>
        <v>1.1174944851594601</v>
      </c>
      <c r="T448" s="101">
        <f t="shared" si="107"/>
        <v>-0.8510261246230747</v>
      </c>
      <c r="U448" s="101">
        <f t="shared" si="108"/>
        <v>1.6612452539705709</v>
      </c>
      <c r="V448" s="101">
        <f t="shared" si="109"/>
        <v>1.5309264594697112</v>
      </c>
      <c r="W448" s="101">
        <f t="shared" si="110"/>
        <v>0.80657583495378138</v>
      </c>
      <c r="X448" s="101">
        <f t="shared" si="111"/>
        <v>0.4277850589939331</v>
      </c>
      <c r="Y448" s="101">
        <f t="shared" si="112"/>
        <v>0.55185532039515128</v>
      </c>
      <c r="Z448" s="101">
        <f t="shared" si="113"/>
        <v>-0.44980421538919557</v>
      </c>
      <c r="AQ448" s="101">
        <v>2.9818479856299662</v>
      </c>
      <c r="AR448" s="101">
        <v>0.76582326854144411</v>
      </c>
      <c r="AS448" s="101">
        <v>-5.9144631764843594E-2</v>
      </c>
      <c r="AT448" s="101">
        <v>1.2607368589024086</v>
      </c>
      <c r="AU448" s="101">
        <v>-0.1617843915582568</v>
      </c>
      <c r="AV448" s="101">
        <v>-0.59399001449111832</v>
      </c>
      <c r="AW448" s="101">
        <v>-0.63829715767922235</v>
      </c>
      <c r="AX448" s="101">
        <v>-8.3289603441819099E-2</v>
      </c>
      <c r="AY448" s="101">
        <v>-0.40034079860746985</v>
      </c>
      <c r="AZ448" s="101">
        <v>-8.5180077147495273E-2</v>
      </c>
      <c r="BA448" s="101">
        <v>0.20180136352983064</v>
      </c>
      <c r="BB448" s="101">
        <v>-6.9749533608065489E-2</v>
      </c>
    </row>
    <row r="449" spans="2:54">
      <c r="B449">
        <v>9.9665400000000002</v>
      </c>
      <c r="C449">
        <v>18.100000000000001</v>
      </c>
      <c r="D449">
        <v>0.74</v>
      </c>
      <c r="E449">
        <v>6.4850000000000003</v>
      </c>
      <c r="F449">
        <v>100</v>
      </c>
      <c r="G449">
        <v>1.9783999999999999</v>
      </c>
      <c r="H449">
        <v>24</v>
      </c>
      <c r="I449">
        <v>666</v>
      </c>
      <c r="J449">
        <v>20.2</v>
      </c>
      <c r="K449">
        <v>386.73</v>
      </c>
      <c r="L449">
        <v>18.850000000000001</v>
      </c>
      <c r="M449">
        <v>15.4</v>
      </c>
      <c r="O449" s="101">
        <f t="shared" si="102"/>
        <v>0.73932106025880528</v>
      </c>
      <c r="P449" s="101">
        <f t="shared" si="103"/>
        <v>1.0159990707250266</v>
      </c>
      <c r="Q449" s="101">
        <f t="shared" si="104"/>
        <v>1.6007252401654291</v>
      </c>
      <c r="R449" s="101">
        <f t="shared" si="105"/>
        <v>0.28545260845233739</v>
      </c>
      <c r="S449" s="101">
        <f t="shared" si="106"/>
        <v>1.1174944851594601</v>
      </c>
      <c r="T449" s="101">
        <f t="shared" si="107"/>
        <v>-0.86357586988600521</v>
      </c>
      <c r="U449" s="101">
        <f t="shared" si="108"/>
        <v>1.6612452539705709</v>
      </c>
      <c r="V449" s="101">
        <f t="shared" si="109"/>
        <v>1.5309264594697112</v>
      </c>
      <c r="W449" s="101">
        <f t="shared" si="110"/>
        <v>0.80657583495378138</v>
      </c>
      <c r="X449" s="101">
        <f t="shared" si="111"/>
        <v>0.32954440810687913</v>
      </c>
      <c r="Y449" s="101">
        <f t="shared" si="112"/>
        <v>0.86864807081861628</v>
      </c>
      <c r="Z449" s="101">
        <f t="shared" si="113"/>
        <v>-0.77631664794504573</v>
      </c>
      <c r="AQ449" s="101">
        <v>3.2483363313426272</v>
      </c>
      <c r="AR449" s="101">
        <v>0.77075723572170518</v>
      </c>
      <c r="AS449" s="101">
        <v>0.18256640721734696</v>
      </c>
      <c r="AT449" s="101">
        <v>1.0456775818054758</v>
      </c>
      <c r="AU449" s="101">
        <v>-0.39551578263018061</v>
      </c>
      <c r="AV449" s="101">
        <v>-0.19449366804864421</v>
      </c>
      <c r="AW449" s="101">
        <v>-0.82819065245091816</v>
      </c>
      <c r="AX449" s="101">
        <v>0.28374611239074127</v>
      </c>
      <c r="AY449" s="101">
        <v>-0.30925974273247608</v>
      </c>
      <c r="AZ449" s="101">
        <v>-0.28387868593451759</v>
      </c>
      <c r="BA449" s="101">
        <v>0.1543240386834504</v>
      </c>
      <c r="BB449" s="101">
        <v>-6.1803565677741951E-2</v>
      </c>
    </row>
    <row r="450" spans="2:54">
      <c r="B450">
        <v>12.802300000000001</v>
      </c>
      <c r="C450">
        <v>18.100000000000001</v>
      </c>
      <c r="D450">
        <v>0.74</v>
      </c>
      <c r="E450">
        <v>5.8540000000000001</v>
      </c>
      <c r="F450">
        <v>96.6</v>
      </c>
      <c r="G450">
        <v>1.8956</v>
      </c>
      <c r="H450">
        <v>24</v>
      </c>
      <c r="I450">
        <v>666</v>
      </c>
      <c r="J450">
        <v>20.2</v>
      </c>
      <c r="K450">
        <v>240.52</v>
      </c>
      <c r="L450">
        <v>23.79</v>
      </c>
      <c r="M450">
        <v>10.8</v>
      </c>
      <c r="O450" s="101">
        <f t="shared" si="102"/>
        <v>1.0693276183643807</v>
      </c>
      <c r="P450" s="101">
        <f t="shared" si="103"/>
        <v>1.0159990707250266</v>
      </c>
      <c r="Q450" s="101">
        <f t="shared" si="104"/>
        <v>1.6007252401654291</v>
      </c>
      <c r="R450" s="101">
        <f t="shared" si="105"/>
        <v>-0.61350701616981118</v>
      </c>
      <c r="S450" s="101">
        <f t="shared" si="106"/>
        <v>0.99658854077395598</v>
      </c>
      <c r="T450" s="101">
        <f t="shared" si="107"/>
        <v>-0.90293643457428696</v>
      </c>
      <c r="U450" s="101">
        <f t="shared" si="108"/>
        <v>1.6612452539705709</v>
      </c>
      <c r="V450" s="101">
        <f t="shared" si="109"/>
        <v>1.5309264594697112</v>
      </c>
      <c r="W450" s="101">
        <f t="shared" si="110"/>
        <v>0.80657583495378138</v>
      </c>
      <c r="X450" s="101">
        <f t="shared" si="111"/>
        <v>-1.273554427406089</v>
      </c>
      <c r="Y450" s="101">
        <f t="shared" si="112"/>
        <v>1.5611065606822956</v>
      </c>
      <c r="Z450" s="101">
        <f t="shared" si="113"/>
        <v>-1.2769690445306829</v>
      </c>
      <c r="AQ450" s="101">
        <v>4.1917861837016925</v>
      </c>
      <c r="AR450" s="101">
        <v>-1.8025474503382544E-2</v>
      </c>
      <c r="AS450" s="101">
        <v>0.50692035763360233</v>
      </c>
      <c r="AT450" s="101">
        <v>-0.39117916023757915</v>
      </c>
      <c r="AU450" s="101">
        <v>8.6540916275077429E-2</v>
      </c>
      <c r="AV450" s="101">
        <v>-0.11122127604652361</v>
      </c>
      <c r="AW450" s="101">
        <v>-0.44916894375363187</v>
      </c>
      <c r="AX450" s="101">
        <v>-8.3158210974179858E-2</v>
      </c>
      <c r="AY450" s="101">
        <v>-0.13998706317130971</v>
      </c>
      <c r="AZ450" s="101">
        <v>-0.30150663132083627</v>
      </c>
      <c r="BA450" s="101">
        <v>0.21319757569640529</v>
      </c>
      <c r="BB450" s="101">
        <v>-2.6877115602769786E-2</v>
      </c>
    </row>
    <row r="451" spans="2:54">
      <c r="B451">
        <v>10.671799999999999</v>
      </c>
      <c r="C451">
        <v>18.100000000000001</v>
      </c>
      <c r="D451">
        <v>0.74</v>
      </c>
      <c r="E451">
        <v>6.4589999999999996</v>
      </c>
      <c r="F451">
        <v>94.8</v>
      </c>
      <c r="G451">
        <v>1.9879</v>
      </c>
      <c r="H451">
        <v>24</v>
      </c>
      <c r="I451">
        <v>666</v>
      </c>
      <c r="J451">
        <v>20.2</v>
      </c>
      <c r="K451">
        <v>43.06</v>
      </c>
      <c r="L451">
        <v>23.98</v>
      </c>
      <c r="M451">
        <v>11.8</v>
      </c>
      <c r="O451" s="101">
        <f t="shared" si="102"/>
        <v>0.821394446289195</v>
      </c>
      <c r="P451" s="101">
        <f t="shared" si="103"/>
        <v>1.0159990707250266</v>
      </c>
      <c r="Q451" s="101">
        <f t="shared" si="104"/>
        <v>1.6007252401654291</v>
      </c>
      <c r="R451" s="101">
        <f t="shared" si="105"/>
        <v>0.24841148287361078</v>
      </c>
      <c r="S451" s="101">
        <f t="shared" si="106"/>
        <v>0.93257951139339523</v>
      </c>
      <c r="T451" s="101">
        <f t="shared" si="107"/>
        <v>-0.85905986306790516</v>
      </c>
      <c r="U451" s="101">
        <f t="shared" si="108"/>
        <v>1.6612452539705709</v>
      </c>
      <c r="V451" s="101">
        <f t="shared" si="109"/>
        <v>1.5309264594697112</v>
      </c>
      <c r="W451" s="101">
        <f t="shared" si="110"/>
        <v>0.80657583495378138</v>
      </c>
      <c r="X451" s="101">
        <f t="shared" si="111"/>
        <v>-3.438576628762978</v>
      </c>
      <c r="Y451" s="101">
        <f t="shared" si="112"/>
        <v>1.5877395795232065</v>
      </c>
      <c r="Z451" s="101">
        <f t="shared" si="113"/>
        <v>-1.1681315670120662</v>
      </c>
      <c r="AQ451" s="101">
        <v>4.346085971076274</v>
      </c>
      <c r="AR451" s="101">
        <v>0.63918306649886802</v>
      </c>
      <c r="AS451" s="101">
        <v>1.3931245095173921</v>
      </c>
      <c r="AT451" s="101">
        <v>-1.7538810072914168</v>
      </c>
      <c r="AU451" s="101">
        <v>1.5984730052246894</v>
      </c>
      <c r="AV451" s="101">
        <v>0.14639686717546135</v>
      </c>
      <c r="AW451" s="101">
        <v>-0.53542903039370904</v>
      </c>
      <c r="AX451" s="101">
        <v>2.8257507143611305E-2</v>
      </c>
      <c r="AY451" s="101">
        <v>2.778544670502836E-2</v>
      </c>
      <c r="AZ451" s="101">
        <v>-0.38457847343712581</v>
      </c>
      <c r="BA451" s="101">
        <v>0.27433396601951532</v>
      </c>
      <c r="BB451" s="101">
        <v>8.9122804960641289E-3</v>
      </c>
    </row>
    <row r="452" spans="2:54">
      <c r="B452">
        <v>6.2880700000000003</v>
      </c>
      <c r="C452">
        <v>18.100000000000001</v>
      </c>
      <c r="D452">
        <v>0.74</v>
      </c>
      <c r="E452">
        <v>6.3410000000000002</v>
      </c>
      <c r="F452">
        <v>96.4</v>
      </c>
      <c r="G452">
        <v>2.0720000000000001</v>
      </c>
      <c r="H452">
        <v>24</v>
      </c>
      <c r="I452">
        <v>666</v>
      </c>
      <c r="J452">
        <v>20.2</v>
      </c>
      <c r="K452">
        <v>318.01</v>
      </c>
      <c r="L452">
        <v>17.79</v>
      </c>
      <c r="M452">
        <v>14.9</v>
      </c>
      <c r="O452" s="101">
        <f t="shared" si="102"/>
        <v>0.31124561530062272</v>
      </c>
      <c r="P452" s="101">
        <f t="shared" si="103"/>
        <v>1.0159990707250266</v>
      </c>
      <c r="Q452" s="101">
        <f t="shared" si="104"/>
        <v>1.6007252401654291</v>
      </c>
      <c r="R452" s="101">
        <f t="shared" si="105"/>
        <v>8.030175909324154E-2</v>
      </c>
      <c r="S452" s="101">
        <f t="shared" si="106"/>
        <v>0.98947642639833855</v>
      </c>
      <c r="T452" s="101">
        <f t="shared" si="107"/>
        <v>-0.81908131849925181</v>
      </c>
      <c r="U452" s="101">
        <f t="shared" si="108"/>
        <v>1.6612452539705709</v>
      </c>
      <c r="V452" s="101">
        <f t="shared" si="109"/>
        <v>1.5309264594697112</v>
      </c>
      <c r="W452" s="101">
        <f t="shared" si="110"/>
        <v>0.80657583495378138</v>
      </c>
      <c r="X452" s="101">
        <f t="shared" si="111"/>
        <v>-0.42392629825008149</v>
      </c>
      <c r="Y452" s="101">
        <f t="shared" si="112"/>
        <v>0.72006386044300863</v>
      </c>
      <c r="Z452" s="101">
        <f t="shared" si="113"/>
        <v>-0.83073538670435421</v>
      </c>
      <c r="AQ452" s="101">
        <v>3.2535004592326215</v>
      </c>
      <c r="AR452" s="101">
        <v>0.66446839284036785</v>
      </c>
      <c r="AS452" s="101">
        <v>0.30477588804224298</v>
      </c>
      <c r="AT452" s="101">
        <v>0.58637854987955784</v>
      </c>
      <c r="AU452" s="101">
        <v>0.28091039049468003</v>
      </c>
      <c r="AV452" s="101">
        <v>-0.46901402334330211</v>
      </c>
      <c r="AW452" s="101">
        <v>-0.68796320070124306</v>
      </c>
      <c r="AX452" s="101">
        <v>0.10496862228621062</v>
      </c>
      <c r="AY452" s="101">
        <v>-0.40969512885037057</v>
      </c>
      <c r="AZ452" s="101">
        <v>-0.23566683834381255</v>
      </c>
      <c r="BA452" s="101">
        <v>0.11290108945611765</v>
      </c>
      <c r="BB452" s="101">
        <v>-8.587516104358027E-2</v>
      </c>
    </row>
    <row r="453" spans="2:54">
      <c r="B453">
        <v>9.9248499999999993</v>
      </c>
      <c r="C453">
        <v>18.100000000000001</v>
      </c>
      <c r="D453">
        <v>0.74</v>
      </c>
      <c r="E453">
        <v>6.2510000000000003</v>
      </c>
      <c r="F453">
        <v>96.6</v>
      </c>
      <c r="G453">
        <v>2.198</v>
      </c>
      <c r="H453">
        <v>24</v>
      </c>
      <c r="I453">
        <v>666</v>
      </c>
      <c r="J453">
        <v>20.2</v>
      </c>
      <c r="K453">
        <v>388.52</v>
      </c>
      <c r="L453">
        <v>16.440000000000001</v>
      </c>
      <c r="M453">
        <v>12.6</v>
      </c>
      <c r="O453" s="101">
        <f t="shared" si="102"/>
        <v>0.73446946019130255</v>
      </c>
      <c r="P453" s="101">
        <f t="shared" si="103"/>
        <v>1.0159990707250266</v>
      </c>
      <c r="Q453" s="101">
        <f t="shared" si="104"/>
        <v>1.6007252401654291</v>
      </c>
      <c r="R453" s="101">
        <f t="shared" si="105"/>
        <v>-4.7917521756193029E-2</v>
      </c>
      <c r="S453" s="101">
        <f t="shared" si="106"/>
        <v>0.99658854077395598</v>
      </c>
      <c r="T453" s="101">
        <f t="shared" si="107"/>
        <v>-0.75918480701708391</v>
      </c>
      <c r="U453" s="101">
        <f t="shared" si="108"/>
        <v>1.6612452539705709</v>
      </c>
      <c r="V453" s="101">
        <f t="shared" si="109"/>
        <v>1.5309264594697112</v>
      </c>
      <c r="W453" s="101">
        <f t="shared" si="110"/>
        <v>0.80657583495378138</v>
      </c>
      <c r="X453" s="101">
        <f t="shared" si="111"/>
        <v>0.34917060956757373</v>
      </c>
      <c r="Y453" s="101">
        <f t="shared" si="112"/>
        <v>0.53082925288916938</v>
      </c>
      <c r="Z453" s="101">
        <f t="shared" si="113"/>
        <v>-1.081061584997173</v>
      </c>
      <c r="AQ453" s="101">
        <v>3.2204572711678479</v>
      </c>
      <c r="AR453" s="101">
        <v>0.45565625182065717</v>
      </c>
      <c r="AS453" s="101">
        <v>0.21625671980894273</v>
      </c>
      <c r="AT453" s="101">
        <v>1.0375436465470711</v>
      </c>
      <c r="AU453" s="101">
        <v>-0.42555886038249879</v>
      </c>
      <c r="AV453" s="101">
        <v>-0.39669547824135881</v>
      </c>
      <c r="AW453" s="101">
        <v>-0.63568085298737431</v>
      </c>
      <c r="AX453" s="101">
        <v>0.33490545937325245</v>
      </c>
      <c r="AY453" s="101">
        <v>-0.65816721167559988</v>
      </c>
      <c r="AZ453" s="101">
        <v>-0.1649165901264836</v>
      </c>
      <c r="BA453" s="101">
        <v>6.713322821665979E-3</v>
      </c>
      <c r="BB453" s="101">
        <v>-0.12214662995465378</v>
      </c>
    </row>
    <row r="454" spans="2:54">
      <c r="B454">
        <v>9.3290900000000008</v>
      </c>
      <c r="C454">
        <v>18.100000000000001</v>
      </c>
      <c r="D454">
        <v>0.71299999999999997</v>
      </c>
      <c r="E454">
        <v>6.1849999999999996</v>
      </c>
      <c r="F454">
        <v>98.7</v>
      </c>
      <c r="G454">
        <v>2.2616000000000001</v>
      </c>
      <c r="H454">
        <v>24</v>
      </c>
      <c r="I454">
        <v>666</v>
      </c>
      <c r="J454">
        <v>20.2</v>
      </c>
      <c r="K454">
        <v>396.9</v>
      </c>
      <c r="L454">
        <v>18.13</v>
      </c>
      <c r="M454">
        <v>14.1</v>
      </c>
      <c r="O454" s="101">
        <f t="shared" ref="O454:O511" si="114">(B454-B$1)/B$2</f>
        <v>0.66513894313168631</v>
      </c>
      <c r="P454" s="101">
        <f t="shared" ref="P454:P511" si="115">(C454-C$1)/C$2</f>
        <v>1.0159990707250266</v>
      </c>
      <c r="Q454" s="101">
        <f t="shared" ref="Q454:Q511" si="116">(D454-D$1)/D$2</f>
        <v>1.367490328465133</v>
      </c>
      <c r="R454" s="101">
        <f t="shared" ref="R454:R511" si="117">(E454-E$1)/E$2</f>
        <v>-0.1419449943791129</v>
      </c>
      <c r="S454" s="101">
        <f t="shared" ref="S454:S511" si="118">(F454-F$1)/F$2</f>
        <v>1.0712657417179441</v>
      </c>
      <c r="T454" s="101">
        <f t="shared" ref="T454:T511" si="119">(G454-G$1)/G$2</f>
        <v>-0.72895132979275146</v>
      </c>
      <c r="U454" s="101">
        <f t="shared" ref="U454:U511" si="120">(H454-H$1)/H$2</f>
        <v>1.6612452539705709</v>
      </c>
      <c r="V454" s="101">
        <f t="shared" ref="V454:V511" si="121">(I454-I$1)/I$2</f>
        <v>1.5309264594697112</v>
      </c>
      <c r="W454" s="101">
        <f t="shared" ref="W454:W511" si="122">(J454-J$1)/J$2</f>
        <v>0.80657583495378138</v>
      </c>
      <c r="X454" s="101">
        <f t="shared" ref="X454:X511" si="123">(K454-K$1)/K$2</f>
        <v>0.44105193260702835</v>
      </c>
      <c r="Y454" s="101">
        <f t="shared" ref="Y454:Y511" si="124">(L454-L$1)/L$2</f>
        <v>0.76772294678990149</v>
      </c>
      <c r="Z454" s="101">
        <f t="shared" ref="Z454:Z511" si="125">(M454-M$1)/M$2</f>
        <v>-0.91780536871924767</v>
      </c>
      <c r="AQ454" s="101">
        <v>3.1701007109649866</v>
      </c>
      <c r="AR454" s="101">
        <v>0.36196254042129145</v>
      </c>
      <c r="AS454" s="101">
        <v>0.13492618150543967</v>
      </c>
      <c r="AT454" s="101">
        <v>1.0943550435366372</v>
      </c>
      <c r="AU454" s="101">
        <v>-0.46892726219092806</v>
      </c>
      <c r="AV454" s="101">
        <v>-0.36213025625155204</v>
      </c>
      <c r="AW454" s="101">
        <v>-0.71532462832684918</v>
      </c>
      <c r="AX454" s="101">
        <v>0.15880812609232414</v>
      </c>
      <c r="AY454" s="101">
        <v>-0.34502633042110281</v>
      </c>
      <c r="AZ454" s="101">
        <v>-8.7213151720114901E-2</v>
      </c>
      <c r="BA454" s="101">
        <v>2.6939224758596447E-3</v>
      </c>
      <c r="BB454" s="101">
        <v>-0.11480513184440219</v>
      </c>
    </row>
    <row r="455" spans="2:54">
      <c r="B455">
        <v>7.5260100000000003</v>
      </c>
      <c r="C455">
        <v>18.100000000000001</v>
      </c>
      <c r="D455">
        <v>0.71299999999999997</v>
      </c>
      <c r="E455">
        <v>6.4169999999999998</v>
      </c>
      <c r="F455">
        <v>98.3</v>
      </c>
      <c r="G455">
        <v>2.1850000000000001</v>
      </c>
      <c r="H455">
        <v>24</v>
      </c>
      <c r="I455">
        <v>666</v>
      </c>
      <c r="J455">
        <v>20.2</v>
      </c>
      <c r="K455">
        <v>304.20999999999998</v>
      </c>
      <c r="L455">
        <v>19.309999999999999</v>
      </c>
      <c r="M455">
        <v>13</v>
      </c>
      <c r="O455" s="101">
        <f t="shared" si="114"/>
        <v>0.45530869487760245</v>
      </c>
      <c r="P455" s="101">
        <f t="shared" si="115"/>
        <v>1.0159990707250266</v>
      </c>
      <c r="Q455" s="101">
        <f t="shared" si="116"/>
        <v>1.367490328465133</v>
      </c>
      <c r="R455" s="101">
        <f t="shared" si="117"/>
        <v>0.18857581847720814</v>
      </c>
      <c r="S455" s="101">
        <f t="shared" si="118"/>
        <v>1.0570415129667081</v>
      </c>
      <c r="T455" s="101">
        <f t="shared" si="119"/>
        <v>-0.76536460582079957</v>
      </c>
      <c r="U455" s="101">
        <f t="shared" si="120"/>
        <v>1.6612452539705709</v>
      </c>
      <c r="V455" s="101">
        <f t="shared" si="121"/>
        <v>1.5309264594697112</v>
      </c>
      <c r="W455" s="101">
        <f t="shared" si="122"/>
        <v>0.80657583495378138</v>
      </c>
      <c r="X455" s="101">
        <f t="shared" si="123"/>
        <v>-0.57523444358951781</v>
      </c>
      <c r="Y455" s="101">
        <f t="shared" si="124"/>
        <v>0.93312801117029465</v>
      </c>
      <c r="Z455" s="101">
        <f t="shared" si="125"/>
        <v>-1.037526593989726</v>
      </c>
      <c r="AQ455" s="101">
        <v>3.3520716450837402</v>
      </c>
      <c r="AR455" s="101">
        <v>0.5258537643038107</v>
      </c>
      <c r="AS455" s="101">
        <v>0.43451440366150179</v>
      </c>
      <c r="AT455" s="101">
        <v>0.41366927017153576</v>
      </c>
      <c r="AU455" s="101">
        <v>0.27919431726019217</v>
      </c>
      <c r="AV455" s="101">
        <v>-0.25787331443077305</v>
      </c>
      <c r="AW455" s="101">
        <v>-0.83780838320127204</v>
      </c>
      <c r="AX455" s="101">
        <v>0.205810532440108</v>
      </c>
      <c r="AY455" s="101">
        <v>-0.24232048726422406</v>
      </c>
      <c r="AZ455" s="101">
        <v>-0.21417821886688557</v>
      </c>
      <c r="BA455" s="101">
        <v>-4.0080853864260635E-2</v>
      </c>
      <c r="BB455" s="101">
        <v>-0.11239293080061724</v>
      </c>
    </row>
    <row r="456" spans="2:54">
      <c r="B456">
        <v>6.7177199999999999</v>
      </c>
      <c r="C456">
        <v>18.100000000000001</v>
      </c>
      <c r="D456">
        <v>0.71299999999999997</v>
      </c>
      <c r="E456">
        <v>6.7489999999999997</v>
      </c>
      <c r="F456">
        <v>92.6</v>
      </c>
      <c r="G456">
        <v>2.3235999999999999</v>
      </c>
      <c r="H456">
        <v>24</v>
      </c>
      <c r="I456">
        <v>666</v>
      </c>
      <c r="J456">
        <v>20.2</v>
      </c>
      <c r="K456">
        <v>0.32</v>
      </c>
      <c r="L456">
        <v>17.440000000000001</v>
      </c>
      <c r="M456">
        <v>13.4</v>
      </c>
      <c r="O456" s="101">
        <f t="shared" si="114"/>
        <v>0.36124537469142465</v>
      </c>
      <c r="P456" s="101">
        <f t="shared" si="115"/>
        <v>1.0159990707250266</v>
      </c>
      <c r="Q456" s="101">
        <f t="shared" si="116"/>
        <v>1.367490328465133</v>
      </c>
      <c r="R456" s="101">
        <f t="shared" si="117"/>
        <v>0.66156249894401176</v>
      </c>
      <c r="S456" s="101">
        <f t="shared" si="118"/>
        <v>0.85434625326159841</v>
      </c>
      <c r="T456" s="101">
        <f t="shared" si="119"/>
        <v>-0.69947844319041497</v>
      </c>
      <c r="U456" s="101">
        <f t="shared" si="120"/>
        <v>1.6612452539705709</v>
      </c>
      <c r="V456" s="101">
        <f t="shared" si="121"/>
        <v>1.5309264594697112</v>
      </c>
      <c r="W456" s="101">
        <f t="shared" si="122"/>
        <v>0.80657583495378138</v>
      </c>
      <c r="X456" s="101">
        <f t="shared" si="123"/>
        <v>-3.9071933049809129</v>
      </c>
      <c r="Y456" s="101">
        <f t="shared" si="124"/>
        <v>0.67100303626238389</v>
      </c>
      <c r="Z456" s="101">
        <f t="shared" si="125"/>
        <v>-0.9939916029822794</v>
      </c>
      <c r="AQ456" s="101">
        <v>3.7470160661216338</v>
      </c>
      <c r="AR456" s="101">
        <v>1.0681354513573416</v>
      </c>
      <c r="AS456" s="101">
        <v>1.7895510333238747</v>
      </c>
      <c r="AT456" s="101">
        <v>-1.7651990330970837</v>
      </c>
      <c r="AU456" s="101">
        <v>2.3174573286433748</v>
      </c>
      <c r="AV456" s="101">
        <v>-5.6249043775495638E-2</v>
      </c>
      <c r="AW456" s="101">
        <v>-0.40092336984202925</v>
      </c>
      <c r="AX456" s="101">
        <v>0.12155230150516172</v>
      </c>
      <c r="AY456" s="101">
        <v>-0.29494362435564525</v>
      </c>
      <c r="AZ456" s="101">
        <v>-8.2568102297276541E-2</v>
      </c>
      <c r="BA456" s="101">
        <v>6.8632977044115195E-3</v>
      </c>
      <c r="BB456" s="101">
        <v>-7.4015137221063482E-2</v>
      </c>
    </row>
    <row r="457" spans="2:54">
      <c r="B457">
        <v>5.4411399999999999</v>
      </c>
      <c r="C457">
        <v>18.100000000000001</v>
      </c>
      <c r="D457">
        <v>0.71299999999999997</v>
      </c>
      <c r="E457">
        <v>6.6550000000000002</v>
      </c>
      <c r="F457">
        <v>98.2</v>
      </c>
      <c r="G457">
        <v>2.3552</v>
      </c>
      <c r="H457">
        <v>24</v>
      </c>
      <c r="I457">
        <v>666</v>
      </c>
      <c r="J457">
        <v>20.2</v>
      </c>
      <c r="K457">
        <v>355.29</v>
      </c>
      <c r="L457">
        <v>17.73</v>
      </c>
      <c r="M457">
        <v>15.2</v>
      </c>
      <c r="O457" s="101">
        <f t="shared" si="114"/>
        <v>0.21268563340640209</v>
      </c>
      <c r="P457" s="101">
        <f t="shared" si="115"/>
        <v>1.0159990707250266</v>
      </c>
      <c r="Q457" s="101">
        <f t="shared" si="116"/>
        <v>1.367490328465133</v>
      </c>
      <c r="R457" s="101">
        <f t="shared" si="117"/>
        <v>0.52764458339015852</v>
      </c>
      <c r="S457" s="101">
        <f t="shared" si="118"/>
        <v>1.0534854557788993</v>
      </c>
      <c r="T457" s="101">
        <f t="shared" si="119"/>
        <v>-0.68445677840599817</v>
      </c>
      <c r="U457" s="101">
        <f t="shared" si="120"/>
        <v>1.6612452539705709</v>
      </c>
      <c r="V457" s="101">
        <f t="shared" si="121"/>
        <v>1.5309264594697112</v>
      </c>
      <c r="W457" s="101">
        <f t="shared" si="122"/>
        <v>0.80657583495378138</v>
      </c>
      <c r="X457" s="101">
        <f t="shared" si="123"/>
        <v>-1.5175018666444951E-2</v>
      </c>
      <c r="Y457" s="101">
        <f t="shared" si="124"/>
        <v>0.71165343344061593</v>
      </c>
      <c r="Z457" s="101">
        <f t="shared" si="125"/>
        <v>-0.79808414344876921</v>
      </c>
      <c r="AQ457" s="101">
        <v>2.9396253905375813</v>
      </c>
      <c r="AR457" s="101">
        <v>0.80355020387998044</v>
      </c>
      <c r="AS457" s="101">
        <v>0.31401410722588485</v>
      </c>
      <c r="AT457" s="101">
        <v>0.93257009584299877</v>
      </c>
      <c r="AU457" s="101">
        <v>0.1857545148783824</v>
      </c>
      <c r="AV457" s="101">
        <v>-0.3685829884240403</v>
      </c>
      <c r="AW457" s="101">
        <v>-1.0238108381289091</v>
      </c>
      <c r="AX457" s="101">
        <v>0.31724514478363375</v>
      </c>
      <c r="AY457" s="101">
        <v>-0.25406905189998352</v>
      </c>
      <c r="AZ457" s="101">
        <v>-0.21875642833804906</v>
      </c>
      <c r="BA457" s="101">
        <v>-5.6808237735214706E-3</v>
      </c>
      <c r="BB457" s="101">
        <v>-0.12200309533471122</v>
      </c>
    </row>
    <row r="458" spans="2:54">
      <c r="B458">
        <v>5.0901699999999996</v>
      </c>
      <c r="C458">
        <v>18.100000000000001</v>
      </c>
      <c r="D458">
        <v>0.71299999999999997</v>
      </c>
      <c r="E458">
        <v>6.2969999999999997</v>
      </c>
      <c r="F458">
        <v>91.8</v>
      </c>
      <c r="G458">
        <v>2.3681999999999999</v>
      </c>
      <c r="H458">
        <v>24</v>
      </c>
      <c r="I458">
        <v>666</v>
      </c>
      <c r="J458">
        <v>20.2</v>
      </c>
      <c r="K458">
        <v>385.09</v>
      </c>
      <c r="L458">
        <v>17.27</v>
      </c>
      <c r="M458">
        <v>16.100000000000001</v>
      </c>
      <c r="O458" s="101">
        <f t="shared" si="114"/>
        <v>0.17184211995733945</v>
      </c>
      <c r="P458" s="101">
        <f t="shared" si="115"/>
        <v>1.0159990707250266</v>
      </c>
      <c r="Q458" s="101">
        <f t="shared" si="116"/>
        <v>1.367490328465133</v>
      </c>
      <c r="R458" s="101">
        <f t="shared" si="117"/>
        <v>1.7616777344628298E-2</v>
      </c>
      <c r="S458" s="101">
        <f t="shared" si="118"/>
        <v>0.82589779575912692</v>
      </c>
      <c r="T458" s="101">
        <f t="shared" si="119"/>
        <v>-0.6782769796022825</v>
      </c>
      <c r="U458" s="101">
        <f t="shared" si="120"/>
        <v>1.6612452539705709</v>
      </c>
      <c r="V458" s="101">
        <f t="shared" si="121"/>
        <v>1.5309264594697112</v>
      </c>
      <c r="W458" s="101">
        <f t="shared" si="122"/>
        <v>0.80657583495378138</v>
      </c>
      <c r="X458" s="101">
        <f t="shared" si="123"/>
        <v>0.31156286039987319</v>
      </c>
      <c r="Y458" s="101">
        <f t="shared" si="124"/>
        <v>0.64717349308893712</v>
      </c>
      <c r="Z458" s="101">
        <f t="shared" si="125"/>
        <v>-0.7001304136820139</v>
      </c>
      <c r="AQ458" s="101">
        <v>2.8493975976284318</v>
      </c>
      <c r="AR458" s="101">
        <v>0.50447633572430317</v>
      </c>
      <c r="AS458" s="101">
        <v>0.16312326481029651</v>
      </c>
      <c r="AT458" s="101">
        <v>1.1296646280231279</v>
      </c>
      <c r="AU458" s="101">
        <v>-6.4198044556947872E-2</v>
      </c>
      <c r="AV458" s="101">
        <v>-0.66585703205670843</v>
      </c>
      <c r="AW458" s="101">
        <v>-0.74779830541198522</v>
      </c>
      <c r="AX458" s="101">
        <v>0.11047679740703048</v>
      </c>
      <c r="AY458" s="101">
        <v>-0.27388447571795338</v>
      </c>
      <c r="AZ458" s="101">
        <v>-0.21731195645586543</v>
      </c>
      <c r="BA458" s="101">
        <v>6.2868430762446248E-2</v>
      </c>
      <c r="BB458" s="101">
        <v>-0.11408809233395543</v>
      </c>
    </row>
    <row r="459" spans="2:54">
      <c r="B459">
        <v>8.2480899999999995</v>
      </c>
      <c r="C459">
        <v>18.100000000000001</v>
      </c>
      <c r="D459">
        <v>0.71299999999999997</v>
      </c>
      <c r="E459">
        <v>7.3929999999999998</v>
      </c>
      <c r="F459">
        <v>99.3</v>
      </c>
      <c r="G459">
        <v>2.4527000000000001</v>
      </c>
      <c r="H459">
        <v>24</v>
      </c>
      <c r="I459">
        <v>666</v>
      </c>
      <c r="J459">
        <v>20.2</v>
      </c>
      <c r="K459">
        <v>375.87</v>
      </c>
      <c r="L459">
        <v>16.739999999999998</v>
      </c>
      <c r="M459">
        <v>17.8</v>
      </c>
      <c r="O459" s="101">
        <f t="shared" si="114"/>
        <v>0.53933947868048904</v>
      </c>
      <c r="P459" s="101">
        <f t="shared" si="115"/>
        <v>1.0159990707250266</v>
      </c>
      <c r="Q459" s="101">
        <f t="shared" si="116"/>
        <v>1.367490328465133</v>
      </c>
      <c r="R459" s="101">
        <f t="shared" si="117"/>
        <v>1.5790426863555231</v>
      </c>
      <c r="S459" s="101">
        <f t="shared" si="118"/>
        <v>1.0926020848447975</v>
      </c>
      <c r="T459" s="101">
        <f t="shared" si="119"/>
        <v>-0.63810828737813008</v>
      </c>
      <c r="U459" s="101">
        <f t="shared" si="120"/>
        <v>1.6612452539705709</v>
      </c>
      <c r="V459" s="101">
        <f t="shared" si="121"/>
        <v>1.5309264594697112</v>
      </c>
      <c r="W459" s="101">
        <f t="shared" si="122"/>
        <v>0.80657583495378138</v>
      </c>
      <c r="X459" s="101">
        <f t="shared" si="123"/>
        <v>0.21047147633975749</v>
      </c>
      <c r="Y459" s="101">
        <f t="shared" si="124"/>
        <v>0.5728813879011333</v>
      </c>
      <c r="Z459" s="101">
        <f t="shared" si="125"/>
        <v>-0.51510670190036545</v>
      </c>
      <c r="AQ459" s="101">
        <v>2.6327429858434708</v>
      </c>
      <c r="AR459" s="101">
        <v>1.5502848414855779</v>
      </c>
      <c r="AS459" s="101">
        <v>0.66648819447054541</v>
      </c>
      <c r="AT459" s="101">
        <v>1.1984063067516371</v>
      </c>
      <c r="AU459" s="101">
        <v>2.463336615572858E-2</v>
      </c>
      <c r="AV459" s="101">
        <v>3.6490827972375253E-2</v>
      </c>
      <c r="AW459" s="101">
        <v>-1.3040577870584624</v>
      </c>
      <c r="AX459" s="101">
        <v>0.78735440954522418</v>
      </c>
      <c r="AY459" s="101">
        <v>-0.14909368770668752</v>
      </c>
      <c r="AZ459" s="101">
        <v>-0.32671334522279388</v>
      </c>
      <c r="BA459" s="101">
        <v>7.1513864095956364E-2</v>
      </c>
      <c r="BB459" s="101">
        <v>-8.8039692120416263E-2</v>
      </c>
    </row>
    <row r="460" spans="2:54">
      <c r="B460">
        <v>9.5136299999999991</v>
      </c>
      <c r="C460">
        <v>18.100000000000001</v>
      </c>
      <c r="D460">
        <v>0.71299999999999997</v>
      </c>
      <c r="E460">
        <v>6.7279999999999998</v>
      </c>
      <c r="F460">
        <v>94.1</v>
      </c>
      <c r="G460">
        <v>2.4961000000000002</v>
      </c>
      <c r="H460">
        <v>24</v>
      </c>
      <c r="I460">
        <v>666</v>
      </c>
      <c r="J460">
        <v>20.2</v>
      </c>
      <c r="K460">
        <v>6.68</v>
      </c>
      <c r="L460">
        <v>18.71</v>
      </c>
      <c r="M460">
        <v>14.9</v>
      </c>
      <c r="O460" s="101">
        <f t="shared" si="114"/>
        <v>0.68661445947749922</v>
      </c>
      <c r="P460" s="101">
        <f t="shared" si="115"/>
        <v>1.0159990707250266</v>
      </c>
      <c r="Q460" s="101">
        <f t="shared" si="116"/>
        <v>1.367490328465133</v>
      </c>
      <c r="R460" s="101">
        <f t="shared" si="117"/>
        <v>0.63164466674581043</v>
      </c>
      <c r="S460" s="101">
        <f t="shared" si="118"/>
        <v>0.90768711107873246</v>
      </c>
      <c r="T460" s="101">
        <f t="shared" si="119"/>
        <v>-0.61747726675649439</v>
      </c>
      <c r="U460" s="101">
        <f t="shared" si="120"/>
        <v>1.6612452539705709</v>
      </c>
      <c r="V460" s="101">
        <f t="shared" si="121"/>
        <v>1.5309264594697112</v>
      </c>
      <c r="W460" s="101">
        <f t="shared" si="122"/>
        <v>0.80657583495378138</v>
      </c>
      <c r="X460" s="101">
        <f t="shared" si="123"/>
        <v>-3.8374599858244767</v>
      </c>
      <c r="Y460" s="101">
        <f t="shared" si="124"/>
        <v>0.84902374114636625</v>
      </c>
      <c r="Z460" s="101">
        <f t="shared" si="125"/>
        <v>-0.83073538670435421</v>
      </c>
      <c r="AQ460" s="101">
        <v>3.8264249365675189</v>
      </c>
      <c r="AR460" s="101">
        <v>1.0808805123305121</v>
      </c>
      <c r="AS460" s="101">
        <v>1.866771578215048</v>
      </c>
      <c r="AT460" s="101">
        <v>-1.7862375794433101</v>
      </c>
      <c r="AU460" s="101">
        <v>2.0401248165554131</v>
      </c>
      <c r="AV460" s="101">
        <v>9.9470752800968648E-2</v>
      </c>
      <c r="AW460" s="101">
        <v>-0.38275182171845745</v>
      </c>
      <c r="AX460" s="101">
        <v>9.0431561564251084E-2</v>
      </c>
      <c r="AY460" s="101">
        <v>-0.14311905063206909</v>
      </c>
      <c r="AZ460" s="101">
        <v>-4.9326700718909378E-3</v>
      </c>
      <c r="BA460" s="101">
        <v>0.18877118424551259</v>
      </c>
      <c r="BB460" s="101">
        <v>-2.8923059350923139E-2</v>
      </c>
    </row>
    <row r="461" spans="2:54">
      <c r="B461">
        <v>4.75237</v>
      </c>
      <c r="C461">
        <v>18.100000000000001</v>
      </c>
      <c r="D461">
        <v>0.71299999999999997</v>
      </c>
      <c r="E461">
        <v>6.5250000000000004</v>
      </c>
      <c r="F461">
        <v>86.5</v>
      </c>
      <c r="G461">
        <v>2.4358</v>
      </c>
      <c r="H461">
        <v>24</v>
      </c>
      <c r="I461">
        <v>666</v>
      </c>
      <c r="J461">
        <v>20.2</v>
      </c>
      <c r="K461">
        <v>50.92</v>
      </c>
      <c r="L461">
        <v>18.13</v>
      </c>
      <c r="M461">
        <v>14.1</v>
      </c>
      <c r="O461" s="101">
        <f t="shared" si="114"/>
        <v>0.13253124198174798</v>
      </c>
      <c r="P461" s="101">
        <f t="shared" si="115"/>
        <v>1.0159990707250266</v>
      </c>
      <c r="Q461" s="101">
        <f t="shared" si="116"/>
        <v>1.367490328465133</v>
      </c>
      <c r="R461" s="101">
        <f t="shared" si="117"/>
        <v>0.34243895549653064</v>
      </c>
      <c r="S461" s="101">
        <f t="shared" si="118"/>
        <v>0.63742676480525318</v>
      </c>
      <c r="T461" s="101">
        <f t="shared" si="119"/>
        <v>-0.64614202582296054</v>
      </c>
      <c r="U461" s="101">
        <f t="shared" si="120"/>
        <v>1.6612452539705709</v>
      </c>
      <c r="V461" s="101">
        <f t="shared" si="121"/>
        <v>1.5309264594697112</v>
      </c>
      <c r="W461" s="101">
        <f t="shared" si="122"/>
        <v>0.80657583495378138</v>
      </c>
      <c r="X461" s="101">
        <f t="shared" si="123"/>
        <v>-3.3523967720696466</v>
      </c>
      <c r="Y461" s="101">
        <f t="shared" si="124"/>
        <v>0.76772294678990149</v>
      </c>
      <c r="Z461" s="101">
        <f t="shared" si="125"/>
        <v>-0.91780536871924767</v>
      </c>
      <c r="AQ461" s="101">
        <v>3.5683752776117137</v>
      </c>
      <c r="AR461" s="101">
        <v>0.78423341483666076</v>
      </c>
      <c r="AS461" s="101">
        <v>1.5132808960434156</v>
      </c>
      <c r="AT461" s="101">
        <v>-1.4067608358071957</v>
      </c>
      <c r="AU461" s="101">
        <v>2.0685139930612371</v>
      </c>
      <c r="AV461" s="101">
        <v>-0.3808229395545274</v>
      </c>
      <c r="AW461" s="101">
        <v>-0.38874917913856932</v>
      </c>
      <c r="AX461" s="101">
        <v>5.5010474035860346E-4</v>
      </c>
      <c r="AY461" s="101">
        <v>-0.20483167976957034</v>
      </c>
      <c r="AZ461" s="101">
        <v>-0.19362187927115312</v>
      </c>
      <c r="BA461" s="101">
        <v>9.1276712803844307E-2</v>
      </c>
      <c r="BB461" s="101">
        <v>-7.2747178697981404E-2</v>
      </c>
    </row>
    <row r="462" spans="2:54">
      <c r="B462">
        <v>4.6688299999999998</v>
      </c>
      <c r="C462">
        <v>18.100000000000001</v>
      </c>
      <c r="D462">
        <v>0.71299999999999997</v>
      </c>
      <c r="E462">
        <v>5.976</v>
      </c>
      <c r="F462">
        <v>87.9</v>
      </c>
      <c r="G462">
        <v>2.5806</v>
      </c>
      <c r="H462">
        <v>24</v>
      </c>
      <c r="I462">
        <v>666</v>
      </c>
      <c r="J462">
        <v>20.2</v>
      </c>
      <c r="K462">
        <v>10.48</v>
      </c>
      <c r="L462">
        <v>19.010000000000002</v>
      </c>
      <c r="M462">
        <v>12.7</v>
      </c>
      <c r="O462" s="101">
        <f t="shared" si="114"/>
        <v>0.12280942212952502</v>
      </c>
      <c r="P462" s="101">
        <f t="shared" si="115"/>
        <v>1.0159990707250266</v>
      </c>
      <c r="Q462" s="101">
        <f t="shared" si="116"/>
        <v>1.367490328465133</v>
      </c>
      <c r="R462" s="101">
        <f t="shared" si="117"/>
        <v>-0.43969865768502203</v>
      </c>
      <c r="S462" s="101">
        <f t="shared" si="118"/>
        <v>0.68721156543457862</v>
      </c>
      <c r="T462" s="101">
        <f t="shared" si="119"/>
        <v>-0.57730857453234219</v>
      </c>
      <c r="U462" s="101">
        <f t="shared" si="120"/>
        <v>1.6612452539705709</v>
      </c>
      <c r="V462" s="101">
        <f t="shared" si="121"/>
        <v>1.5309264594697112</v>
      </c>
      <c r="W462" s="101">
        <f t="shared" si="122"/>
        <v>0.80657583495378138</v>
      </c>
      <c r="X462" s="101">
        <f t="shared" si="123"/>
        <v>-3.7957954240643419</v>
      </c>
      <c r="Y462" s="101">
        <f t="shared" si="124"/>
        <v>0.89107587615833062</v>
      </c>
      <c r="Z462" s="101">
        <f t="shared" si="125"/>
        <v>-1.0701778372453112</v>
      </c>
      <c r="AQ462" s="101">
        <v>3.8975280258133611</v>
      </c>
      <c r="AR462" s="101">
        <v>0.26730811142361577</v>
      </c>
      <c r="AS462" s="101">
        <v>1.4385440624426489</v>
      </c>
      <c r="AT462" s="101">
        <v>-1.8290917562376718</v>
      </c>
      <c r="AU462" s="101">
        <v>2.1913388937076159</v>
      </c>
      <c r="AV462" s="101">
        <v>-0.54425077961830137</v>
      </c>
      <c r="AW462" s="101">
        <v>-0.13111665846848514</v>
      </c>
      <c r="AX462" s="101">
        <v>-0.35868046738392961</v>
      </c>
      <c r="AY462" s="101">
        <v>-0.26722807743922589</v>
      </c>
      <c r="AZ462" s="101">
        <v>3.3629377677830585E-2</v>
      </c>
      <c r="BA462" s="101">
        <v>0.13380223086450804</v>
      </c>
      <c r="BB462" s="101">
        <v>-7.7554336147060907E-2</v>
      </c>
    </row>
    <row r="463" spans="2:54">
      <c r="B463">
        <v>8.2005800000000004</v>
      </c>
      <c r="C463">
        <v>18.100000000000001</v>
      </c>
      <c r="D463">
        <v>0.71299999999999997</v>
      </c>
      <c r="E463">
        <v>5.9359999999999999</v>
      </c>
      <c r="F463">
        <v>80.3</v>
      </c>
      <c r="G463">
        <v>2.7791999999999999</v>
      </c>
      <c r="H463">
        <v>24</v>
      </c>
      <c r="I463">
        <v>666</v>
      </c>
      <c r="J463">
        <v>20.2</v>
      </c>
      <c r="K463">
        <v>3.5</v>
      </c>
      <c r="L463">
        <v>16.940000000000001</v>
      </c>
      <c r="M463">
        <v>13.5</v>
      </c>
      <c r="O463" s="101">
        <f t="shared" si="114"/>
        <v>0.53381058639919732</v>
      </c>
      <c r="P463" s="101">
        <f t="shared" si="115"/>
        <v>1.0159990707250266</v>
      </c>
      <c r="Q463" s="101">
        <f t="shared" si="116"/>
        <v>1.367490328465133</v>
      </c>
      <c r="R463" s="101">
        <f t="shared" si="117"/>
        <v>-0.49668500472921528</v>
      </c>
      <c r="S463" s="101">
        <f t="shared" si="118"/>
        <v>0.41695121916109879</v>
      </c>
      <c r="T463" s="101">
        <f t="shared" si="119"/>
        <v>-0.48290026357711563</v>
      </c>
      <c r="U463" s="101">
        <f t="shared" si="120"/>
        <v>1.6612452539705709</v>
      </c>
      <c r="V463" s="101">
        <f t="shared" si="121"/>
        <v>1.5309264594697112</v>
      </c>
      <c r="W463" s="101">
        <f t="shared" si="122"/>
        <v>0.80657583495378138</v>
      </c>
      <c r="X463" s="101">
        <f t="shared" si="123"/>
        <v>-3.8723266454026946</v>
      </c>
      <c r="Y463" s="101">
        <f t="shared" si="124"/>
        <v>0.60091614457577658</v>
      </c>
      <c r="Z463" s="101">
        <f t="shared" si="125"/>
        <v>-0.98310785523041777</v>
      </c>
      <c r="AQ463" s="101">
        <v>3.8045541474907658</v>
      </c>
      <c r="AR463" s="101">
        <v>0.28304778392772517</v>
      </c>
      <c r="AS463" s="101">
        <v>1.7986454313319102</v>
      </c>
      <c r="AT463" s="101">
        <v>-1.9008767148249597</v>
      </c>
      <c r="AU463" s="101">
        <v>1.9706363369744553</v>
      </c>
      <c r="AV463" s="101">
        <v>-0.54628764728399914</v>
      </c>
      <c r="AW463" s="101">
        <v>0.22082506373929725</v>
      </c>
      <c r="AX463" s="101">
        <v>-0.26373297814439289</v>
      </c>
      <c r="AY463" s="101">
        <v>-0.39745334006268268</v>
      </c>
      <c r="AZ463" s="101">
        <v>8.9529675612713411E-2</v>
      </c>
      <c r="BA463" s="101">
        <v>0.21139081468970478</v>
      </c>
      <c r="BB463" s="101">
        <v>-5.9096571581132518E-2</v>
      </c>
    </row>
    <row r="464" spans="2:54">
      <c r="B464">
        <v>7.75223</v>
      </c>
      <c r="C464">
        <v>18.100000000000001</v>
      </c>
      <c r="D464">
        <v>0.71299999999999997</v>
      </c>
      <c r="E464">
        <v>6.3010000000000002</v>
      </c>
      <c r="F464">
        <v>83.7</v>
      </c>
      <c r="G464">
        <v>2.7831000000000001</v>
      </c>
      <c r="H464">
        <v>24</v>
      </c>
      <c r="I464">
        <v>666</v>
      </c>
      <c r="J464">
        <v>20.2</v>
      </c>
      <c r="K464">
        <v>272.20999999999998</v>
      </c>
      <c r="L464">
        <v>16.23</v>
      </c>
      <c r="M464">
        <v>14.9</v>
      </c>
      <c r="O464" s="101">
        <f t="shared" si="114"/>
        <v>0.48163464755859214</v>
      </c>
      <c r="P464" s="101">
        <f t="shared" si="115"/>
        <v>1.0159990707250266</v>
      </c>
      <c r="Q464" s="101">
        <f t="shared" si="116"/>
        <v>1.367490328465133</v>
      </c>
      <c r="R464" s="101">
        <f t="shared" si="117"/>
        <v>2.3315412049048259E-2</v>
      </c>
      <c r="S464" s="101">
        <f t="shared" si="118"/>
        <v>0.53785716354660296</v>
      </c>
      <c r="T464" s="101">
        <f t="shared" si="119"/>
        <v>-0.48104632393600077</v>
      </c>
      <c r="U464" s="101">
        <f t="shared" si="120"/>
        <v>1.6612452539705709</v>
      </c>
      <c r="V464" s="101">
        <f t="shared" si="121"/>
        <v>1.5309264594697112</v>
      </c>
      <c r="W464" s="101">
        <f t="shared" si="122"/>
        <v>0.80657583495378138</v>
      </c>
      <c r="X464" s="101">
        <f t="shared" si="123"/>
        <v>-0.92609391104328276</v>
      </c>
      <c r="Y464" s="101">
        <f t="shared" si="124"/>
        <v>0.50139275838079422</v>
      </c>
      <c r="Z464" s="101">
        <f t="shared" si="125"/>
        <v>-0.83073538670435421</v>
      </c>
      <c r="AQ464" s="101">
        <v>3.0302184371577159</v>
      </c>
      <c r="AR464" s="101">
        <v>0.461053357714304</v>
      </c>
      <c r="AS464" s="101">
        <v>0.89151884241098467</v>
      </c>
      <c r="AT464" s="101">
        <v>0.21441955301537688</v>
      </c>
      <c r="AU464" s="101">
        <v>0.42978834132149013</v>
      </c>
      <c r="AV464" s="101">
        <v>-0.60737620557179262</v>
      </c>
      <c r="AW464" s="101">
        <v>-0.42375359495193543</v>
      </c>
      <c r="AX464" s="101">
        <v>0.20337453523430815</v>
      </c>
      <c r="AY464" s="101">
        <v>-0.38530947876830657</v>
      </c>
      <c r="AZ464" s="101">
        <v>-0.14246293335941565</v>
      </c>
      <c r="BA464" s="101">
        <v>0.13970984061275898</v>
      </c>
      <c r="BB464" s="101">
        <v>-0.10144842455387479</v>
      </c>
    </row>
    <row r="465" spans="2:54">
      <c r="B465">
        <v>6.8011699999999999</v>
      </c>
      <c r="C465">
        <v>18.100000000000001</v>
      </c>
      <c r="D465">
        <v>0.71299999999999997</v>
      </c>
      <c r="E465">
        <v>6.0810000000000004</v>
      </c>
      <c r="F465">
        <v>84.4</v>
      </c>
      <c r="G465">
        <v>2.7174999999999998</v>
      </c>
      <c r="H465">
        <v>24</v>
      </c>
      <c r="I465">
        <v>666</v>
      </c>
      <c r="J465">
        <v>20.2</v>
      </c>
      <c r="K465">
        <v>396.9</v>
      </c>
      <c r="L465">
        <v>14.7</v>
      </c>
      <c r="M465">
        <v>20</v>
      </c>
      <c r="O465" s="101">
        <f t="shared" si="114"/>
        <v>0.3709567209527127</v>
      </c>
      <c r="P465" s="101">
        <f t="shared" si="115"/>
        <v>1.0159990707250266</v>
      </c>
      <c r="Q465" s="101">
        <f t="shared" si="116"/>
        <v>1.367490328465133</v>
      </c>
      <c r="R465" s="101">
        <f t="shared" si="117"/>
        <v>-0.2901094966940142</v>
      </c>
      <c r="S465" s="101">
        <f t="shared" si="118"/>
        <v>0.56274956386126562</v>
      </c>
      <c r="T465" s="101">
        <f t="shared" si="119"/>
        <v>-0.51223053943782804</v>
      </c>
      <c r="U465" s="101">
        <f t="shared" si="120"/>
        <v>1.6612452539705709</v>
      </c>
      <c r="V465" s="101">
        <f t="shared" si="121"/>
        <v>1.5309264594697112</v>
      </c>
      <c r="W465" s="101">
        <f t="shared" si="122"/>
        <v>0.80657583495378138</v>
      </c>
      <c r="X465" s="101">
        <f t="shared" si="123"/>
        <v>0.44105193260702835</v>
      </c>
      <c r="Y465" s="101">
        <f t="shared" si="124"/>
        <v>0.28692686981977583</v>
      </c>
      <c r="Z465" s="101">
        <f t="shared" si="125"/>
        <v>-0.27566425135940853</v>
      </c>
      <c r="AQ465" s="101">
        <v>2.5762194993198451</v>
      </c>
      <c r="AR465" s="101">
        <v>0.51642154768212301</v>
      </c>
      <c r="AS465" s="101">
        <v>0.35889360552665661</v>
      </c>
      <c r="AT465" s="101">
        <v>1.2621627098237502</v>
      </c>
      <c r="AU465" s="101">
        <v>-0.30812484048246547</v>
      </c>
      <c r="AV465" s="101">
        <v>-0.88445858855670412</v>
      </c>
      <c r="AW465" s="101">
        <v>-0.3095066308047229</v>
      </c>
      <c r="AX465" s="101">
        <v>-5.543381287664248E-2</v>
      </c>
      <c r="AY465" s="101">
        <v>-0.33780993951028832</v>
      </c>
      <c r="AZ465" s="101">
        <v>-1.8552979416881034E-2</v>
      </c>
      <c r="BA465" s="101">
        <v>0.29759963960895153</v>
      </c>
      <c r="BB465" s="101">
        <v>-7.3799657263854124E-2</v>
      </c>
    </row>
    <row r="466" spans="2:54">
      <c r="B466">
        <v>4.8121299999999998</v>
      </c>
      <c r="C466">
        <v>18.100000000000001</v>
      </c>
      <c r="D466">
        <v>0.71299999999999997</v>
      </c>
      <c r="E466">
        <v>6.7009999999999996</v>
      </c>
      <c r="F466">
        <v>90</v>
      </c>
      <c r="G466">
        <v>2.5975000000000001</v>
      </c>
      <c r="H466">
        <v>24</v>
      </c>
      <c r="I466">
        <v>666</v>
      </c>
      <c r="J466">
        <v>20.2</v>
      </c>
      <c r="K466">
        <v>255.23</v>
      </c>
      <c r="L466">
        <v>16.420000000000002</v>
      </c>
      <c r="M466">
        <v>16.399999999999999</v>
      </c>
      <c r="O466" s="101">
        <f t="shared" si="114"/>
        <v>0.13948570636250981</v>
      </c>
      <c r="P466" s="101">
        <f t="shared" si="115"/>
        <v>1.0159990707250266</v>
      </c>
      <c r="Q466" s="101">
        <f t="shared" si="116"/>
        <v>1.367490328465133</v>
      </c>
      <c r="R466" s="101">
        <f t="shared" si="117"/>
        <v>0.59317888249097983</v>
      </c>
      <c r="S466" s="101">
        <f t="shared" si="118"/>
        <v>0.76188876637856617</v>
      </c>
      <c r="T466" s="101">
        <f t="shared" si="119"/>
        <v>-0.56927483608751162</v>
      </c>
      <c r="U466" s="101">
        <f t="shared" si="120"/>
        <v>1.6612452539705709</v>
      </c>
      <c r="V466" s="101">
        <f t="shared" si="121"/>
        <v>1.5309264594697112</v>
      </c>
      <c r="W466" s="101">
        <f t="shared" si="122"/>
        <v>0.80657583495378138</v>
      </c>
      <c r="X466" s="101">
        <f t="shared" si="123"/>
        <v>-1.1122687159609368</v>
      </c>
      <c r="Y466" s="101">
        <f t="shared" si="124"/>
        <v>0.52802577722170507</v>
      </c>
      <c r="Z466" s="101">
        <f t="shared" si="125"/>
        <v>-0.66747917042642912</v>
      </c>
      <c r="AQ466" s="101">
        <v>2.9190226938054096</v>
      </c>
      <c r="AR466" s="101">
        <v>0.93015890447380567</v>
      </c>
      <c r="AS466" s="101">
        <v>0.85607608646341682</v>
      </c>
      <c r="AT466" s="101">
        <v>0.22768030454203861</v>
      </c>
      <c r="AU466" s="101">
        <v>0.85816049136223527</v>
      </c>
      <c r="AV466" s="101">
        <v>-0.47711751513713779</v>
      </c>
      <c r="AW466" s="101">
        <v>-0.74906937314028588</v>
      </c>
      <c r="AX466" s="101">
        <v>0.26052945780104164</v>
      </c>
      <c r="AY466" s="101">
        <v>-0.26707081849729281</v>
      </c>
      <c r="AZ466" s="101">
        <v>-0.19639026354564917</v>
      </c>
      <c r="BA466" s="101">
        <v>0.10108757897323944</v>
      </c>
      <c r="BB466" s="101">
        <v>-9.9487953362011619E-2</v>
      </c>
    </row>
    <row r="467" spans="2:54">
      <c r="B467">
        <v>3.6931099999999999</v>
      </c>
      <c r="C467">
        <v>18.100000000000001</v>
      </c>
      <c r="D467">
        <v>0.71299999999999997</v>
      </c>
      <c r="E467">
        <v>6.3760000000000003</v>
      </c>
      <c r="F467">
        <v>88.4</v>
      </c>
      <c r="G467">
        <v>2.5670999999999999</v>
      </c>
      <c r="H467">
        <v>24</v>
      </c>
      <c r="I467">
        <v>666</v>
      </c>
      <c r="J467">
        <v>20.2</v>
      </c>
      <c r="K467">
        <v>391.43</v>
      </c>
      <c r="L467">
        <v>14.65</v>
      </c>
      <c r="M467">
        <v>17.7</v>
      </c>
      <c r="O467" s="101">
        <f t="shared" si="114"/>
        <v>9.2617316074878799E-3</v>
      </c>
      <c r="P467" s="101">
        <f t="shared" si="115"/>
        <v>1.0159990707250266</v>
      </c>
      <c r="Q467" s="101">
        <f t="shared" si="116"/>
        <v>1.367490328465133</v>
      </c>
      <c r="R467" s="101">
        <f t="shared" si="117"/>
        <v>0.13016481275691083</v>
      </c>
      <c r="S467" s="101">
        <f t="shared" si="118"/>
        <v>0.7049918513736233</v>
      </c>
      <c r="T467" s="101">
        <f t="shared" si="119"/>
        <v>-0.58372605790543164</v>
      </c>
      <c r="U467" s="101">
        <f t="shared" si="120"/>
        <v>1.6612452539705709</v>
      </c>
      <c r="V467" s="101">
        <f t="shared" si="121"/>
        <v>1.5309264594697112</v>
      </c>
      <c r="W467" s="101">
        <f t="shared" si="122"/>
        <v>0.80657583495378138</v>
      </c>
      <c r="X467" s="101">
        <f t="shared" si="123"/>
        <v>0.38107689238915071</v>
      </c>
      <c r="Y467" s="101">
        <f t="shared" si="124"/>
        <v>0.27991818065111529</v>
      </c>
      <c r="Z467" s="101">
        <f t="shared" si="125"/>
        <v>-0.5259904496522273</v>
      </c>
      <c r="AQ467" s="101">
        <v>2.5387965232207641</v>
      </c>
      <c r="AR467" s="101">
        <v>0.67238479140529139</v>
      </c>
      <c r="AS467" s="101">
        <v>0.2555793870951929</v>
      </c>
      <c r="AT467" s="101">
        <v>1.2934484351639235</v>
      </c>
      <c r="AU467" s="101">
        <v>4.3189182567732999E-2</v>
      </c>
      <c r="AV467" s="101">
        <v>-0.83843086159378988</v>
      </c>
      <c r="AW467" s="101">
        <v>-0.66387799927997992</v>
      </c>
      <c r="AX467" s="101">
        <v>0.14333370993898248</v>
      </c>
      <c r="AY467" s="101">
        <v>-0.40687004544784222</v>
      </c>
      <c r="AZ467" s="101">
        <v>-0.14605664221707743</v>
      </c>
      <c r="BA467" s="101">
        <v>8.0127843753422329E-2</v>
      </c>
      <c r="BB467" s="101">
        <v>-0.12654224211540491</v>
      </c>
    </row>
    <row r="468" spans="2:54">
      <c r="B468">
        <v>6.6549199999999997</v>
      </c>
      <c r="C468">
        <v>18.100000000000001</v>
      </c>
      <c r="D468">
        <v>0.71299999999999997</v>
      </c>
      <c r="E468">
        <v>6.3170000000000002</v>
      </c>
      <c r="F468">
        <v>83</v>
      </c>
      <c r="G468">
        <v>2.7343999999999999</v>
      </c>
      <c r="H468">
        <v>24</v>
      </c>
      <c r="I468">
        <v>666</v>
      </c>
      <c r="J468">
        <v>20.2</v>
      </c>
      <c r="K468">
        <v>396.9</v>
      </c>
      <c r="L468">
        <v>13.99</v>
      </c>
      <c r="M468">
        <v>19.5</v>
      </c>
      <c r="O468" s="101">
        <f t="shared" si="114"/>
        <v>0.35393713568352897</v>
      </c>
      <c r="P468" s="101">
        <f t="shared" si="115"/>
        <v>1.0159990707250266</v>
      </c>
      <c r="Q468" s="101">
        <f t="shared" si="116"/>
        <v>1.367490328465133</v>
      </c>
      <c r="R468" s="101">
        <f t="shared" si="117"/>
        <v>4.610995086672557E-2</v>
      </c>
      <c r="S468" s="101">
        <f t="shared" si="118"/>
        <v>0.51296476323194029</v>
      </c>
      <c r="T468" s="101">
        <f t="shared" si="119"/>
        <v>-0.50419680099299757</v>
      </c>
      <c r="U468" s="101">
        <f t="shared" si="120"/>
        <v>1.6612452539705709</v>
      </c>
      <c r="V468" s="101">
        <f t="shared" si="121"/>
        <v>1.5309264594697112</v>
      </c>
      <c r="W468" s="101">
        <f t="shared" si="122"/>
        <v>0.80657583495378138</v>
      </c>
      <c r="X468" s="101">
        <f t="shared" si="123"/>
        <v>0.44105193260702835</v>
      </c>
      <c r="Y468" s="101">
        <f t="shared" si="124"/>
        <v>0.18740348362479367</v>
      </c>
      <c r="Z468" s="101">
        <f t="shared" si="125"/>
        <v>-0.33008299011871695</v>
      </c>
      <c r="AQ468" s="101">
        <v>2.467466966614734</v>
      </c>
      <c r="AR468" s="101">
        <v>0.68629368196811003</v>
      </c>
      <c r="AS468" s="101">
        <v>0.47173451465934851</v>
      </c>
      <c r="AT468" s="101">
        <v>1.3037594175747174</v>
      </c>
      <c r="AU468" s="101">
        <v>-0.23548303446038713</v>
      </c>
      <c r="AV468" s="101">
        <v>-0.82978826859749799</v>
      </c>
      <c r="AW468" s="101">
        <v>-0.4144223662220089</v>
      </c>
      <c r="AX468" s="101">
        <v>0.14523227360614921</v>
      </c>
      <c r="AY468" s="101">
        <v>-0.3828861607044205</v>
      </c>
      <c r="AZ468" s="101">
        <v>-0.1074273659544191</v>
      </c>
      <c r="BA468" s="101">
        <v>0.23497759093413539</v>
      </c>
      <c r="BB468" s="101">
        <v>-8.8069655884496723E-2</v>
      </c>
    </row>
    <row r="469" spans="2:54">
      <c r="B469">
        <v>5.8211500000000003</v>
      </c>
      <c r="C469">
        <v>18.100000000000001</v>
      </c>
      <c r="D469">
        <v>0.71299999999999997</v>
      </c>
      <c r="E469">
        <v>6.5129999999999999</v>
      </c>
      <c r="F469">
        <v>89.9</v>
      </c>
      <c r="G469">
        <v>2.8016000000000001</v>
      </c>
      <c r="H469">
        <v>24</v>
      </c>
      <c r="I469">
        <v>666</v>
      </c>
      <c r="J469">
        <v>20.2</v>
      </c>
      <c r="K469">
        <v>393.82</v>
      </c>
      <c r="L469">
        <v>10.29</v>
      </c>
      <c r="M469">
        <v>20.2</v>
      </c>
      <c r="O469" s="101">
        <f t="shared" si="114"/>
        <v>0.25690862553045346</v>
      </c>
      <c r="P469" s="101">
        <f t="shared" si="115"/>
        <v>1.0159990707250266</v>
      </c>
      <c r="Q469" s="101">
        <f t="shared" si="116"/>
        <v>1.367490328465133</v>
      </c>
      <c r="R469" s="101">
        <f t="shared" si="117"/>
        <v>0.32534305138327202</v>
      </c>
      <c r="S469" s="101">
        <f t="shared" si="118"/>
        <v>0.75833270919075735</v>
      </c>
      <c r="T469" s="101">
        <f t="shared" si="119"/>
        <v>-0.47225199486917457</v>
      </c>
      <c r="U469" s="101">
        <f t="shared" si="120"/>
        <v>1.6612452539705709</v>
      </c>
      <c r="V469" s="101">
        <f t="shared" si="121"/>
        <v>1.5309264594697112</v>
      </c>
      <c r="W469" s="101">
        <f t="shared" si="122"/>
        <v>0.80657583495378138</v>
      </c>
      <c r="X469" s="101">
        <f t="shared" si="123"/>
        <v>0.40728170886460369</v>
      </c>
      <c r="Y469" s="101">
        <f t="shared" si="124"/>
        <v>-0.33123951485610009</v>
      </c>
      <c r="Z469" s="101">
        <f t="shared" si="125"/>
        <v>-0.25389675585568527</v>
      </c>
      <c r="AQ469" s="101">
        <v>2.2669832727277024</v>
      </c>
      <c r="AR469" s="101">
        <v>1.0495658312664617</v>
      </c>
      <c r="AS469" s="101">
        <v>0.53822371470445007</v>
      </c>
      <c r="AT469" s="101">
        <v>1.4448246473161739</v>
      </c>
      <c r="AU469" s="101">
        <v>-3.7933509680924744E-2</v>
      </c>
      <c r="AV469" s="101">
        <v>-0.76961833649388556</v>
      </c>
      <c r="AW469" s="101">
        <v>-0.4291556724251861</v>
      </c>
      <c r="AX469" s="101">
        <v>0.22978350737392803</v>
      </c>
      <c r="AY469" s="101">
        <v>-0.6808097202778518</v>
      </c>
      <c r="AZ469" s="101">
        <v>0.16085536759030444</v>
      </c>
      <c r="BA469" s="101">
        <v>0.10940462071170387</v>
      </c>
      <c r="BB469" s="101">
        <v>-0.12745806736581947</v>
      </c>
    </row>
    <row r="470" spans="2:54">
      <c r="B470">
        <v>7.8393199999999998</v>
      </c>
      <c r="C470">
        <v>18.100000000000001</v>
      </c>
      <c r="D470">
        <v>0.65500000000000003</v>
      </c>
      <c r="E470">
        <v>6.2089999999999996</v>
      </c>
      <c r="F470">
        <v>65.400000000000006</v>
      </c>
      <c r="G470">
        <v>2.9634</v>
      </c>
      <c r="H470">
        <v>24</v>
      </c>
      <c r="I470">
        <v>666</v>
      </c>
      <c r="J470">
        <v>20.2</v>
      </c>
      <c r="K470">
        <v>396.9</v>
      </c>
      <c r="L470">
        <v>13.22</v>
      </c>
      <c r="M470">
        <v>21.4</v>
      </c>
      <c r="O470" s="101">
        <f t="shared" si="114"/>
        <v>0.49176959238657991</v>
      </c>
      <c r="P470" s="101">
        <f t="shared" si="115"/>
        <v>1.0159990707250266</v>
      </c>
      <c r="Q470" s="101">
        <f t="shared" si="116"/>
        <v>0.86646718481264584</v>
      </c>
      <c r="R470" s="101">
        <f t="shared" si="117"/>
        <v>-0.10775318615259694</v>
      </c>
      <c r="S470" s="101">
        <f t="shared" si="118"/>
        <v>-0.11290130182243306</v>
      </c>
      <c r="T470" s="101">
        <f t="shared" si="119"/>
        <v>-0.39533726821985099</v>
      </c>
      <c r="U470" s="101">
        <f t="shared" si="120"/>
        <v>1.6612452539705709</v>
      </c>
      <c r="V470" s="101">
        <f t="shared" si="121"/>
        <v>1.5309264594697112</v>
      </c>
      <c r="W470" s="101">
        <f t="shared" si="122"/>
        <v>0.80657583495378138</v>
      </c>
      <c r="X470" s="101">
        <f t="shared" si="123"/>
        <v>0.44105193260702835</v>
      </c>
      <c r="Y470" s="101">
        <f t="shared" si="124"/>
        <v>7.9469670427418579E-2</v>
      </c>
      <c r="Z470" s="101">
        <f t="shared" si="125"/>
        <v>-0.1232917828333452</v>
      </c>
      <c r="AQ470" s="101">
        <v>2.0565853015373339</v>
      </c>
      <c r="AR470" s="101">
        <v>0.43282792059870706</v>
      </c>
      <c r="AS470" s="101">
        <v>0.89657260774802794</v>
      </c>
      <c r="AT470" s="101">
        <v>1.3092897626008875</v>
      </c>
      <c r="AU470" s="101">
        <v>-0.37419429444340174</v>
      </c>
      <c r="AV470" s="101">
        <v>-1.0151831725344915</v>
      </c>
      <c r="AW470" s="101">
        <v>-2.3922530952387455E-2</v>
      </c>
      <c r="AX470" s="101">
        <v>9.6366033602509324E-2</v>
      </c>
      <c r="AY470" s="101">
        <v>-4.8713589400795544E-2</v>
      </c>
      <c r="AZ470" s="101">
        <v>-0.18258280931800494</v>
      </c>
      <c r="BA470" s="101">
        <v>0.12440072764505197</v>
      </c>
      <c r="BB470" s="101">
        <v>-9.4646259246505091E-2</v>
      </c>
    </row>
    <row r="471" spans="2:54">
      <c r="B471">
        <v>3.1636000000000002</v>
      </c>
      <c r="C471">
        <v>18.100000000000001</v>
      </c>
      <c r="D471">
        <v>0.65500000000000003</v>
      </c>
      <c r="E471">
        <v>5.7590000000000003</v>
      </c>
      <c r="F471">
        <v>48.2</v>
      </c>
      <c r="G471">
        <v>3.0665</v>
      </c>
      <c r="H471">
        <v>24</v>
      </c>
      <c r="I471">
        <v>666</v>
      </c>
      <c r="J471">
        <v>20.2</v>
      </c>
      <c r="K471">
        <v>334.4</v>
      </c>
      <c r="L471">
        <v>14.13</v>
      </c>
      <c r="M471">
        <v>19.899999999999999</v>
      </c>
      <c r="O471" s="101">
        <f t="shared" si="114"/>
        <v>-5.235905879172896E-2</v>
      </c>
      <c r="P471" s="101">
        <f t="shared" si="115"/>
        <v>1.0159990707250266</v>
      </c>
      <c r="Q471" s="101">
        <f t="shared" si="116"/>
        <v>0.86646718481264584</v>
      </c>
      <c r="R471" s="101">
        <f t="shared" si="117"/>
        <v>-0.74884959039976984</v>
      </c>
      <c r="S471" s="101">
        <f t="shared" si="118"/>
        <v>-0.72454313812557092</v>
      </c>
      <c r="T471" s="101">
        <f t="shared" si="119"/>
        <v>-0.34632671001499771</v>
      </c>
      <c r="U471" s="101">
        <f t="shared" si="120"/>
        <v>1.6612452539705709</v>
      </c>
      <c r="V471" s="101">
        <f t="shared" si="121"/>
        <v>1.5309264594697112</v>
      </c>
      <c r="W471" s="101">
        <f t="shared" si="122"/>
        <v>0.80657583495378138</v>
      </c>
      <c r="X471" s="101">
        <f t="shared" si="123"/>
        <v>-0.24422046476360637</v>
      </c>
      <c r="Y471" s="101">
        <f t="shared" si="124"/>
        <v>0.20702781329704378</v>
      </c>
      <c r="Z471" s="101">
        <f t="shared" si="125"/>
        <v>-0.28654799911127038</v>
      </c>
      <c r="AQ471" s="101">
        <v>2.0814996519129143</v>
      </c>
      <c r="AR471" s="101">
        <v>-0.15697854740926401</v>
      </c>
      <c r="AS471" s="101">
        <v>0.96029320568779619</v>
      </c>
      <c r="AT471" s="101">
        <v>0.77725948359901131</v>
      </c>
      <c r="AU471" s="101">
        <v>0.20720855829257101</v>
      </c>
      <c r="AV471" s="101">
        <v>-1.630815865018292</v>
      </c>
      <c r="AW471" s="101">
        <v>0.28160975123736059</v>
      </c>
      <c r="AX471" s="101">
        <v>-0.18483172383457552</v>
      </c>
      <c r="AY471" s="101">
        <v>6.8763711832299096E-3</v>
      </c>
      <c r="AZ471" s="101">
        <v>-0.44084225999651883</v>
      </c>
      <c r="BA471" s="101">
        <v>0.15812871862905889</v>
      </c>
      <c r="BB471" s="101">
        <v>-0.10562599065142603</v>
      </c>
    </row>
    <row r="472" spans="2:54">
      <c r="B472">
        <v>3.7749799999999998</v>
      </c>
      <c r="C472">
        <v>18.100000000000001</v>
      </c>
      <c r="D472">
        <v>0.65500000000000003</v>
      </c>
      <c r="E472">
        <v>5.952</v>
      </c>
      <c r="F472">
        <v>84.7</v>
      </c>
      <c r="G472">
        <v>2.8715000000000002</v>
      </c>
      <c r="H472">
        <v>24</v>
      </c>
      <c r="I472">
        <v>666</v>
      </c>
      <c r="J472">
        <v>20.2</v>
      </c>
      <c r="K472">
        <v>22.01</v>
      </c>
      <c r="L472">
        <v>17.149999999999999</v>
      </c>
      <c r="M472">
        <v>19</v>
      </c>
      <c r="O472" s="101">
        <f t="shared" si="114"/>
        <v>1.8789208161252451E-2</v>
      </c>
      <c r="P472" s="101">
        <f t="shared" si="115"/>
        <v>1.0159990707250266</v>
      </c>
      <c r="Q472" s="101">
        <f t="shared" si="116"/>
        <v>0.86646718481264584</v>
      </c>
      <c r="R472" s="101">
        <f t="shared" si="117"/>
        <v>-0.47389046591153799</v>
      </c>
      <c r="S472" s="101">
        <f t="shared" si="118"/>
        <v>0.57341773542469243</v>
      </c>
      <c r="T472" s="101">
        <f t="shared" si="119"/>
        <v>-0.43902369207073372</v>
      </c>
      <c r="U472" s="101">
        <f t="shared" si="120"/>
        <v>1.6612452539705709</v>
      </c>
      <c r="V472" s="101">
        <f t="shared" si="121"/>
        <v>1.5309264594697112</v>
      </c>
      <c r="W472" s="101">
        <f t="shared" si="122"/>
        <v>0.80657583495378138</v>
      </c>
      <c r="X472" s="101">
        <f t="shared" si="123"/>
        <v>-3.6693763721974078</v>
      </c>
      <c r="Y472" s="101">
        <f t="shared" si="124"/>
        <v>0.63035263908415129</v>
      </c>
      <c r="Z472" s="101">
        <f t="shared" si="125"/>
        <v>-0.38450172887802536</v>
      </c>
      <c r="AQ472" s="101">
        <v>3.3360916933647902</v>
      </c>
      <c r="AR472" s="101">
        <v>0.4371770938216204</v>
      </c>
      <c r="AS472" s="101">
        <v>1.6333099241758757</v>
      </c>
      <c r="AT472" s="101">
        <v>-1.5678949333256822</v>
      </c>
      <c r="AU472" s="101">
        <v>2.1948930514586982</v>
      </c>
      <c r="AV472" s="101">
        <v>-0.6467799458268334</v>
      </c>
      <c r="AW472" s="101">
        <v>0.10422954799317753</v>
      </c>
      <c r="AX472" s="101">
        <v>-0.66672508242794748</v>
      </c>
      <c r="AY472" s="101">
        <v>0.10712404394110397</v>
      </c>
      <c r="AZ472" s="101">
        <v>0.34640598570664705</v>
      </c>
      <c r="BA472" s="101">
        <v>0.13959542061963043</v>
      </c>
      <c r="BB472" s="101">
        <v>-6.4704496768654987E-2</v>
      </c>
    </row>
    <row r="473" spans="2:54">
      <c r="B473">
        <v>4.4222799999999998</v>
      </c>
      <c r="C473">
        <v>18.100000000000001</v>
      </c>
      <c r="D473">
        <v>0.58399999999999996</v>
      </c>
      <c r="E473">
        <v>6.0030000000000001</v>
      </c>
      <c r="F473">
        <v>94.5</v>
      </c>
      <c r="G473">
        <v>2.5402999999999998</v>
      </c>
      <c r="H473">
        <v>24</v>
      </c>
      <c r="I473">
        <v>666</v>
      </c>
      <c r="J473">
        <v>20.2</v>
      </c>
      <c r="K473">
        <v>331.29</v>
      </c>
      <c r="L473">
        <v>21.32</v>
      </c>
      <c r="M473">
        <v>19.100000000000001</v>
      </c>
      <c r="O473" s="101">
        <f t="shared" si="114"/>
        <v>9.4117601629578038E-2</v>
      </c>
      <c r="P473" s="101">
        <f t="shared" si="115"/>
        <v>1.0159990707250266</v>
      </c>
      <c r="Q473" s="101">
        <f t="shared" si="116"/>
        <v>0.25314575034149683</v>
      </c>
      <c r="R473" s="101">
        <f t="shared" si="117"/>
        <v>-0.40123287343019143</v>
      </c>
      <c r="S473" s="101">
        <f t="shared" si="118"/>
        <v>0.92191133982996842</v>
      </c>
      <c r="T473" s="101">
        <f t="shared" si="119"/>
        <v>-0.59646595082386111</v>
      </c>
      <c r="U473" s="101">
        <f t="shared" si="120"/>
        <v>1.6612452539705709</v>
      </c>
      <c r="V473" s="101">
        <f t="shared" si="121"/>
        <v>1.5309264594697112</v>
      </c>
      <c r="W473" s="101">
        <f t="shared" si="122"/>
        <v>0.80657583495378138</v>
      </c>
      <c r="X473" s="101">
        <f t="shared" si="123"/>
        <v>-0.27831961925676868</v>
      </c>
      <c r="Y473" s="101">
        <f t="shared" si="124"/>
        <v>1.214877315750456</v>
      </c>
      <c r="Z473" s="101">
        <f t="shared" si="125"/>
        <v>-0.37361798112616351</v>
      </c>
      <c r="AQ473" s="101">
        <v>2.7659710457276248</v>
      </c>
      <c r="AR473" s="101">
        <v>4.6447311191241847E-2</v>
      </c>
      <c r="AS473" s="101">
        <v>0.38951552312873566</v>
      </c>
      <c r="AT473" s="101">
        <v>0.70460356461677831</v>
      </c>
      <c r="AU473" s="101">
        <v>0.21480604559558664</v>
      </c>
      <c r="AV473" s="101">
        <v>-0.45846390017411154</v>
      </c>
      <c r="AW473" s="101">
        <v>-0.67821577486961393</v>
      </c>
      <c r="AX473" s="101">
        <v>-0.49652575195211002</v>
      </c>
      <c r="AY473" s="101">
        <v>0.73338137639775858</v>
      </c>
      <c r="AZ473" s="101">
        <v>0.17373665984890149</v>
      </c>
      <c r="BA473" s="101">
        <v>-0.26141288605459423</v>
      </c>
      <c r="BB473" s="101">
        <v>-0.13687202483860189</v>
      </c>
    </row>
    <row r="474" spans="2:54">
      <c r="B474">
        <v>15.575699999999999</v>
      </c>
      <c r="C474">
        <v>18.100000000000001</v>
      </c>
      <c r="D474">
        <v>0.57999999999999996</v>
      </c>
      <c r="E474">
        <v>5.9260000000000002</v>
      </c>
      <c r="F474">
        <v>71</v>
      </c>
      <c r="G474">
        <v>2.9083999999999999</v>
      </c>
      <c r="H474">
        <v>24</v>
      </c>
      <c r="I474">
        <v>666</v>
      </c>
      <c r="J474">
        <v>20.2</v>
      </c>
      <c r="K474">
        <v>368.74</v>
      </c>
      <c r="L474">
        <v>18.13</v>
      </c>
      <c r="M474">
        <v>19.100000000000001</v>
      </c>
      <c r="O474" s="101">
        <f t="shared" si="114"/>
        <v>1.3920771416844087</v>
      </c>
      <c r="P474" s="101">
        <f t="shared" si="115"/>
        <v>1.0159990707250266</v>
      </c>
      <c r="Q474" s="101">
        <f t="shared" si="116"/>
        <v>0.21859243008960114</v>
      </c>
      <c r="R474" s="101">
        <f t="shared" si="117"/>
        <v>-0.51093159149026335</v>
      </c>
      <c r="S474" s="101">
        <f t="shared" si="118"/>
        <v>8.623790069486742E-2</v>
      </c>
      <c r="T474" s="101">
        <f t="shared" si="119"/>
        <v>-0.42148257085095614</v>
      </c>
      <c r="U474" s="101">
        <f t="shared" si="120"/>
        <v>1.6612452539705709</v>
      </c>
      <c r="V474" s="101">
        <f t="shared" si="121"/>
        <v>1.5309264594697112</v>
      </c>
      <c r="W474" s="101">
        <f t="shared" si="122"/>
        <v>0.80657583495378138</v>
      </c>
      <c r="X474" s="101">
        <f t="shared" si="123"/>
        <v>0.13229560124771553</v>
      </c>
      <c r="Y474" s="101">
        <f t="shared" si="124"/>
        <v>0.76772294678990149</v>
      </c>
      <c r="Z474" s="101">
        <f t="shared" si="125"/>
        <v>-0.37361798112616351</v>
      </c>
      <c r="AQ474" s="101">
        <v>2.5794682542808656</v>
      </c>
      <c r="AR474" s="101">
        <v>-0.13192162123264764</v>
      </c>
      <c r="AS474" s="101">
        <v>1.1825858274953585</v>
      </c>
      <c r="AT474" s="101">
        <v>0.81278859004336512</v>
      </c>
      <c r="AU474" s="101">
        <v>-0.88031660704581605</v>
      </c>
      <c r="AV474" s="101">
        <v>-0.37754286085424876</v>
      </c>
      <c r="AW474" s="101">
        <v>9.8099305184971911E-2</v>
      </c>
      <c r="AX474" s="101">
        <v>-5.0122490161751715E-2</v>
      </c>
      <c r="AY474" s="101">
        <v>0.52865165137513692</v>
      </c>
      <c r="AZ474" s="101">
        <v>4.251986476288136E-2</v>
      </c>
      <c r="BA474" s="101">
        <v>-0.12275304548715821</v>
      </c>
      <c r="BB474" s="101">
        <v>-9.1671038413015521E-2</v>
      </c>
    </row>
    <row r="475" spans="2:54">
      <c r="B475">
        <v>13.075100000000001</v>
      </c>
      <c r="C475">
        <v>18.100000000000001</v>
      </c>
      <c r="D475">
        <v>0.57999999999999996</v>
      </c>
      <c r="E475">
        <v>5.7130000000000001</v>
      </c>
      <c r="F475">
        <v>56.7</v>
      </c>
      <c r="G475">
        <v>2.8237000000000001</v>
      </c>
      <c r="H475">
        <v>24</v>
      </c>
      <c r="I475">
        <v>666</v>
      </c>
      <c r="J475">
        <v>20.2</v>
      </c>
      <c r="K475">
        <v>396.9</v>
      </c>
      <c r="L475">
        <v>14.76</v>
      </c>
      <c r="M475">
        <v>20.100000000000001</v>
      </c>
      <c r="O475" s="101">
        <f t="shared" si="114"/>
        <v>1.1010742362203352</v>
      </c>
      <c r="P475" s="101">
        <f t="shared" si="115"/>
        <v>1.0159990707250266</v>
      </c>
      <c r="Q475" s="101">
        <f t="shared" si="116"/>
        <v>0.21859243008960114</v>
      </c>
      <c r="R475" s="101">
        <f t="shared" si="117"/>
        <v>-0.81438388950059237</v>
      </c>
      <c r="S475" s="101">
        <f t="shared" si="118"/>
        <v>-0.42227827716181099</v>
      </c>
      <c r="T475" s="101">
        <f t="shared" si="119"/>
        <v>-0.46174633690285782</v>
      </c>
      <c r="U475" s="101">
        <f t="shared" si="120"/>
        <v>1.6612452539705709</v>
      </c>
      <c r="V475" s="101">
        <f t="shared" si="121"/>
        <v>1.5309264594697112</v>
      </c>
      <c r="W475" s="101">
        <f t="shared" si="122"/>
        <v>0.80657583495378138</v>
      </c>
      <c r="X475" s="101">
        <f t="shared" si="123"/>
        <v>0.44105193260702835</v>
      </c>
      <c r="Y475" s="101">
        <f t="shared" si="124"/>
        <v>0.2953372968221688</v>
      </c>
      <c r="Z475" s="101">
        <f t="shared" si="125"/>
        <v>-0.26478050360754674</v>
      </c>
      <c r="AQ475" s="101">
        <v>2.1806693543482383</v>
      </c>
      <c r="AR475" s="101">
        <v>-0.26620316886744566</v>
      </c>
      <c r="AS475" s="101">
        <v>1.1563120020282356</v>
      </c>
      <c r="AT475" s="101">
        <v>1.1258170623971175</v>
      </c>
      <c r="AU475" s="101">
        <v>-0.89700307677873703</v>
      </c>
      <c r="AV475" s="101">
        <v>-0.89175946177792098</v>
      </c>
      <c r="AW475" s="101">
        <v>0.49552102377240886</v>
      </c>
      <c r="AX475" s="101">
        <v>-0.12776988915212273</v>
      </c>
      <c r="AY475" s="101">
        <v>0.32559948407094047</v>
      </c>
      <c r="AZ475" s="101">
        <v>-8.9916841057188321E-2</v>
      </c>
      <c r="BA475" s="101">
        <v>-0.18245473318371147</v>
      </c>
      <c r="BB475" s="101">
        <v>-0.11505160650168794</v>
      </c>
    </row>
    <row r="476" spans="2:54">
      <c r="B476">
        <v>4.3487900000000002</v>
      </c>
      <c r="C476">
        <v>18.100000000000001</v>
      </c>
      <c r="D476">
        <v>0.57999999999999996</v>
      </c>
      <c r="E476">
        <v>6.1669999999999998</v>
      </c>
      <c r="F476">
        <v>84</v>
      </c>
      <c r="G476">
        <v>3.0333999999999999</v>
      </c>
      <c r="H476">
        <v>24</v>
      </c>
      <c r="I476">
        <v>666</v>
      </c>
      <c r="J476">
        <v>20.2</v>
      </c>
      <c r="K476">
        <v>396.9</v>
      </c>
      <c r="L476">
        <v>16.29</v>
      </c>
      <c r="M476">
        <v>19.899999999999999</v>
      </c>
      <c r="O476" s="101">
        <f t="shared" si="114"/>
        <v>8.5565332765083643E-2</v>
      </c>
      <c r="P476" s="101">
        <f t="shared" si="115"/>
        <v>1.0159990707250266</v>
      </c>
      <c r="Q476" s="101">
        <f t="shared" si="116"/>
        <v>0.21859243008960114</v>
      </c>
      <c r="R476" s="101">
        <f t="shared" si="117"/>
        <v>-0.16758885054899955</v>
      </c>
      <c r="S476" s="101">
        <f t="shared" si="118"/>
        <v>0.54852533511002965</v>
      </c>
      <c r="T476" s="101">
        <f t="shared" si="119"/>
        <v>-0.36206142850753553</v>
      </c>
      <c r="U476" s="101">
        <f t="shared" si="120"/>
        <v>1.6612452539705709</v>
      </c>
      <c r="V476" s="101">
        <f t="shared" si="121"/>
        <v>1.5309264594697112</v>
      </c>
      <c r="W476" s="101">
        <f t="shared" si="122"/>
        <v>0.80657583495378138</v>
      </c>
      <c r="X476" s="101">
        <f t="shared" si="123"/>
        <v>0.44105193260702835</v>
      </c>
      <c r="Y476" s="101">
        <f t="shared" si="124"/>
        <v>0.50980318538318692</v>
      </c>
      <c r="Z476" s="101">
        <f t="shared" si="125"/>
        <v>-0.28654799911127038</v>
      </c>
      <c r="AQ476" s="101">
        <v>2.1208485407632431</v>
      </c>
      <c r="AR476" s="101">
        <v>0.16562280707375382</v>
      </c>
      <c r="AS476" s="101">
        <v>0.55443199130534115</v>
      </c>
      <c r="AT476" s="101">
        <v>1.3306994209530356</v>
      </c>
      <c r="AU476" s="101">
        <v>-0.10981231063955377</v>
      </c>
      <c r="AV476" s="101">
        <v>-0.74306997348163983</v>
      </c>
      <c r="AW476" s="101">
        <v>-0.5522901794161581</v>
      </c>
      <c r="AX476" s="101">
        <v>-0.16959859388826642</v>
      </c>
      <c r="AY476" s="101">
        <v>0.40478047611114548</v>
      </c>
      <c r="AZ476" s="101">
        <v>0.2008502969308501</v>
      </c>
      <c r="BA476" s="101">
        <v>-0.31244778615544161</v>
      </c>
      <c r="BB476" s="101">
        <v>-0.1859784959724976</v>
      </c>
    </row>
    <row r="477" spans="2:54">
      <c r="B477">
        <v>4.0384099999999998</v>
      </c>
      <c r="C477">
        <v>18.100000000000001</v>
      </c>
      <c r="D477">
        <v>0.53200000000000003</v>
      </c>
      <c r="E477">
        <v>6.2290000000000001</v>
      </c>
      <c r="F477">
        <v>90.7</v>
      </c>
      <c r="G477">
        <v>3.0992999999999999</v>
      </c>
      <c r="H477">
        <v>24</v>
      </c>
      <c r="I477">
        <v>666</v>
      </c>
      <c r="J477">
        <v>20.2</v>
      </c>
      <c r="K477">
        <v>395.33</v>
      </c>
      <c r="L477">
        <v>12.87</v>
      </c>
      <c r="M477">
        <v>19.600000000000001</v>
      </c>
      <c r="O477" s="101">
        <f t="shared" si="114"/>
        <v>4.9445408827652901E-2</v>
      </c>
      <c r="P477" s="101">
        <f t="shared" si="115"/>
        <v>1.0159990707250266</v>
      </c>
      <c r="Q477" s="101">
        <f t="shared" si="116"/>
        <v>-0.19604741293314656</v>
      </c>
      <c r="R477" s="101">
        <f t="shared" si="117"/>
        <v>-7.9260012630499657E-2</v>
      </c>
      <c r="S477" s="101">
        <f t="shared" si="118"/>
        <v>0.78678116669322884</v>
      </c>
      <c r="T477" s="101">
        <f t="shared" si="119"/>
        <v>-0.33073460226408419</v>
      </c>
      <c r="U477" s="101">
        <f t="shared" si="120"/>
        <v>1.6612452539705709</v>
      </c>
      <c r="V477" s="101">
        <f t="shared" si="121"/>
        <v>1.5309264594697112</v>
      </c>
      <c r="W477" s="101">
        <f t="shared" si="122"/>
        <v>0.80657583495378138</v>
      </c>
      <c r="X477" s="101">
        <f t="shared" si="123"/>
        <v>0.4238378899850781</v>
      </c>
      <c r="Y477" s="101">
        <f t="shared" si="124"/>
        <v>3.0408846246793304E-2</v>
      </c>
      <c r="Z477" s="101">
        <f t="shared" si="125"/>
        <v>-0.3191992423668551</v>
      </c>
      <c r="AQ477" s="101">
        <v>1.8750774935387626</v>
      </c>
      <c r="AR477" s="101">
        <v>0.25439098483467631</v>
      </c>
      <c r="AS477" s="101">
        <v>0.67854907905137862</v>
      </c>
      <c r="AT477" s="101">
        <v>1.4612036622389195</v>
      </c>
      <c r="AU477" s="101">
        <v>1.7638944027002099E-2</v>
      </c>
      <c r="AV477" s="101">
        <v>-0.61847202293449632</v>
      </c>
      <c r="AW477" s="101">
        <v>-0.49516021724287751</v>
      </c>
      <c r="AX477" s="101">
        <v>-0.17004545379844738</v>
      </c>
      <c r="AY477" s="101">
        <v>0.28389320096383841</v>
      </c>
      <c r="AZ477" s="101">
        <v>0.59157882358972524</v>
      </c>
      <c r="BA477" s="101">
        <v>-0.71191417322547235</v>
      </c>
      <c r="BB477" s="101">
        <v>-0.27173037065171679</v>
      </c>
    </row>
    <row r="478" spans="2:54">
      <c r="B478">
        <v>3.5686800000000001</v>
      </c>
      <c r="C478">
        <v>18.100000000000001</v>
      </c>
      <c r="D478">
        <v>0.57999999999999996</v>
      </c>
      <c r="E478">
        <v>6.4370000000000003</v>
      </c>
      <c r="F478">
        <v>75</v>
      </c>
      <c r="G478">
        <v>2.8965000000000001</v>
      </c>
      <c r="H478">
        <v>24</v>
      </c>
      <c r="I478">
        <v>666</v>
      </c>
      <c r="J478">
        <v>20.2</v>
      </c>
      <c r="K478">
        <v>393.37</v>
      </c>
      <c r="L478">
        <v>14.36</v>
      </c>
      <c r="M478">
        <v>23.2</v>
      </c>
      <c r="O478" s="101">
        <f t="shared" si="114"/>
        <v>-5.2185897261499067E-3</v>
      </c>
      <c r="P478" s="101">
        <f t="shared" si="115"/>
        <v>1.0159990707250266</v>
      </c>
      <c r="Q478" s="101">
        <f t="shared" si="116"/>
        <v>0.21859243008960114</v>
      </c>
      <c r="R478" s="101">
        <f t="shared" si="117"/>
        <v>0.21706899199930543</v>
      </c>
      <c r="S478" s="101">
        <f t="shared" si="118"/>
        <v>0.22848018820722504</v>
      </c>
      <c r="T478" s="101">
        <f t="shared" si="119"/>
        <v>-0.42713946360204968</v>
      </c>
      <c r="U478" s="101">
        <f t="shared" si="120"/>
        <v>1.6612452539705709</v>
      </c>
      <c r="V478" s="101">
        <f t="shared" si="121"/>
        <v>1.5309264594697112</v>
      </c>
      <c r="W478" s="101">
        <f t="shared" si="122"/>
        <v>0.80657583495378138</v>
      </c>
      <c r="X478" s="101">
        <f t="shared" si="123"/>
        <v>0.4023477476035352</v>
      </c>
      <c r="Y478" s="101">
        <f t="shared" si="124"/>
        <v>0.23926778347288294</v>
      </c>
      <c r="Z478" s="101">
        <f t="shared" si="125"/>
        <v>7.261567670016511E-2</v>
      </c>
      <c r="AQ478" s="101">
        <v>1.7624544913681632</v>
      </c>
      <c r="AR478" s="101">
        <v>0.57304269210278236</v>
      </c>
      <c r="AS478" s="101">
        <v>0.79296837336720971</v>
      </c>
      <c r="AT478" s="101">
        <v>1.446279380814472</v>
      </c>
      <c r="AU478" s="101">
        <v>3.7127474452023052E-2</v>
      </c>
      <c r="AV478" s="101">
        <v>-0.84585872600448975</v>
      </c>
      <c r="AW478" s="101">
        <v>-0.40126080211455123</v>
      </c>
      <c r="AX478" s="101">
        <v>-9.1325126388333511E-2</v>
      </c>
      <c r="AY478" s="101">
        <v>0.46204053099484699</v>
      </c>
      <c r="AZ478" s="101">
        <v>2.1302542442986745E-2</v>
      </c>
      <c r="BA478" s="101">
        <v>-0.24712760932693592</v>
      </c>
      <c r="BB478" s="101">
        <v>-0.15464920321669812</v>
      </c>
    </row>
    <row r="479" spans="2:54">
      <c r="B479">
        <v>4.64689</v>
      </c>
      <c r="C479">
        <v>18.100000000000001</v>
      </c>
      <c r="D479">
        <v>0.61399999999999999</v>
      </c>
      <c r="E479">
        <v>6.98</v>
      </c>
      <c r="F479">
        <v>67.599999999999994</v>
      </c>
      <c r="G479">
        <v>2.5329000000000002</v>
      </c>
      <c r="H479">
        <v>24</v>
      </c>
      <c r="I479">
        <v>666</v>
      </c>
      <c r="J479">
        <v>20.2</v>
      </c>
      <c r="K479">
        <v>374.68</v>
      </c>
      <c r="L479">
        <v>11.66</v>
      </c>
      <c r="M479">
        <v>29.8</v>
      </c>
      <c r="O479" s="101">
        <f t="shared" si="114"/>
        <v>0.12025619340606594</v>
      </c>
      <c r="P479" s="101">
        <f t="shared" si="115"/>
        <v>1.0159990707250266</v>
      </c>
      <c r="Q479" s="101">
        <f t="shared" si="116"/>
        <v>0.51229565223071472</v>
      </c>
      <c r="R479" s="101">
        <f t="shared" si="117"/>
        <v>0.99065865312422885</v>
      </c>
      <c r="S479" s="101">
        <f t="shared" si="118"/>
        <v>-3.4668043690636766E-2</v>
      </c>
      <c r="T479" s="101">
        <f t="shared" si="119"/>
        <v>-0.59998368245059142</v>
      </c>
      <c r="U479" s="101">
        <f t="shared" si="120"/>
        <v>1.6612452539705709</v>
      </c>
      <c r="V479" s="101">
        <f t="shared" si="121"/>
        <v>1.5309264594697112</v>
      </c>
      <c r="W479" s="101">
        <f t="shared" si="122"/>
        <v>0.80657583495378138</v>
      </c>
      <c r="X479" s="101">
        <f t="shared" si="123"/>
        <v>0.19742388989382062</v>
      </c>
      <c r="Y479" s="101">
        <f t="shared" si="124"/>
        <v>-0.13920143163479612</v>
      </c>
      <c r="Z479" s="101">
        <f t="shared" si="125"/>
        <v>0.79094302832303609</v>
      </c>
      <c r="AQ479" s="101">
        <v>1.4261153472742794</v>
      </c>
      <c r="AR479" s="101">
        <v>1.5463271018693188</v>
      </c>
      <c r="AS479" s="101">
        <v>1.1855989171188395</v>
      </c>
      <c r="AT479" s="101">
        <v>1.5176550688664294</v>
      </c>
      <c r="AU479" s="101">
        <v>0.20853999812058149</v>
      </c>
      <c r="AV479" s="101">
        <v>-0.77625222954537787</v>
      </c>
      <c r="AW479" s="101">
        <v>-0.17652234537017122</v>
      </c>
      <c r="AX479" s="101">
        <v>4.680465995412153E-2</v>
      </c>
      <c r="AY479" s="101">
        <v>0.46968721842620692</v>
      </c>
      <c r="AZ479" s="101">
        <v>-0.21713089204181965</v>
      </c>
      <c r="BA479" s="101">
        <v>8.1985048241275671E-2</v>
      </c>
      <c r="BB479" s="101">
        <v>-4.4662559576900254E-2</v>
      </c>
    </row>
    <row r="480" spans="2:54">
      <c r="B480">
        <v>8.05579</v>
      </c>
      <c r="C480">
        <v>18.100000000000001</v>
      </c>
      <c r="D480">
        <v>0.58399999999999996</v>
      </c>
      <c r="E480">
        <v>5.4269999999999996</v>
      </c>
      <c r="F480">
        <v>95.4</v>
      </c>
      <c r="G480">
        <v>2.4298000000000002</v>
      </c>
      <c r="H480">
        <v>24</v>
      </c>
      <c r="I480">
        <v>666</v>
      </c>
      <c r="J480">
        <v>20.2</v>
      </c>
      <c r="K480">
        <v>352.58</v>
      </c>
      <c r="L480">
        <v>18.14</v>
      </c>
      <c r="M480">
        <v>13.8</v>
      </c>
      <c r="O480" s="101">
        <f t="shared" si="114"/>
        <v>0.51696090604962386</v>
      </c>
      <c r="P480" s="101">
        <f t="shared" si="115"/>
        <v>1.0159990707250266</v>
      </c>
      <c r="Q480" s="101">
        <f t="shared" si="116"/>
        <v>0.25314575034149683</v>
      </c>
      <c r="R480" s="101">
        <f t="shared" si="117"/>
        <v>-1.2218362708665746</v>
      </c>
      <c r="S480" s="101">
        <f t="shared" si="118"/>
        <v>0.95391585452024918</v>
      </c>
      <c r="T480" s="101">
        <f t="shared" si="119"/>
        <v>-0.64899424065544464</v>
      </c>
      <c r="U480" s="101">
        <f t="shared" si="120"/>
        <v>1.6612452539705709</v>
      </c>
      <c r="V480" s="101">
        <f t="shared" si="121"/>
        <v>1.5309264594697112</v>
      </c>
      <c r="W480" s="101">
        <f t="shared" si="122"/>
        <v>0.80657583495378138</v>
      </c>
      <c r="X480" s="101">
        <f t="shared" si="123"/>
        <v>-4.4888429816436072E-2</v>
      </c>
      <c r="Y480" s="101">
        <f t="shared" si="124"/>
        <v>0.76912468462363393</v>
      </c>
      <c r="Z480" s="101">
        <f t="shared" si="125"/>
        <v>-0.95045661197483255</v>
      </c>
      <c r="AQ480" s="101">
        <v>3.0377321403063622</v>
      </c>
      <c r="AR480" s="101">
        <v>-0.55735597944389292</v>
      </c>
      <c r="AS480" s="101">
        <v>0.3015030584394337</v>
      </c>
      <c r="AT480" s="101">
        <v>0.74255848456525297</v>
      </c>
      <c r="AU480" s="101">
        <v>-0.25048894670107308</v>
      </c>
      <c r="AV480" s="101">
        <v>-0.53360234049437638</v>
      </c>
      <c r="AW480" s="101">
        <v>-0.19641616958900304</v>
      </c>
      <c r="AX480" s="101">
        <v>-0.5158470278863394</v>
      </c>
      <c r="AY480" s="101">
        <v>0.13743384688063776</v>
      </c>
      <c r="AZ480" s="101">
        <v>0.44982202990824405</v>
      </c>
      <c r="BA480" s="101">
        <v>-0.57988650542415754</v>
      </c>
      <c r="BB480" s="101">
        <v>-0.21950096781281375</v>
      </c>
    </row>
    <row r="481" spans="2:54">
      <c r="B481">
        <v>6.3931199999999997</v>
      </c>
      <c r="C481">
        <v>18.100000000000001</v>
      </c>
      <c r="D481">
        <v>0.58399999999999996</v>
      </c>
      <c r="E481">
        <v>6.1619999999999999</v>
      </c>
      <c r="F481">
        <v>97.4</v>
      </c>
      <c r="G481">
        <v>2.206</v>
      </c>
      <c r="H481">
        <v>24</v>
      </c>
      <c r="I481">
        <v>666</v>
      </c>
      <c r="J481">
        <v>20.2</v>
      </c>
      <c r="K481">
        <v>302.76</v>
      </c>
      <c r="L481">
        <v>24.1</v>
      </c>
      <c r="M481">
        <v>13.3</v>
      </c>
      <c r="O481" s="101">
        <f t="shared" si="114"/>
        <v>0.32347062338628246</v>
      </c>
      <c r="P481" s="101">
        <f t="shared" si="115"/>
        <v>1.0159990707250266</v>
      </c>
      <c r="Q481" s="101">
        <f t="shared" si="116"/>
        <v>0.25314575034149683</v>
      </c>
      <c r="R481" s="101">
        <f t="shared" si="117"/>
        <v>-0.17471214392952356</v>
      </c>
      <c r="S481" s="101">
        <f t="shared" si="118"/>
        <v>1.025036998276428</v>
      </c>
      <c r="T481" s="101">
        <f t="shared" si="119"/>
        <v>-0.75538185390710499</v>
      </c>
      <c r="U481" s="101">
        <f t="shared" si="120"/>
        <v>1.6612452539705709</v>
      </c>
      <c r="V481" s="101">
        <f t="shared" si="121"/>
        <v>1.5309264594697112</v>
      </c>
      <c r="W481" s="101">
        <f t="shared" si="122"/>
        <v>0.80657583495378138</v>
      </c>
      <c r="X481" s="101">
        <f t="shared" si="123"/>
        <v>-0.59113276320851638</v>
      </c>
      <c r="Y481" s="101">
        <f t="shared" si="124"/>
        <v>1.6045604335279924</v>
      </c>
      <c r="Z481" s="101">
        <f t="shared" si="125"/>
        <v>-1.004875350734141</v>
      </c>
      <c r="AQ481" s="101">
        <v>3.2211525899094129</v>
      </c>
      <c r="AR481" s="101">
        <v>-0.12413060021517075</v>
      </c>
      <c r="AS481" s="101">
        <v>0.44773143935307164</v>
      </c>
      <c r="AT481" s="101">
        <v>0.33184949675300174</v>
      </c>
      <c r="AU481" s="101">
        <v>0.26536159205904369</v>
      </c>
      <c r="AV481" s="101">
        <v>-0.11326773939336074</v>
      </c>
      <c r="AW481" s="101">
        <v>-0.93357564190011844</v>
      </c>
      <c r="AX481" s="101">
        <v>-0.19522829979235906</v>
      </c>
      <c r="AY481" s="101">
        <v>0.73712288353212396</v>
      </c>
      <c r="AZ481" s="101">
        <v>-8.2349226588820462E-2</v>
      </c>
      <c r="BA481" s="101">
        <v>-0.51612137658488788</v>
      </c>
      <c r="BB481" s="101">
        <v>-0.17147351042590647</v>
      </c>
    </row>
    <row r="482" spans="2:54">
      <c r="B482">
        <v>4.87141</v>
      </c>
      <c r="C482">
        <v>18.100000000000001</v>
      </c>
      <c r="D482">
        <v>0.61399999999999999</v>
      </c>
      <c r="E482">
        <v>6.484</v>
      </c>
      <c r="F482">
        <v>93.6</v>
      </c>
      <c r="G482">
        <v>2.3052999999999999</v>
      </c>
      <c r="H482">
        <v>24</v>
      </c>
      <c r="I482">
        <v>666</v>
      </c>
      <c r="J482">
        <v>20.2</v>
      </c>
      <c r="K482">
        <v>396.21</v>
      </c>
      <c r="L482">
        <v>18.68</v>
      </c>
      <c r="M482">
        <v>16.7</v>
      </c>
      <c r="O482" s="101">
        <f t="shared" si="114"/>
        <v>0.14638431159161897</v>
      </c>
      <c r="P482" s="101">
        <f t="shared" si="115"/>
        <v>1.0159990707250266</v>
      </c>
      <c r="Q482" s="101">
        <f t="shared" si="116"/>
        <v>0.51229565223071472</v>
      </c>
      <c r="R482" s="101">
        <f t="shared" si="117"/>
        <v>0.28402794977623208</v>
      </c>
      <c r="S482" s="101">
        <f t="shared" si="118"/>
        <v>0.88990682513968777</v>
      </c>
      <c r="T482" s="101">
        <f t="shared" si="119"/>
        <v>-0.70817769842949174</v>
      </c>
      <c r="U482" s="101">
        <f t="shared" si="120"/>
        <v>1.6612452539705709</v>
      </c>
      <c r="V482" s="101">
        <f t="shared" si="121"/>
        <v>1.5309264594697112</v>
      </c>
      <c r="W482" s="101">
        <f t="shared" si="122"/>
        <v>0.80657583495378138</v>
      </c>
      <c r="X482" s="101">
        <f t="shared" si="123"/>
        <v>0.43348652534005661</v>
      </c>
      <c r="Y482" s="101">
        <f t="shared" si="124"/>
        <v>0.84481852764516963</v>
      </c>
      <c r="Z482" s="101">
        <f t="shared" si="125"/>
        <v>-0.63482792717084402</v>
      </c>
      <c r="AQ482" s="101">
        <v>2.5509852147875756</v>
      </c>
      <c r="AR482" s="101">
        <v>0.43180616498872731</v>
      </c>
      <c r="AS482" s="101">
        <v>0.31124582819454261</v>
      </c>
      <c r="AT482" s="101">
        <v>1.2742456885252389</v>
      </c>
      <c r="AU482" s="101">
        <v>-6.9886898390985774E-2</v>
      </c>
      <c r="AV482" s="101">
        <v>-0.37693494531428062</v>
      </c>
      <c r="AW482" s="101">
        <v>-0.9246125807592388</v>
      </c>
      <c r="AX482" s="101">
        <v>7.4191850037774398E-2</v>
      </c>
      <c r="AY482" s="101">
        <v>0.33349464417950775</v>
      </c>
      <c r="AZ482" s="101">
        <v>-0.10945596091469129</v>
      </c>
      <c r="BA482" s="101">
        <v>-0.41493992633607557</v>
      </c>
      <c r="BB482" s="101">
        <v>-0.17780050708796769</v>
      </c>
    </row>
    <row r="483" spans="2:54">
      <c r="B483">
        <v>15.023400000000001</v>
      </c>
      <c r="C483">
        <v>18.100000000000001</v>
      </c>
      <c r="D483">
        <v>0.61399999999999999</v>
      </c>
      <c r="E483">
        <v>5.3040000000000003</v>
      </c>
      <c r="F483">
        <v>97.3</v>
      </c>
      <c r="G483">
        <v>2.1006999999999998</v>
      </c>
      <c r="H483">
        <v>24</v>
      </c>
      <c r="I483">
        <v>666</v>
      </c>
      <c r="J483">
        <v>20.2</v>
      </c>
      <c r="K483">
        <v>349.48</v>
      </c>
      <c r="L483">
        <v>24.91</v>
      </c>
      <c r="M483">
        <v>12</v>
      </c>
      <c r="O483" s="101">
        <f t="shared" si="114"/>
        <v>1.3278042053140147</v>
      </c>
      <c r="P483" s="101">
        <f t="shared" si="115"/>
        <v>1.0159990707250266</v>
      </c>
      <c r="Q483" s="101">
        <f t="shared" si="116"/>
        <v>0.51229565223071472</v>
      </c>
      <c r="R483" s="101">
        <f t="shared" si="117"/>
        <v>-1.397069288027468</v>
      </c>
      <c r="S483" s="101">
        <f t="shared" si="118"/>
        <v>1.0214809410886188</v>
      </c>
      <c r="T483" s="101">
        <f t="shared" si="119"/>
        <v>-0.80543822421720257</v>
      </c>
      <c r="U483" s="101">
        <f t="shared" si="120"/>
        <v>1.6612452539705709</v>
      </c>
      <c r="V483" s="101">
        <f t="shared" si="121"/>
        <v>1.5309264594697112</v>
      </c>
      <c r="W483" s="101">
        <f t="shared" si="122"/>
        <v>0.80657583495378138</v>
      </c>
      <c r="X483" s="101">
        <f t="shared" si="123"/>
        <v>-7.8877940726019183E-2</v>
      </c>
      <c r="Y483" s="101">
        <f t="shared" si="124"/>
        <v>1.718101198060296</v>
      </c>
      <c r="Z483" s="101">
        <f t="shared" si="125"/>
        <v>-1.146364071508343</v>
      </c>
      <c r="AQ483" s="101">
        <v>3.8031915158811858</v>
      </c>
      <c r="AR483" s="101">
        <v>-0.81440798222653565</v>
      </c>
      <c r="AS483" s="101">
        <v>0.26328312012939781</v>
      </c>
      <c r="AT483" s="101">
        <v>0.36795946741914798</v>
      </c>
      <c r="AU483" s="101">
        <v>-0.8759509524867114</v>
      </c>
      <c r="AV483" s="101">
        <v>-7.4659659794978905E-2</v>
      </c>
      <c r="AW483" s="101">
        <v>-0.26320860294825016</v>
      </c>
      <c r="AX483" s="101">
        <v>-0.4763962475374971</v>
      </c>
      <c r="AY483" s="101">
        <v>0.47516233511012373</v>
      </c>
      <c r="AZ483" s="101">
        <v>0.13848232973128258</v>
      </c>
      <c r="BA483" s="101">
        <v>-0.26427600446152832</v>
      </c>
      <c r="BB483" s="101">
        <v>-0.10894446978127209</v>
      </c>
    </row>
    <row r="484" spans="2:54">
      <c r="B484">
        <v>10.233000000000001</v>
      </c>
      <c r="C484">
        <v>18.100000000000001</v>
      </c>
      <c r="D484">
        <v>0.61399999999999999</v>
      </c>
      <c r="E484">
        <v>6.1849999999999996</v>
      </c>
      <c r="F484">
        <v>96.7</v>
      </c>
      <c r="G484">
        <v>2.1705000000000001</v>
      </c>
      <c r="H484">
        <v>24</v>
      </c>
      <c r="I484">
        <v>666</v>
      </c>
      <c r="J484">
        <v>20.2</v>
      </c>
      <c r="K484">
        <v>379.7</v>
      </c>
      <c r="L484">
        <v>18.03</v>
      </c>
      <c r="M484">
        <v>14.6</v>
      </c>
      <c r="O484" s="101">
        <f t="shared" si="114"/>
        <v>0.77032987182001356</v>
      </c>
      <c r="P484" s="101">
        <f t="shared" si="115"/>
        <v>1.0159990707250266</v>
      </c>
      <c r="Q484" s="101">
        <f t="shared" si="116"/>
        <v>0.51229565223071472</v>
      </c>
      <c r="R484" s="101">
        <f t="shared" si="117"/>
        <v>-0.1419449943791129</v>
      </c>
      <c r="S484" s="101">
        <f t="shared" si="118"/>
        <v>1.0001445979617654</v>
      </c>
      <c r="T484" s="101">
        <f t="shared" si="119"/>
        <v>-0.77225745833263637</v>
      </c>
      <c r="U484" s="101">
        <f t="shared" si="120"/>
        <v>1.6612452539705709</v>
      </c>
      <c r="V484" s="101">
        <f t="shared" si="121"/>
        <v>1.5309264594697112</v>
      </c>
      <c r="W484" s="101">
        <f t="shared" si="122"/>
        <v>0.80657583495378138</v>
      </c>
      <c r="X484" s="101">
        <f t="shared" si="123"/>
        <v>0.2524649688506298</v>
      </c>
      <c r="Y484" s="101">
        <f t="shared" si="124"/>
        <v>0.75370556845258041</v>
      </c>
      <c r="Z484" s="101">
        <f t="shared" si="125"/>
        <v>-0.86338662995993931</v>
      </c>
      <c r="AQ484" s="101">
        <v>2.9237541680953907</v>
      </c>
      <c r="AR484" s="101">
        <v>0.19365301972591792</v>
      </c>
      <c r="AS484" s="101">
        <v>0.45858998120793704</v>
      </c>
      <c r="AT484" s="101">
        <v>1.0183330838522768</v>
      </c>
      <c r="AU484" s="101">
        <v>-0.40790151518520451</v>
      </c>
      <c r="AV484" s="101">
        <v>-0.15089693682009486</v>
      </c>
      <c r="AW484" s="101">
        <v>-0.56065484268664889</v>
      </c>
      <c r="AX484" s="101">
        <v>3.2324752085915731E-2</v>
      </c>
      <c r="AY484" s="101">
        <v>0.1186896937216167</v>
      </c>
      <c r="AZ484" s="101">
        <v>0.1046991414936935</v>
      </c>
      <c r="BA484" s="101">
        <v>-0.4916535439665356</v>
      </c>
      <c r="BB484" s="101">
        <v>-0.17821321137021517</v>
      </c>
    </row>
    <row r="485" spans="2:54">
      <c r="B485">
        <v>14.3337</v>
      </c>
      <c r="C485">
        <v>18.100000000000001</v>
      </c>
      <c r="D485">
        <v>0.61399999999999999</v>
      </c>
      <c r="E485">
        <v>6.2290000000000001</v>
      </c>
      <c r="F485">
        <v>88</v>
      </c>
      <c r="G485">
        <v>1.9512</v>
      </c>
      <c r="H485">
        <v>24</v>
      </c>
      <c r="I485">
        <v>666</v>
      </c>
      <c r="J485">
        <v>20.2</v>
      </c>
      <c r="K485">
        <v>383.32</v>
      </c>
      <c r="L485">
        <v>13.11</v>
      </c>
      <c r="M485">
        <v>21.4</v>
      </c>
      <c r="O485" s="101">
        <f t="shared" si="114"/>
        <v>1.2475415867830333</v>
      </c>
      <c r="P485" s="101">
        <f t="shared" si="115"/>
        <v>1.0159990707250266</v>
      </c>
      <c r="Q485" s="101">
        <f t="shared" si="116"/>
        <v>0.51229565223071472</v>
      </c>
      <c r="R485" s="101">
        <f t="shared" si="117"/>
        <v>-7.9260012630499657E-2</v>
      </c>
      <c r="S485" s="101">
        <f t="shared" si="118"/>
        <v>0.69076762262238733</v>
      </c>
      <c r="T485" s="101">
        <f t="shared" si="119"/>
        <v>-0.87650591045993342</v>
      </c>
      <c r="U485" s="101">
        <f t="shared" si="120"/>
        <v>1.6612452539705709</v>
      </c>
      <c r="V485" s="101">
        <f t="shared" si="121"/>
        <v>1.5309264594697112</v>
      </c>
      <c r="W485" s="101">
        <f t="shared" si="122"/>
        <v>0.80657583495378138</v>
      </c>
      <c r="X485" s="101">
        <f t="shared" si="123"/>
        <v>0.29215594610633705</v>
      </c>
      <c r="Y485" s="101">
        <f t="shared" si="124"/>
        <v>6.4050554256364814E-2</v>
      </c>
      <c r="Z485" s="101">
        <f t="shared" si="125"/>
        <v>-0.1232917828333452</v>
      </c>
      <c r="AQ485" s="101">
        <v>2.5366099829893418</v>
      </c>
      <c r="AR485" s="101">
        <v>0.74873947135112839</v>
      </c>
      <c r="AS485" s="101">
        <v>0.89853064234589353</v>
      </c>
      <c r="AT485" s="101">
        <v>1.2165454447724529</v>
      </c>
      <c r="AU485" s="101">
        <v>-0.67678348977075153</v>
      </c>
      <c r="AV485" s="101">
        <v>-0.16082603464936057</v>
      </c>
      <c r="AW485" s="101">
        <v>0.15777109938202019</v>
      </c>
      <c r="AX485" s="101">
        <v>-7.661661073899198E-2</v>
      </c>
      <c r="AY485" s="101">
        <v>1.8514802606171117E-2</v>
      </c>
      <c r="AZ485" s="101">
        <v>0.24822725789918706</v>
      </c>
      <c r="BA485" s="101">
        <v>-0.30439605628501304</v>
      </c>
      <c r="BB485" s="101">
        <v>-9.91960764973812E-2</v>
      </c>
    </row>
    <row r="486" spans="2:54">
      <c r="B486">
        <v>5.8240100000000004</v>
      </c>
      <c r="C486">
        <v>18.100000000000001</v>
      </c>
      <c r="D486">
        <v>0.53200000000000003</v>
      </c>
      <c r="E486">
        <v>6.242</v>
      </c>
      <c r="F486">
        <v>64.7</v>
      </c>
      <c r="G486">
        <v>3.4241999999999999</v>
      </c>
      <c r="H486">
        <v>24</v>
      </c>
      <c r="I486">
        <v>666</v>
      </c>
      <c r="J486">
        <v>20.2</v>
      </c>
      <c r="K486">
        <v>396.9</v>
      </c>
      <c r="L486">
        <v>10.74</v>
      </c>
      <c r="M486">
        <v>23</v>
      </c>
      <c r="O486" s="101">
        <f t="shared" si="114"/>
        <v>0.25724145297571749</v>
      </c>
      <c r="P486" s="101">
        <f t="shared" si="115"/>
        <v>1.0159990707250266</v>
      </c>
      <c r="Q486" s="101">
        <f t="shared" si="116"/>
        <v>-0.19604741293314656</v>
      </c>
      <c r="R486" s="101">
        <f t="shared" si="117"/>
        <v>-6.0739449841136994E-2</v>
      </c>
      <c r="S486" s="101">
        <f t="shared" si="118"/>
        <v>-0.13779370213709574</v>
      </c>
      <c r="T486" s="101">
        <f t="shared" si="119"/>
        <v>-0.17628716908506545</v>
      </c>
      <c r="U486" s="101">
        <f t="shared" si="120"/>
        <v>1.6612452539705709</v>
      </c>
      <c r="V486" s="101">
        <f t="shared" si="121"/>
        <v>1.5309264594697112</v>
      </c>
      <c r="W486" s="101">
        <f t="shared" si="122"/>
        <v>0.80657583495378138</v>
      </c>
      <c r="X486" s="101">
        <f t="shared" si="123"/>
        <v>0.44105193260702835</v>
      </c>
      <c r="Y486" s="101">
        <f t="shared" si="124"/>
        <v>-0.26816131233815343</v>
      </c>
      <c r="Z486" s="101">
        <f t="shared" si="125"/>
        <v>5.0848181196441827E-2</v>
      </c>
      <c r="AQ486" s="101">
        <v>1.3999870185643049</v>
      </c>
      <c r="AR486" s="101">
        <v>0.27148887611127831</v>
      </c>
      <c r="AS486" s="101">
        <v>1.2170733429877605</v>
      </c>
      <c r="AT486" s="101">
        <v>1.4905451572290276</v>
      </c>
      <c r="AU486" s="101">
        <v>-0.16592634939531206</v>
      </c>
      <c r="AV486" s="101">
        <v>-0.99514052867525782</v>
      </c>
      <c r="AW486" s="101">
        <v>2.3575925023636583E-2</v>
      </c>
      <c r="AX486" s="101">
        <v>-4.7848167305497125E-2</v>
      </c>
      <c r="AY486" s="101">
        <v>0.35729587360071013</v>
      </c>
      <c r="AZ486" s="101">
        <v>0.28381409293412524</v>
      </c>
      <c r="BA486" s="101">
        <v>-0.44986955646991528</v>
      </c>
      <c r="BB486" s="101">
        <v>-0.21386280868350857</v>
      </c>
    </row>
    <row r="487" spans="2:54">
      <c r="B487">
        <v>5.7081799999999996</v>
      </c>
      <c r="C487">
        <v>18.100000000000001</v>
      </c>
      <c r="D487">
        <v>0.53200000000000003</v>
      </c>
      <c r="E487">
        <v>6.75</v>
      </c>
      <c r="F487">
        <v>74.900000000000006</v>
      </c>
      <c r="G487">
        <v>3.3317000000000001</v>
      </c>
      <c r="H487">
        <v>24</v>
      </c>
      <c r="I487">
        <v>666</v>
      </c>
      <c r="J487">
        <v>20.2</v>
      </c>
      <c r="K487">
        <v>393.07</v>
      </c>
      <c r="L487">
        <v>7.74</v>
      </c>
      <c r="M487">
        <v>23.7</v>
      </c>
      <c r="O487" s="101">
        <f t="shared" si="114"/>
        <v>0.24376194144252389</v>
      </c>
      <c r="P487" s="101">
        <f t="shared" si="115"/>
        <v>1.0159990707250266</v>
      </c>
      <c r="Q487" s="101">
        <f t="shared" si="116"/>
        <v>-0.19604741293314656</v>
      </c>
      <c r="R487" s="101">
        <f t="shared" si="117"/>
        <v>0.66298715762011706</v>
      </c>
      <c r="S487" s="101">
        <f t="shared" si="118"/>
        <v>0.2249241310194163</v>
      </c>
      <c r="T487" s="101">
        <f t="shared" si="119"/>
        <v>-0.22025881441919659</v>
      </c>
      <c r="U487" s="101">
        <f t="shared" si="120"/>
        <v>1.6612452539705709</v>
      </c>
      <c r="V487" s="101">
        <f t="shared" si="121"/>
        <v>1.5309264594697112</v>
      </c>
      <c r="W487" s="101">
        <f t="shared" si="122"/>
        <v>0.80657583495378138</v>
      </c>
      <c r="X487" s="101">
        <f t="shared" si="123"/>
        <v>0.39905844009615604</v>
      </c>
      <c r="Y487" s="101">
        <f t="shared" si="124"/>
        <v>-0.68868266245779697</v>
      </c>
      <c r="Z487" s="101">
        <f t="shared" si="125"/>
        <v>0.1270344154594735</v>
      </c>
      <c r="AQ487" s="101">
        <v>1.2194658514423979</v>
      </c>
      <c r="AR487" s="101">
        <v>0.91301546924235932</v>
      </c>
      <c r="AS487" s="101">
        <v>1.344218378683963</v>
      </c>
      <c r="AT487" s="101">
        <v>1.6479596095663429</v>
      </c>
      <c r="AU487" s="101">
        <v>5.3914503958928162E-2</v>
      </c>
      <c r="AV487" s="101">
        <v>-0.69322917097464232</v>
      </c>
      <c r="AW487" s="101">
        <v>-0.1974419267193423</v>
      </c>
      <c r="AX487" s="101">
        <v>0.21385511188966294</v>
      </c>
      <c r="AY487" s="101">
        <v>0.14686934015836495</v>
      </c>
      <c r="AZ487" s="101">
        <v>0.45192643013769312</v>
      </c>
      <c r="BA487" s="101">
        <v>-0.61256627955386855</v>
      </c>
      <c r="BB487" s="101">
        <v>-0.24463501124876297</v>
      </c>
    </row>
    <row r="488" spans="2:54">
      <c r="B488">
        <v>5.73116</v>
      </c>
      <c r="C488">
        <v>18.100000000000001</v>
      </c>
      <c r="D488">
        <v>0.53200000000000003</v>
      </c>
      <c r="E488">
        <v>7.0609999999999999</v>
      </c>
      <c r="F488">
        <v>77</v>
      </c>
      <c r="G488">
        <v>3.4106000000000001</v>
      </c>
      <c r="H488">
        <v>24</v>
      </c>
      <c r="I488">
        <v>666</v>
      </c>
      <c r="J488">
        <v>20.2</v>
      </c>
      <c r="K488">
        <v>395.28</v>
      </c>
      <c r="L488">
        <v>7.01</v>
      </c>
      <c r="M488">
        <v>25</v>
      </c>
      <c r="O488" s="101">
        <f t="shared" si="114"/>
        <v>0.24643619832789723</v>
      </c>
      <c r="P488" s="101">
        <f t="shared" si="115"/>
        <v>1.0159990707250266</v>
      </c>
      <c r="Q488" s="101">
        <f t="shared" si="116"/>
        <v>-0.19604741293314656</v>
      </c>
      <c r="R488" s="101">
        <f t="shared" si="117"/>
        <v>1.1060560058887194</v>
      </c>
      <c r="S488" s="101">
        <f t="shared" si="118"/>
        <v>0.29960133196340383</v>
      </c>
      <c r="T488" s="101">
        <f t="shared" si="119"/>
        <v>-0.18275218937202953</v>
      </c>
      <c r="U488" s="101">
        <f t="shared" si="120"/>
        <v>1.6612452539705709</v>
      </c>
      <c r="V488" s="101">
        <f t="shared" si="121"/>
        <v>1.5309264594697112</v>
      </c>
      <c r="W488" s="101">
        <f t="shared" si="122"/>
        <v>0.80657583495378138</v>
      </c>
      <c r="X488" s="101">
        <f t="shared" si="123"/>
        <v>0.42328967206718149</v>
      </c>
      <c r="Y488" s="101">
        <f t="shared" si="124"/>
        <v>-0.79100952432024352</v>
      </c>
      <c r="Z488" s="101">
        <f t="shared" si="125"/>
        <v>0.26852313623367541</v>
      </c>
      <c r="AQ488" s="101">
        <v>1.0619679896669529</v>
      </c>
      <c r="AR488" s="101">
        <v>1.2560462956870073</v>
      </c>
      <c r="AS488" s="101">
        <v>1.4577966265809024</v>
      </c>
      <c r="AT488" s="101">
        <v>1.7447830278543768</v>
      </c>
      <c r="AU488" s="101">
        <v>0.12007429184666572</v>
      </c>
      <c r="AV488" s="101">
        <v>-0.5637398294414887</v>
      </c>
      <c r="AW488" s="101">
        <v>-0.3508772062604385</v>
      </c>
      <c r="AX488" s="101">
        <v>0.36821154938182321</v>
      </c>
      <c r="AY488" s="101">
        <v>0.1682948621533874</v>
      </c>
      <c r="AZ488" s="101">
        <v>0.45952202686355276</v>
      </c>
      <c r="BA488" s="101">
        <v>-0.58892066485349714</v>
      </c>
      <c r="BB488" s="101">
        <v>-0.23844595450127298</v>
      </c>
    </row>
    <row r="489" spans="2:54">
      <c r="B489">
        <v>2.8183799999999999</v>
      </c>
      <c r="C489">
        <v>18.100000000000001</v>
      </c>
      <c r="D489">
        <v>0.53200000000000003</v>
      </c>
      <c r="E489">
        <v>5.7619999999999996</v>
      </c>
      <c r="F489">
        <v>40.299999999999997</v>
      </c>
      <c r="G489">
        <v>4.0983000000000001</v>
      </c>
      <c r="H489">
        <v>24</v>
      </c>
      <c r="I489">
        <v>666</v>
      </c>
      <c r="J489">
        <v>20.2</v>
      </c>
      <c r="K489">
        <v>392.92</v>
      </c>
      <c r="L489">
        <v>10.42</v>
      </c>
      <c r="M489">
        <v>21.8</v>
      </c>
      <c r="O489" s="101">
        <f t="shared" si="114"/>
        <v>-9.2533426153285248E-2</v>
      </c>
      <c r="P489" s="101">
        <f t="shared" si="115"/>
        <v>1.0159990707250266</v>
      </c>
      <c r="Q489" s="101">
        <f t="shared" si="116"/>
        <v>-0.19604741293314656</v>
      </c>
      <c r="R489" s="101">
        <f t="shared" si="117"/>
        <v>-0.74457561437145647</v>
      </c>
      <c r="S489" s="101">
        <f t="shared" si="118"/>
        <v>-1.0054716559624775</v>
      </c>
      <c r="T489" s="101">
        <f t="shared" si="119"/>
        <v>0.14415916734453307</v>
      </c>
      <c r="U489" s="101">
        <f t="shared" si="120"/>
        <v>1.6612452539705709</v>
      </c>
      <c r="V489" s="101">
        <f t="shared" si="121"/>
        <v>1.5309264594697112</v>
      </c>
      <c r="W489" s="101">
        <f t="shared" si="122"/>
        <v>0.80657583495378138</v>
      </c>
      <c r="X489" s="101">
        <f t="shared" si="123"/>
        <v>0.39741378634246677</v>
      </c>
      <c r="Y489" s="101">
        <f t="shared" si="124"/>
        <v>-0.3130169230175821</v>
      </c>
      <c r="Z489" s="101">
        <f t="shared" si="125"/>
        <v>-7.9756791825898246E-2</v>
      </c>
      <c r="AQ489" s="101">
        <v>1.1282829854914118</v>
      </c>
      <c r="AR489" s="101">
        <v>-0.47395350993906271</v>
      </c>
      <c r="AS489" s="101">
        <v>1.3397608460796375</v>
      </c>
      <c r="AT489" s="101">
        <v>1.3626429418537309</v>
      </c>
      <c r="AU489" s="101">
        <v>-9.3484408317859341E-2</v>
      </c>
      <c r="AV489" s="101">
        <v>-1.7669421988206306</v>
      </c>
      <c r="AW489" s="101">
        <v>0.36193031250812224</v>
      </c>
      <c r="AX489" s="101">
        <v>-0.1406955783551915</v>
      </c>
      <c r="AY489" s="101">
        <v>0.32801654218130427</v>
      </c>
      <c r="AZ489" s="101">
        <v>4.630435551719287E-2</v>
      </c>
      <c r="BA489" s="101">
        <v>-0.29511016260940653</v>
      </c>
      <c r="BB489" s="101">
        <v>-0.23208316300169393</v>
      </c>
    </row>
    <row r="490" spans="2:54">
      <c r="B490">
        <v>2.3785699999999999</v>
      </c>
      <c r="C490">
        <v>18.100000000000001</v>
      </c>
      <c r="D490">
        <v>0.58299999999999996</v>
      </c>
      <c r="E490">
        <v>5.8710000000000004</v>
      </c>
      <c r="F490">
        <v>41.9</v>
      </c>
      <c r="G490">
        <v>3.7240000000000002</v>
      </c>
      <c r="H490">
        <v>24</v>
      </c>
      <c r="I490">
        <v>666</v>
      </c>
      <c r="J490">
        <v>20.2</v>
      </c>
      <c r="K490">
        <v>370.73</v>
      </c>
      <c r="L490">
        <v>13.34</v>
      </c>
      <c r="M490">
        <v>20.6</v>
      </c>
      <c r="O490" s="101">
        <f t="shared" si="114"/>
        <v>-0.14371553758740277</v>
      </c>
      <c r="P490" s="101">
        <f t="shared" si="115"/>
        <v>1.0159990707250266</v>
      </c>
      <c r="Q490" s="101">
        <f t="shared" si="116"/>
        <v>0.24450742027852293</v>
      </c>
      <c r="R490" s="101">
        <f t="shared" si="117"/>
        <v>-0.58928781867602864</v>
      </c>
      <c r="S490" s="101">
        <f t="shared" si="118"/>
        <v>-0.94857474095753436</v>
      </c>
      <c r="T490" s="101">
        <f t="shared" si="119"/>
        <v>-3.377150128860542E-2</v>
      </c>
      <c r="U490" s="101">
        <f t="shared" si="120"/>
        <v>1.6612452539705709</v>
      </c>
      <c r="V490" s="101">
        <f t="shared" si="121"/>
        <v>1.5309264594697112</v>
      </c>
      <c r="W490" s="101">
        <f t="shared" si="122"/>
        <v>0.80657583495378138</v>
      </c>
      <c r="X490" s="101">
        <f t="shared" si="123"/>
        <v>0.15411467437999662</v>
      </c>
      <c r="Y490" s="101">
        <f t="shared" si="124"/>
        <v>9.6290524432204205E-2</v>
      </c>
      <c r="Z490" s="101">
        <f t="shared" si="125"/>
        <v>-0.21036176484823832</v>
      </c>
      <c r="AQ490" s="101">
        <v>1.5181098310364112</v>
      </c>
      <c r="AR490" s="101">
        <v>-0.3522087738358462</v>
      </c>
      <c r="AS490" s="101">
        <v>1.1767395289134874</v>
      </c>
      <c r="AT490" s="101">
        <v>1.108810892982492</v>
      </c>
      <c r="AU490" s="101">
        <v>5.9884354583572462E-2</v>
      </c>
      <c r="AV490" s="101">
        <v>-1.6985567842126938</v>
      </c>
      <c r="AW490" s="101">
        <v>0.16149760538945954</v>
      </c>
      <c r="AX490" s="101">
        <v>-7.4222890083748327E-2</v>
      </c>
      <c r="AY490" s="101">
        <v>0.32106106140048774</v>
      </c>
      <c r="AZ490" s="101">
        <v>-0.2985258065737858</v>
      </c>
      <c r="BA490" s="101">
        <v>-7.9015817694556997E-2</v>
      </c>
      <c r="BB490" s="101">
        <v>-0.17492610688312574</v>
      </c>
    </row>
    <row r="491" spans="2:54">
      <c r="B491">
        <v>3.67367</v>
      </c>
      <c r="C491">
        <v>18.100000000000001</v>
      </c>
      <c r="D491">
        <v>0.58299999999999996</v>
      </c>
      <c r="E491">
        <v>6.3120000000000003</v>
      </c>
      <c r="F491">
        <v>51.9</v>
      </c>
      <c r="G491">
        <v>3.9916999999999998</v>
      </c>
      <c r="H491">
        <v>24</v>
      </c>
      <c r="I491">
        <v>666</v>
      </c>
      <c r="J491">
        <v>20.2</v>
      </c>
      <c r="K491">
        <v>388.62</v>
      </c>
      <c r="L491">
        <v>10.58</v>
      </c>
      <c r="M491">
        <v>21.2</v>
      </c>
      <c r="O491" s="101">
        <f t="shared" si="114"/>
        <v>6.999435965553317E-3</v>
      </c>
      <c r="P491" s="101">
        <f t="shared" si="115"/>
        <v>1.0159990707250266</v>
      </c>
      <c r="Q491" s="101">
        <f t="shared" si="116"/>
        <v>0.24450742027852293</v>
      </c>
      <c r="R491" s="101">
        <f t="shared" si="117"/>
        <v>3.8986657486201573E-2</v>
      </c>
      <c r="S491" s="101">
        <f t="shared" si="118"/>
        <v>-0.59296902217664027</v>
      </c>
      <c r="T491" s="101">
        <f t="shared" si="119"/>
        <v>9.3484817154063898E-2</v>
      </c>
      <c r="U491" s="101">
        <f t="shared" si="120"/>
        <v>1.6612452539705709</v>
      </c>
      <c r="V491" s="101">
        <f t="shared" si="121"/>
        <v>1.5309264594697112</v>
      </c>
      <c r="W491" s="101">
        <f t="shared" si="122"/>
        <v>0.80657583495378138</v>
      </c>
      <c r="X491" s="101">
        <f t="shared" si="123"/>
        <v>0.35026704540336695</v>
      </c>
      <c r="Y491" s="101">
        <f t="shared" si="124"/>
        <v>-0.29058911767786777</v>
      </c>
      <c r="Z491" s="101">
        <f t="shared" si="125"/>
        <v>-0.14505927833706847</v>
      </c>
      <c r="AQ491" s="101">
        <v>1.3110242218601276</v>
      </c>
      <c r="AR491" s="101">
        <v>0.15167275740616115</v>
      </c>
      <c r="AS491" s="101">
        <v>1.3123154433681559</v>
      </c>
      <c r="AT491" s="101">
        <v>1.3704000412952564</v>
      </c>
      <c r="AU491" s="101">
        <v>1.0462361575825894E-2</v>
      </c>
      <c r="AV491" s="101">
        <v>-1.3983003402315823</v>
      </c>
      <c r="AW491" s="101">
        <v>-9.0087595465131814E-2</v>
      </c>
      <c r="AX491" s="101">
        <v>0.23472542284850262</v>
      </c>
      <c r="AY491" s="101">
        <v>0.10605937885965472</v>
      </c>
      <c r="AZ491" s="101">
        <v>-4.1457349571535934E-2</v>
      </c>
      <c r="BA491" s="101">
        <v>-0.14569858351113252</v>
      </c>
      <c r="BB491" s="101">
        <v>-0.20358862525741991</v>
      </c>
    </row>
    <row r="492" spans="2:54">
      <c r="B492">
        <v>5.6917499999999999</v>
      </c>
      <c r="C492">
        <v>18.100000000000001</v>
      </c>
      <c r="D492">
        <v>0.58299999999999996</v>
      </c>
      <c r="E492">
        <v>6.1139999999999999</v>
      </c>
      <c r="F492">
        <v>79.8</v>
      </c>
      <c r="G492">
        <v>3.5459000000000001</v>
      </c>
      <c r="H492">
        <v>24</v>
      </c>
      <c r="I492">
        <v>666</v>
      </c>
      <c r="J492">
        <v>20.2</v>
      </c>
      <c r="K492">
        <v>392.68</v>
      </c>
      <c r="L492">
        <v>14.98</v>
      </c>
      <c r="M492">
        <v>19.100000000000001</v>
      </c>
      <c r="O492" s="101">
        <f t="shared" si="114"/>
        <v>0.24184992923074486</v>
      </c>
      <c r="P492" s="101">
        <f t="shared" si="115"/>
        <v>1.0159990707250266</v>
      </c>
      <c r="Q492" s="101">
        <f t="shared" si="116"/>
        <v>0.24450742027852293</v>
      </c>
      <c r="R492" s="101">
        <f t="shared" si="117"/>
        <v>-0.24309576038255551</v>
      </c>
      <c r="S492" s="101">
        <f t="shared" si="118"/>
        <v>0.3991709332220541</v>
      </c>
      <c r="T492" s="101">
        <f t="shared" si="119"/>
        <v>-0.11843474489951111</v>
      </c>
      <c r="U492" s="101">
        <f t="shared" si="120"/>
        <v>1.6612452539705709</v>
      </c>
      <c r="V492" s="101">
        <f t="shared" si="121"/>
        <v>1.5309264594697112</v>
      </c>
      <c r="W492" s="101">
        <f t="shared" si="122"/>
        <v>0.80657583495378138</v>
      </c>
      <c r="X492" s="101">
        <f t="shared" si="123"/>
        <v>0.39478234033656345</v>
      </c>
      <c r="Y492" s="101">
        <f t="shared" si="124"/>
        <v>0.32617552916427606</v>
      </c>
      <c r="Z492" s="101">
        <f t="shared" si="125"/>
        <v>-0.37361798112616351</v>
      </c>
      <c r="AQ492" s="101">
        <v>2.0428980191895159</v>
      </c>
      <c r="AR492" s="101">
        <v>2.8237553502826085E-2</v>
      </c>
      <c r="AS492" s="101">
        <v>0.76623677573105908</v>
      </c>
      <c r="AT492" s="101">
        <v>1.2596620325308709</v>
      </c>
      <c r="AU492" s="101">
        <v>-0.19738523310541642</v>
      </c>
      <c r="AV492" s="101">
        <v>-0.82690631679015636</v>
      </c>
      <c r="AW492" s="101">
        <v>-0.46453006732437069</v>
      </c>
      <c r="AX492" s="101">
        <v>-4.5636034508799023E-2</v>
      </c>
      <c r="AY492" s="101">
        <v>0.24189112282292766</v>
      </c>
      <c r="AZ492" s="101">
        <v>0.30702213589945493</v>
      </c>
      <c r="BA492" s="101">
        <v>-0.2397793962041771</v>
      </c>
      <c r="BB492" s="101">
        <v>-0.19972110673983945</v>
      </c>
    </row>
    <row r="493" spans="2:54">
      <c r="B493">
        <v>4.8356700000000004</v>
      </c>
      <c r="C493">
        <v>18.100000000000001</v>
      </c>
      <c r="D493">
        <v>0.58299999999999996</v>
      </c>
      <c r="E493">
        <v>5.9050000000000002</v>
      </c>
      <c r="F493">
        <v>53.2</v>
      </c>
      <c r="G493">
        <v>3.1522999999999999</v>
      </c>
      <c r="H493">
        <v>24</v>
      </c>
      <c r="I493">
        <v>666</v>
      </c>
      <c r="J493">
        <v>20.2</v>
      </c>
      <c r="K493">
        <v>388.22</v>
      </c>
      <c r="L493">
        <v>11.45</v>
      </c>
      <c r="M493">
        <v>20.6</v>
      </c>
      <c r="O493" s="101">
        <f t="shared" si="114"/>
        <v>0.14222513225814462</v>
      </c>
      <c r="P493" s="101">
        <f t="shared" si="115"/>
        <v>1.0159990707250266</v>
      </c>
      <c r="Q493" s="101">
        <f t="shared" si="116"/>
        <v>0.24450742027852293</v>
      </c>
      <c r="R493" s="101">
        <f t="shared" si="117"/>
        <v>-0.54084942368846467</v>
      </c>
      <c r="S493" s="101">
        <f t="shared" si="118"/>
        <v>-0.54674027873512387</v>
      </c>
      <c r="T493" s="101">
        <f t="shared" si="119"/>
        <v>-0.30554003791047391</v>
      </c>
      <c r="U493" s="101">
        <f t="shared" si="120"/>
        <v>1.6612452539705709</v>
      </c>
      <c r="V493" s="101">
        <f t="shared" si="121"/>
        <v>1.5309264594697112</v>
      </c>
      <c r="W493" s="101">
        <f t="shared" si="122"/>
        <v>0.80657583495378138</v>
      </c>
      <c r="X493" s="101">
        <f t="shared" si="123"/>
        <v>0.34588130206019518</v>
      </c>
      <c r="Y493" s="101">
        <f t="shared" si="124"/>
        <v>-0.16863792614317127</v>
      </c>
      <c r="Z493" s="101">
        <f t="shared" si="125"/>
        <v>-0.21036176484823832</v>
      </c>
      <c r="AQ493" s="101">
        <v>1.6570777527114591</v>
      </c>
      <c r="AR493" s="101">
        <v>-8.1215323152724561E-2</v>
      </c>
      <c r="AS493" s="101">
        <v>1.057889874564689</v>
      </c>
      <c r="AT493" s="101">
        <v>1.3036903047632393</v>
      </c>
      <c r="AU493" s="101">
        <v>-0.15191937203248665</v>
      </c>
      <c r="AV493" s="101">
        <v>-1.3883645030042491</v>
      </c>
      <c r="AW493" s="101">
        <v>0.27786499833282041</v>
      </c>
      <c r="AX493" s="101">
        <v>-9.4019075603995528E-2</v>
      </c>
      <c r="AY493" s="101">
        <v>0.10862632357336464</v>
      </c>
      <c r="AZ493" s="101">
        <v>-9.7854985032226338E-2</v>
      </c>
      <c r="BA493" s="101">
        <v>-0.28148797478766097</v>
      </c>
      <c r="BB493" s="101">
        <v>-0.18678282642027511</v>
      </c>
    </row>
    <row r="494" spans="2:54">
      <c r="B494">
        <v>0.15085999999999999</v>
      </c>
      <c r="C494">
        <v>27.74</v>
      </c>
      <c r="D494">
        <v>0.60899999999999999</v>
      </c>
      <c r="E494">
        <v>5.4539999999999997</v>
      </c>
      <c r="F494">
        <v>92.7</v>
      </c>
      <c r="G494">
        <v>1.8209</v>
      </c>
      <c r="H494">
        <v>4</v>
      </c>
      <c r="I494">
        <v>711</v>
      </c>
      <c r="J494">
        <v>20.100000000000001</v>
      </c>
      <c r="K494">
        <v>395.09</v>
      </c>
      <c r="L494">
        <v>18.059999999999999</v>
      </c>
      <c r="M494">
        <v>15.2</v>
      </c>
      <c r="O494" s="101">
        <f t="shared" si="114"/>
        <v>-0.40296135160458735</v>
      </c>
      <c r="P494" s="101">
        <f t="shared" si="115"/>
        <v>2.4225651639322434</v>
      </c>
      <c r="Q494" s="101">
        <f t="shared" si="116"/>
        <v>0.46910400191584511</v>
      </c>
      <c r="R494" s="101">
        <f t="shared" si="117"/>
        <v>-1.183370486611744</v>
      </c>
      <c r="S494" s="101">
        <f t="shared" si="118"/>
        <v>0.85790231044940768</v>
      </c>
      <c r="T494" s="101">
        <f t="shared" si="119"/>
        <v>-0.93844650923871509</v>
      </c>
      <c r="U494" s="101">
        <f t="shared" si="120"/>
        <v>-0.63796179884427828</v>
      </c>
      <c r="V494" s="101">
        <f t="shared" si="121"/>
        <v>1.7981941894212963</v>
      </c>
      <c r="W494" s="101">
        <f t="shared" si="122"/>
        <v>0.76033958566335313</v>
      </c>
      <c r="X494" s="101">
        <f t="shared" si="123"/>
        <v>0.42120644397917478</v>
      </c>
      <c r="Y494" s="101">
        <f t="shared" si="124"/>
        <v>0.75791078195377648</v>
      </c>
      <c r="Z494" s="101">
        <f t="shared" si="125"/>
        <v>-0.79808414344876921</v>
      </c>
      <c r="AQ494" s="101">
        <v>2.6041484986042764</v>
      </c>
      <c r="AR494" s="101">
        <v>-0.53800685959277172</v>
      </c>
      <c r="AS494" s="101">
        <v>-1.4004138909687849</v>
      </c>
      <c r="AT494" s="101">
        <v>1.0236860544852888</v>
      </c>
      <c r="AU494" s="101">
        <v>0.46840762371350381</v>
      </c>
      <c r="AV494" s="101">
        <v>-0.94586690684094454</v>
      </c>
      <c r="AW494" s="101">
        <v>0.530024213930954</v>
      </c>
      <c r="AX494" s="101">
        <v>0.86642390916916112</v>
      </c>
      <c r="AY494" s="101">
        <v>0.77508514462954314</v>
      </c>
      <c r="AZ494" s="101">
        <v>0.73270845911693439</v>
      </c>
      <c r="BA494" s="101">
        <v>-0.51430898633197941</v>
      </c>
      <c r="BB494" s="101">
        <v>1.117025861672494</v>
      </c>
    </row>
    <row r="495" spans="2:54">
      <c r="B495">
        <v>0.18337000000000001</v>
      </c>
      <c r="C495">
        <v>27.74</v>
      </c>
      <c r="D495">
        <v>0.60899999999999999</v>
      </c>
      <c r="E495">
        <v>5.4139999999999997</v>
      </c>
      <c r="F495">
        <v>98.3</v>
      </c>
      <c r="G495">
        <v>1.7554000000000001</v>
      </c>
      <c r="H495">
        <v>4</v>
      </c>
      <c r="I495">
        <v>711</v>
      </c>
      <c r="J495">
        <v>20.100000000000001</v>
      </c>
      <c r="K495">
        <v>344.05</v>
      </c>
      <c r="L495">
        <v>23.97</v>
      </c>
      <c r="M495">
        <v>7</v>
      </c>
      <c r="O495" s="101">
        <f t="shared" si="114"/>
        <v>-0.39917805781244264</v>
      </c>
      <c r="P495" s="101">
        <f t="shared" si="115"/>
        <v>2.4225651639322434</v>
      </c>
      <c r="Q495" s="101">
        <f t="shared" si="116"/>
        <v>0.46910400191584511</v>
      </c>
      <c r="R495" s="101">
        <f t="shared" si="117"/>
        <v>-1.2403568336559374</v>
      </c>
      <c r="S495" s="101">
        <f t="shared" si="118"/>
        <v>1.0570415129667081</v>
      </c>
      <c r="T495" s="101">
        <f t="shared" si="119"/>
        <v>-0.96958318782666753</v>
      </c>
      <c r="U495" s="101">
        <f t="shared" si="120"/>
        <v>-0.63796179884427828</v>
      </c>
      <c r="V495" s="101">
        <f t="shared" si="121"/>
        <v>1.7981941894212963</v>
      </c>
      <c r="W495" s="101">
        <f t="shared" si="122"/>
        <v>0.76033958566335313</v>
      </c>
      <c r="X495" s="101">
        <f t="shared" si="123"/>
        <v>-0.13841440660958002</v>
      </c>
      <c r="Y495" s="101">
        <f t="shared" si="124"/>
        <v>1.5863378416894742</v>
      </c>
      <c r="Z495" s="101">
        <f t="shared" si="125"/>
        <v>-1.6905514591014268</v>
      </c>
      <c r="AQ495" s="101">
        <v>3.3162959714479916</v>
      </c>
      <c r="AR495" s="101">
        <v>-1.1156247873352421</v>
      </c>
      <c r="AS495" s="101">
        <v>-1.5100687279344227</v>
      </c>
      <c r="AT495" s="101">
        <v>0.357940097669178</v>
      </c>
      <c r="AU495" s="101">
        <v>0.71298761393505461</v>
      </c>
      <c r="AV495" s="101">
        <v>-0.67592941853297728</v>
      </c>
      <c r="AW495" s="101">
        <v>3.7067363430216715E-2</v>
      </c>
      <c r="AX495" s="101">
        <v>1.052372448865684</v>
      </c>
      <c r="AY495" s="101">
        <v>0.91246328851811442</v>
      </c>
      <c r="AZ495" s="101">
        <v>0.47582759534892205</v>
      </c>
      <c r="BA495" s="101">
        <v>-0.7294093454736893</v>
      </c>
      <c r="BB495" s="101">
        <v>1.0678681254433897</v>
      </c>
    </row>
    <row r="496" spans="2:54">
      <c r="B496">
        <v>0.20746000000000001</v>
      </c>
      <c r="C496">
        <v>27.74</v>
      </c>
      <c r="D496">
        <v>0.60899999999999999</v>
      </c>
      <c r="E496">
        <v>5.093</v>
      </c>
      <c r="F496">
        <v>98</v>
      </c>
      <c r="G496">
        <v>1.8226</v>
      </c>
      <c r="H496">
        <v>4</v>
      </c>
      <c r="I496">
        <v>711</v>
      </c>
      <c r="J496">
        <v>20.100000000000001</v>
      </c>
      <c r="K496">
        <v>318.43</v>
      </c>
      <c r="L496">
        <v>29.68</v>
      </c>
      <c r="M496">
        <v>8.1</v>
      </c>
      <c r="O496" s="101">
        <f t="shared" si="114"/>
        <v>-0.39637462663887246</v>
      </c>
      <c r="P496" s="101">
        <f t="shared" si="115"/>
        <v>2.4225651639322434</v>
      </c>
      <c r="Q496" s="101">
        <f t="shared" si="116"/>
        <v>0.46910400191584511</v>
      </c>
      <c r="R496" s="101">
        <f t="shared" si="117"/>
        <v>-1.6976722686855876</v>
      </c>
      <c r="S496" s="101">
        <f t="shared" si="118"/>
        <v>1.0463733414032814</v>
      </c>
      <c r="T496" s="101">
        <f t="shared" si="119"/>
        <v>-0.93763838170284453</v>
      </c>
      <c r="U496" s="101">
        <f t="shared" si="120"/>
        <v>-0.63796179884427828</v>
      </c>
      <c r="V496" s="101">
        <f t="shared" si="121"/>
        <v>1.7981941894212963</v>
      </c>
      <c r="W496" s="101">
        <f t="shared" si="122"/>
        <v>0.76033958566335313</v>
      </c>
      <c r="X496" s="101">
        <f t="shared" si="123"/>
        <v>-0.41932126773975065</v>
      </c>
      <c r="Y496" s="101">
        <f t="shared" si="124"/>
        <v>2.3867301447505294</v>
      </c>
      <c r="Z496" s="101">
        <f t="shared" si="125"/>
        <v>-1.5708302338309486</v>
      </c>
      <c r="AQ496" s="101">
        <v>3.6832748303129548</v>
      </c>
      <c r="AR496" s="101">
        <v>-1.4996600158670721</v>
      </c>
      <c r="AS496" s="101">
        <v>-1.6596166529916174</v>
      </c>
      <c r="AT496" s="101">
        <v>-2.2737115920736739E-2</v>
      </c>
      <c r="AU496" s="101">
        <v>0.70221892821351861</v>
      </c>
      <c r="AV496" s="101">
        <v>-0.68969784956461233</v>
      </c>
      <c r="AW496" s="101">
        <v>-2.7021724241354128E-2</v>
      </c>
      <c r="AX496" s="101">
        <v>0.69196987252088149</v>
      </c>
      <c r="AY496" s="101">
        <v>1.4164962794752949</v>
      </c>
      <c r="AZ496" s="101">
        <v>0.37984121115183977</v>
      </c>
      <c r="BA496" s="101">
        <v>-0.42716029643372366</v>
      </c>
      <c r="BB496" s="101">
        <v>1.1439790154822465</v>
      </c>
    </row>
    <row r="497" spans="2:54">
      <c r="B497">
        <v>0.10574</v>
      </c>
      <c r="C497">
        <v>27.74</v>
      </c>
      <c r="D497">
        <v>0.60899999999999999</v>
      </c>
      <c r="E497">
        <v>5.9829999999999997</v>
      </c>
      <c r="F497">
        <v>98.8</v>
      </c>
      <c r="G497">
        <v>1.8681000000000001</v>
      </c>
      <c r="H497">
        <v>4</v>
      </c>
      <c r="I497">
        <v>711</v>
      </c>
      <c r="J497">
        <v>20.100000000000001</v>
      </c>
      <c r="K497">
        <v>390.11</v>
      </c>
      <c r="L497">
        <v>18.07</v>
      </c>
      <c r="M497">
        <v>13.6</v>
      </c>
      <c r="O497" s="101">
        <f t="shared" si="114"/>
        <v>-0.40821211185994166</v>
      </c>
      <c r="P497" s="101">
        <f t="shared" si="115"/>
        <v>2.4225651639322434</v>
      </c>
      <c r="Q497" s="101">
        <f t="shared" si="116"/>
        <v>0.46910400191584511</v>
      </c>
      <c r="R497" s="101">
        <f t="shared" si="117"/>
        <v>-0.42972604695228867</v>
      </c>
      <c r="S497" s="101">
        <f t="shared" si="118"/>
        <v>1.0748217989057529</v>
      </c>
      <c r="T497" s="101">
        <f t="shared" si="119"/>
        <v>-0.91600908588983943</v>
      </c>
      <c r="U497" s="101">
        <f t="shared" si="120"/>
        <v>-0.63796179884427828</v>
      </c>
      <c r="V497" s="101">
        <f t="shared" si="121"/>
        <v>1.7981941894212963</v>
      </c>
      <c r="W497" s="101">
        <f t="shared" si="122"/>
        <v>0.76033958566335313</v>
      </c>
      <c r="X497" s="101">
        <f t="shared" si="123"/>
        <v>0.36660393935668301</v>
      </c>
      <c r="Y497" s="101">
        <f t="shared" si="124"/>
        <v>0.7593125197875088</v>
      </c>
      <c r="Z497" s="101">
        <f t="shared" si="125"/>
        <v>-0.97222410747855603</v>
      </c>
      <c r="AQ497" s="101">
        <v>2.564078592890835</v>
      </c>
      <c r="AR497" s="101">
        <v>-0.16137396784933161</v>
      </c>
      <c r="AS497" s="101">
        <v>-1.2791017618075406</v>
      </c>
      <c r="AT497" s="101">
        <v>1.0397738886180505</v>
      </c>
      <c r="AU497" s="101">
        <v>0.63820964627899923</v>
      </c>
      <c r="AV497" s="101">
        <v>-0.6347990348432575</v>
      </c>
      <c r="AW497" s="101">
        <v>9.5645232262651758E-2</v>
      </c>
      <c r="AX497" s="101">
        <v>1.2565968142021671</v>
      </c>
      <c r="AY497" s="101">
        <v>0.74822249705048383</v>
      </c>
      <c r="AZ497" s="101">
        <v>0.65955871407207989</v>
      </c>
      <c r="BA497" s="101">
        <v>-0.64461539830844683</v>
      </c>
      <c r="BB497" s="101">
        <v>1.0875035853816757</v>
      </c>
    </row>
    <row r="498" spans="2:54">
      <c r="B498">
        <v>0.11132</v>
      </c>
      <c r="C498">
        <v>27.74</v>
      </c>
      <c r="D498">
        <v>0.60899999999999999</v>
      </c>
      <c r="E498">
        <v>5.9829999999999997</v>
      </c>
      <c r="F498">
        <v>83.5</v>
      </c>
      <c r="G498">
        <v>2.1099000000000001</v>
      </c>
      <c r="H498">
        <v>4</v>
      </c>
      <c r="I498">
        <v>711</v>
      </c>
      <c r="J498">
        <v>20.100000000000001</v>
      </c>
      <c r="K498">
        <v>396.9</v>
      </c>
      <c r="L498">
        <v>13.35</v>
      </c>
      <c r="M498">
        <v>20.100000000000001</v>
      </c>
      <c r="O498" s="101">
        <f t="shared" si="114"/>
        <v>-0.40756274922197894</v>
      </c>
      <c r="P498" s="101">
        <f t="shared" si="115"/>
        <v>2.4225651639322434</v>
      </c>
      <c r="Q498" s="101">
        <f t="shared" si="116"/>
        <v>0.46910400191584511</v>
      </c>
      <c r="R498" s="101">
        <f t="shared" si="117"/>
        <v>-0.42972604695228867</v>
      </c>
      <c r="S498" s="101">
        <f t="shared" si="118"/>
        <v>0.53074504917098497</v>
      </c>
      <c r="T498" s="101">
        <f t="shared" si="119"/>
        <v>-0.80106482814072666</v>
      </c>
      <c r="U498" s="101">
        <f t="shared" si="120"/>
        <v>-0.63796179884427828</v>
      </c>
      <c r="V498" s="101">
        <f t="shared" si="121"/>
        <v>1.7981941894212963</v>
      </c>
      <c r="W498" s="101">
        <f t="shared" si="122"/>
        <v>0.76033958566335313</v>
      </c>
      <c r="X498" s="101">
        <f t="shared" si="123"/>
        <v>0.44105193260702835</v>
      </c>
      <c r="Y498" s="101">
        <f t="shared" si="124"/>
        <v>9.7692262265936317E-2</v>
      </c>
      <c r="Z498" s="101">
        <f t="shared" si="125"/>
        <v>-0.26478050360754674</v>
      </c>
      <c r="AQ498" s="101">
        <v>1.9428781054255804</v>
      </c>
      <c r="AR498" s="101">
        <v>0.18592393431749521</v>
      </c>
      <c r="AS498" s="101">
        <v>-0.90845679311250283</v>
      </c>
      <c r="AT498" s="101">
        <v>1.2818303458965081</v>
      </c>
      <c r="AU498" s="101">
        <v>0.61414148240678101</v>
      </c>
      <c r="AV498" s="101">
        <v>-1.0121894750273699</v>
      </c>
      <c r="AW498" s="101">
        <v>0.66079808211211422</v>
      </c>
      <c r="AX498" s="101">
        <v>1.1436807425674838</v>
      </c>
      <c r="AY498" s="101">
        <v>0.68259762590526263</v>
      </c>
      <c r="AZ498" s="101">
        <v>0.7157012076154019</v>
      </c>
      <c r="BA498" s="101">
        <v>-0.38956832755095316</v>
      </c>
      <c r="BB498" s="101">
        <v>1.1409761951975601</v>
      </c>
    </row>
    <row r="499" spans="2:54">
      <c r="B499">
        <v>0.17330999999999999</v>
      </c>
      <c r="C499">
        <v>9.69</v>
      </c>
      <c r="D499">
        <v>0.58499999999999996</v>
      </c>
      <c r="E499">
        <v>5.7069999999999999</v>
      </c>
      <c r="F499">
        <v>54</v>
      </c>
      <c r="G499">
        <v>2.3816999999999999</v>
      </c>
      <c r="H499">
        <v>6</v>
      </c>
      <c r="I499">
        <v>391</v>
      </c>
      <c r="J499">
        <v>19.2</v>
      </c>
      <c r="K499">
        <v>396.9</v>
      </c>
      <c r="L499">
        <v>12.01</v>
      </c>
      <c r="M499">
        <v>21.8</v>
      </c>
      <c r="O499" s="101">
        <f t="shared" si="114"/>
        <v>-0.40034877253249729</v>
      </c>
      <c r="P499" s="101">
        <f t="shared" si="115"/>
        <v>-0.21109852718707944</v>
      </c>
      <c r="Q499" s="101">
        <f t="shared" si="116"/>
        <v>0.26178408040447076</v>
      </c>
      <c r="R499" s="101">
        <f t="shared" si="117"/>
        <v>-0.82293184155722177</v>
      </c>
      <c r="S499" s="101">
        <f t="shared" si="118"/>
        <v>-0.51829182123265249</v>
      </c>
      <c r="T499" s="101">
        <f t="shared" si="119"/>
        <v>-0.67185949622919305</v>
      </c>
      <c r="U499" s="101">
        <f t="shared" si="120"/>
        <v>-0.40804109356279333</v>
      </c>
      <c r="V499" s="101">
        <f t="shared" si="121"/>
        <v>-0.10237633467886358</v>
      </c>
      <c r="W499" s="101">
        <f t="shared" si="122"/>
        <v>0.34421334204948922</v>
      </c>
      <c r="X499" s="101">
        <f t="shared" si="123"/>
        <v>0.44105193260702835</v>
      </c>
      <c r="Y499" s="101">
        <f t="shared" si="124"/>
        <v>-9.0140607454171087E-2</v>
      </c>
      <c r="Z499" s="101">
        <f t="shared" si="125"/>
        <v>-7.9756791825898246E-2</v>
      </c>
      <c r="AQ499" s="101">
        <v>-6.3808356016225684E-2</v>
      </c>
      <c r="AR499" s="101">
        <v>-0.5545035923059346</v>
      </c>
      <c r="AS499" s="101">
        <v>-0.65068983384536905</v>
      </c>
      <c r="AT499" s="101">
        <v>0.40436213058884429</v>
      </c>
      <c r="AU499" s="101">
        <v>5.7089929408911388E-2</v>
      </c>
      <c r="AV499" s="101">
        <v>-0.26457603907909416</v>
      </c>
      <c r="AW499" s="101">
        <v>0.71621903843684021</v>
      </c>
      <c r="AX499" s="101">
        <v>-0.36318381477815215</v>
      </c>
      <c r="AY499" s="101">
        <v>-0.28242904519639817</v>
      </c>
      <c r="AZ499" s="101">
        <v>-0.62932348919007375</v>
      </c>
      <c r="BA499" s="101">
        <v>-2.3496765799348708E-2</v>
      </c>
      <c r="BB499" s="101">
        <v>0.28659311387794895</v>
      </c>
    </row>
    <row r="500" spans="2:54">
      <c r="B500">
        <v>0.27956999999999999</v>
      </c>
      <c r="C500">
        <v>9.69</v>
      </c>
      <c r="D500">
        <v>0.58499999999999996</v>
      </c>
      <c r="E500">
        <v>5.9260000000000002</v>
      </c>
      <c r="F500">
        <v>42.6</v>
      </c>
      <c r="G500">
        <v>2.3816999999999999</v>
      </c>
      <c r="H500">
        <v>6</v>
      </c>
      <c r="I500">
        <v>391</v>
      </c>
      <c r="J500">
        <v>19.2</v>
      </c>
      <c r="K500">
        <v>396.9</v>
      </c>
      <c r="L500">
        <v>13.59</v>
      </c>
      <c r="M500">
        <v>24.5</v>
      </c>
      <c r="O500" s="101">
        <f t="shared" si="114"/>
        <v>-0.38798295283537959</v>
      </c>
      <c r="P500" s="101">
        <f t="shared" si="115"/>
        <v>-0.21109852718707944</v>
      </c>
      <c r="Q500" s="101">
        <f t="shared" si="116"/>
        <v>0.26178408040447076</v>
      </c>
      <c r="R500" s="101">
        <f t="shared" si="117"/>
        <v>-0.51093159149026335</v>
      </c>
      <c r="S500" s="101">
        <f t="shared" si="118"/>
        <v>-0.92368234064287169</v>
      </c>
      <c r="T500" s="101">
        <f t="shared" si="119"/>
        <v>-0.67185949622919305</v>
      </c>
      <c r="U500" s="101">
        <f t="shared" si="120"/>
        <v>-0.40804109356279333</v>
      </c>
      <c r="V500" s="101">
        <f t="shared" si="121"/>
        <v>-0.10237633467886358</v>
      </c>
      <c r="W500" s="101">
        <f t="shared" si="122"/>
        <v>0.34421334204948922</v>
      </c>
      <c r="X500" s="101">
        <f t="shared" si="123"/>
        <v>0.44105193260702835</v>
      </c>
      <c r="Y500" s="101">
        <f t="shared" si="124"/>
        <v>0.13133397027550783</v>
      </c>
      <c r="Z500" s="101">
        <f t="shared" si="125"/>
        <v>0.21410439747436702</v>
      </c>
      <c r="AQ500" s="101">
        <v>-0.25666941949163746</v>
      </c>
      <c r="AR500" s="101">
        <v>-0.3810906862466229</v>
      </c>
      <c r="AS500" s="101">
        <v>-0.4493471720278725</v>
      </c>
      <c r="AT500" s="101">
        <v>0.40583028055303638</v>
      </c>
      <c r="AU500" s="101">
        <v>4.0306069188338581E-2</v>
      </c>
      <c r="AV500" s="101">
        <v>-0.32189337136596219</v>
      </c>
      <c r="AW500" s="101">
        <v>0.71475225749381688</v>
      </c>
      <c r="AX500" s="101">
        <v>-0.28242405634071033</v>
      </c>
      <c r="AY500" s="101">
        <v>5.3997299687643788E-2</v>
      </c>
      <c r="AZ500" s="101">
        <v>-0.97448460591387764</v>
      </c>
      <c r="BA500" s="101">
        <v>0.1839340672490804</v>
      </c>
      <c r="BB500" s="101">
        <v>0.34982114639616058</v>
      </c>
    </row>
    <row r="501" spans="2:54">
      <c r="B501">
        <v>0.17899000000000001</v>
      </c>
      <c r="C501">
        <v>9.69</v>
      </c>
      <c r="D501">
        <v>0.58499999999999996</v>
      </c>
      <c r="E501">
        <v>5.67</v>
      </c>
      <c r="F501">
        <v>28.8</v>
      </c>
      <c r="G501">
        <v>2.7986</v>
      </c>
      <c r="H501">
        <v>6</v>
      </c>
      <c r="I501">
        <v>391</v>
      </c>
      <c r="J501">
        <v>19.2</v>
      </c>
      <c r="K501">
        <v>393.29</v>
      </c>
      <c r="L501">
        <v>17.600000000000001</v>
      </c>
      <c r="M501">
        <v>23.1</v>
      </c>
      <c r="O501" s="101">
        <f t="shared" si="114"/>
        <v>-0.39968777257127358</v>
      </c>
      <c r="P501" s="101">
        <f t="shared" si="115"/>
        <v>-0.21109852718707944</v>
      </c>
      <c r="Q501" s="101">
        <f t="shared" si="116"/>
        <v>0.26178408040447076</v>
      </c>
      <c r="R501" s="101">
        <f t="shared" si="117"/>
        <v>-0.87564421257310032</v>
      </c>
      <c r="S501" s="101">
        <f t="shared" si="118"/>
        <v>-1.4144182325605057</v>
      </c>
      <c r="T501" s="101">
        <f t="shared" si="119"/>
        <v>-0.47367810228541668</v>
      </c>
      <c r="U501" s="101">
        <f t="shared" si="120"/>
        <v>-0.40804109356279333</v>
      </c>
      <c r="V501" s="101">
        <f t="shared" si="121"/>
        <v>-0.10237633467886358</v>
      </c>
      <c r="W501" s="101">
        <f t="shared" si="122"/>
        <v>0.34421334204948922</v>
      </c>
      <c r="X501" s="101">
        <f t="shared" si="123"/>
        <v>0.401470598934901</v>
      </c>
      <c r="Y501" s="101">
        <f t="shared" si="124"/>
        <v>0.69343084160209822</v>
      </c>
      <c r="Z501" s="101">
        <f t="shared" si="125"/>
        <v>6.1731928948303663E-2</v>
      </c>
      <c r="AQ501" s="101">
        <v>-0.15773032326805517</v>
      </c>
      <c r="AR501" s="101">
        <v>-0.97122858840945103</v>
      </c>
      <c r="AS501" s="101">
        <v>-0.40763911861078839</v>
      </c>
      <c r="AT501" s="101">
        <v>0.16745821815380421</v>
      </c>
      <c r="AU501" s="101">
        <v>-9.2386653505952918E-2</v>
      </c>
      <c r="AV501" s="101">
        <v>-0.58635986086059844</v>
      </c>
      <c r="AW501" s="101">
        <v>0.69695372282916213</v>
      </c>
      <c r="AX501" s="101">
        <v>-0.30827040632920338</v>
      </c>
      <c r="AY501" s="101">
        <v>0.3681206937320064</v>
      </c>
      <c r="AZ501" s="101">
        <v>-1.2905252889021617</v>
      </c>
      <c r="BA501" s="101">
        <v>0.40613069407406011</v>
      </c>
      <c r="BB501" s="101">
        <v>0.38003815631396892</v>
      </c>
    </row>
    <row r="502" spans="2:54">
      <c r="B502">
        <v>0.28960000000000002</v>
      </c>
      <c r="C502">
        <v>9.69</v>
      </c>
      <c r="D502">
        <v>0.58499999999999996</v>
      </c>
      <c r="E502">
        <v>5.39</v>
      </c>
      <c r="F502">
        <v>72.900000000000006</v>
      </c>
      <c r="G502">
        <v>2.7986</v>
      </c>
      <c r="H502">
        <v>6</v>
      </c>
      <c r="I502">
        <v>391</v>
      </c>
      <c r="J502">
        <v>19.2</v>
      </c>
      <c r="K502">
        <v>396.9</v>
      </c>
      <c r="L502">
        <v>21.14</v>
      </c>
      <c r="M502">
        <v>19.7</v>
      </c>
      <c r="O502" s="101">
        <f t="shared" si="114"/>
        <v>-0.38681572931230324</v>
      </c>
      <c r="P502" s="101">
        <f t="shared" si="115"/>
        <v>-0.21109852718707944</v>
      </c>
      <c r="Q502" s="101">
        <f t="shared" si="116"/>
        <v>0.26178408040447076</v>
      </c>
      <c r="R502" s="101">
        <f t="shared" si="117"/>
        <v>-1.2745486418824534</v>
      </c>
      <c r="S502" s="101">
        <f t="shared" si="118"/>
        <v>0.15380298726323749</v>
      </c>
      <c r="T502" s="101">
        <f t="shared" si="119"/>
        <v>-0.47367810228541668</v>
      </c>
      <c r="U502" s="101">
        <f t="shared" si="120"/>
        <v>-0.40804109356279333</v>
      </c>
      <c r="V502" s="101">
        <f t="shared" si="121"/>
        <v>-0.10237633467886358</v>
      </c>
      <c r="W502" s="101">
        <f t="shared" si="122"/>
        <v>0.34421334204948922</v>
      </c>
      <c r="X502" s="101">
        <f t="shared" si="123"/>
        <v>0.44105193260702835</v>
      </c>
      <c r="Y502" s="101">
        <f t="shared" si="124"/>
        <v>1.1896460347432773</v>
      </c>
      <c r="Z502" s="101">
        <f t="shared" si="125"/>
        <v>-0.30831549461499369</v>
      </c>
      <c r="AQ502" s="101">
        <v>0.65213463004659589</v>
      </c>
      <c r="AR502" s="101">
        <v>-1.1522405747753293</v>
      </c>
      <c r="AS502" s="101">
        <v>-1.1954919043279284</v>
      </c>
      <c r="AT502" s="101">
        <v>8.9865497813432144E-2</v>
      </c>
      <c r="AU502" s="101">
        <v>-0.13092105250387737</v>
      </c>
      <c r="AV502" s="101">
        <v>4.3188810273319687E-2</v>
      </c>
      <c r="AW502" s="101">
        <v>2.9739235939025083E-2</v>
      </c>
      <c r="AX502" s="101">
        <v>-0.6763352019386264</v>
      </c>
      <c r="AY502" s="101">
        <v>0.28260939698420562</v>
      </c>
      <c r="AZ502" s="101">
        <v>-0.46935029908018328</v>
      </c>
      <c r="BA502" s="101">
        <v>0.24825763176123514</v>
      </c>
      <c r="BB502" s="101">
        <v>0.32588508656613024</v>
      </c>
    </row>
    <row r="503" spans="2:54">
      <c r="B503">
        <v>0.26838000000000001</v>
      </c>
      <c r="C503">
        <v>9.69</v>
      </c>
      <c r="D503">
        <v>0.58499999999999996</v>
      </c>
      <c r="E503">
        <v>5.7939999999999996</v>
      </c>
      <c r="F503">
        <v>70.599999999999994</v>
      </c>
      <c r="G503">
        <v>2.8927</v>
      </c>
      <c r="H503">
        <v>6</v>
      </c>
      <c r="I503">
        <v>391</v>
      </c>
      <c r="J503">
        <v>19.2</v>
      </c>
      <c r="K503">
        <v>396.9</v>
      </c>
      <c r="L503">
        <v>14.1</v>
      </c>
      <c r="M503">
        <v>18.3</v>
      </c>
      <c r="O503" s="101">
        <f t="shared" si="114"/>
        <v>-0.38928516930828327</v>
      </c>
      <c r="P503" s="101">
        <f t="shared" si="115"/>
        <v>-0.21109852718707944</v>
      </c>
      <c r="Q503" s="101">
        <f t="shared" si="116"/>
        <v>0.26178408040447076</v>
      </c>
      <c r="R503" s="101">
        <f t="shared" si="117"/>
        <v>-0.69898653673610178</v>
      </c>
      <c r="S503" s="101">
        <f t="shared" si="118"/>
        <v>7.2013671943631452E-2</v>
      </c>
      <c r="T503" s="101">
        <f t="shared" si="119"/>
        <v>-0.42894586632928966</v>
      </c>
      <c r="U503" s="101">
        <f t="shared" si="120"/>
        <v>-0.40804109356279333</v>
      </c>
      <c r="V503" s="101">
        <f t="shared" si="121"/>
        <v>-0.10237633467886358</v>
      </c>
      <c r="W503" s="101">
        <f t="shared" si="122"/>
        <v>0.34421334204948922</v>
      </c>
      <c r="X503" s="101">
        <f t="shared" si="123"/>
        <v>0.44105193260702835</v>
      </c>
      <c r="Y503" s="101">
        <f t="shared" si="124"/>
        <v>0.20282259979584719</v>
      </c>
      <c r="Z503" s="101">
        <f t="shared" si="125"/>
        <v>-0.46068796314105703</v>
      </c>
      <c r="AQ503" s="101">
        <v>0.21761750459198534</v>
      </c>
      <c r="AR503" s="101">
        <v>-0.69649117200625832</v>
      </c>
      <c r="AS503" s="101">
        <v>-0.83051081922798575</v>
      </c>
      <c r="AT503" s="101">
        <v>0.30933478005593157</v>
      </c>
      <c r="AU503" s="101">
        <v>6.9166876888064957E-2</v>
      </c>
      <c r="AV503" s="101">
        <v>3.3915675315364546E-2</v>
      </c>
      <c r="AW503" s="101">
        <v>0.15360434981406579</v>
      </c>
      <c r="AX503" s="101">
        <v>-0.22438482798359749</v>
      </c>
      <c r="AY503" s="101">
        <v>-0.32804601609974415</v>
      </c>
      <c r="AZ503" s="101">
        <v>-0.34434347190747289</v>
      </c>
      <c r="BA503" s="101">
        <v>-7.2815808181617953E-2</v>
      </c>
      <c r="BB503" s="101">
        <v>0.23769336059791604</v>
      </c>
    </row>
    <row r="504" spans="2:54">
      <c r="B504">
        <v>0.23912</v>
      </c>
      <c r="C504">
        <v>9.69</v>
      </c>
      <c r="D504">
        <v>0.58499999999999996</v>
      </c>
      <c r="E504">
        <v>6.0190000000000001</v>
      </c>
      <c r="F504">
        <v>65.3</v>
      </c>
      <c r="G504">
        <v>2.4091</v>
      </c>
      <c r="H504">
        <v>6</v>
      </c>
      <c r="I504">
        <v>391</v>
      </c>
      <c r="J504">
        <v>19.2</v>
      </c>
      <c r="K504">
        <v>396.9</v>
      </c>
      <c r="L504">
        <v>12.92</v>
      </c>
      <c r="M504">
        <v>21.2</v>
      </c>
      <c r="O504" s="101">
        <f t="shared" si="114"/>
        <v>-0.39269025009444608</v>
      </c>
      <c r="P504" s="101">
        <f t="shared" si="115"/>
        <v>-0.21109852718707944</v>
      </c>
      <c r="Q504" s="101">
        <f t="shared" si="116"/>
        <v>0.26178408040447076</v>
      </c>
      <c r="R504" s="101">
        <f t="shared" si="117"/>
        <v>-0.37843833461251408</v>
      </c>
      <c r="S504" s="101">
        <f t="shared" si="118"/>
        <v>-0.1164573590102423</v>
      </c>
      <c r="T504" s="101">
        <f t="shared" si="119"/>
        <v>-0.65883438182751519</v>
      </c>
      <c r="U504" s="101">
        <f t="shared" si="120"/>
        <v>-0.40804109356279333</v>
      </c>
      <c r="V504" s="101">
        <f t="shared" si="121"/>
        <v>-0.10237633467886358</v>
      </c>
      <c r="W504" s="101">
        <f t="shared" si="122"/>
        <v>0.34421334204948922</v>
      </c>
      <c r="X504" s="101">
        <f t="shared" si="123"/>
        <v>0.44105193260702835</v>
      </c>
      <c r="Y504" s="101">
        <f t="shared" si="124"/>
        <v>3.7417535415454131E-2</v>
      </c>
      <c r="Z504" s="101">
        <f t="shared" si="125"/>
        <v>-0.14505927833706847</v>
      </c>
      <c r="AQ504" s="101">
        <v>2.1215640394121143E-2</v>
      </c>
      <c r="AR504" s="101">
        <v>-0.28656148283194349</v>
      </c>
      <c r="AS504" s="101">
        <v>-0.70717874316800078</v>
      </c>
      <c r="AT504" s="101">
        <v>0.4289754024044844</v>
      </c>
      <c r="AU504" s="101">
        <v>0.13510634236494182</v>
      </c>
      <c r="AV504" s="101">
        <v>5.1705317253786527E-2</v>
      </c>
      <c r="AW504" s="101">
        <v>0.32239256064273258</v>
      </c>
      <c r="AX504" s="101">
        <v>-0.20824019801728766</v>
      </c>
      <c r="AY504" s="101">
        <v>-0.24211437273137507</v>
      </c>
      <c r="AZ504" s="101">
        <v>-0.54376095802478575</v>
      </c>
      <c r="BA504" s="101">
        <v>-7.5313574547589524E-2</v>
      </c>
      <c r="BB504" s="101">
        <v>0.27510953483999329</v>
      </c>
    </row>
    <row r="505" spans="2:54">
      <c r="B505">
        <v>0.17782999999999999</v>
      </c>
      <c r="C505">
        <v>9.69</v>
      </c>
      <c r="D505">
        <v>0.58499999999999996</v>
      </c>
      <c r="E505">
        <v>5.569</v>
      </c>
      <c r="F505">
        <v>73.5</v>
      </c>
      <c r="G505">
        <v>2.3999000000000001</v>
      </c>
      <c r="H505">
        <v>6</v>
      </c>
      <c r="I505">
        <v>391</v>
      </c>
      <c r="J505">
        <v>19.2</v>
      </c>
      <c r="K505">
        <v>395.77</v>
      </c>
      <c r="L505">
        <v>15.1</v>
      </c>
      <c r="M505">
        <v>17.5</v>
      </c>
      <c r="O505" s="101">
        <f t="shared" si="114"/>
        <v>-0.39982276552110096</v>
      </c>
      <c r="P505" s="101">
        <f t="shared" si="115"/>
        <v>-0.21109852718707944</v>
      </c>
      <c r="Q505" s="101">
        <f t="shared" si="116"/>
        <v>0.26178408040447076</v>
      </c>
      <c r="R505" s="101">
        <f t="shared" si="117"/>
        <v>-1.0195347388596883</v>
      </c>
      <c r="S505" s="101">
        <f t="shared" si="118"/>
        <v>0.17513933039009094</v>
      </c>
      <c r="T505" s="101">
        <f t="shared" si="119"/>
        <v>-0.66320777790399088</v>
      </c>
      <c r="U505" s="101">
        <f t="shared" si="120"/>
        <v>-0.40804109356279333</v>
      </c>
      <c r="V505" s="101">
        <f t="shared" si="121"/>
        <v>-0.10237633467886358</v>
      </c>
      <c r="W505" s="101">
        <f t="shared" si="122"/>
        <v>0.34421334204948922</v>
      </c>
      <c r="X505" s="101">
        <f t="shared" si="123"/>
        <v>0.42866220766256735</v>
      </c>
      <c r="Y505" s="101">
        <f t="shared" si="124"/>
        <v>0.34299638316906167</v>
      </c>
      <c r="Z505" s="101">
        <f t="shared" si="125"/>
        <v>-0.54775794515595055</v>
      </c>
      <c r="AQ505" s="101">
        <v>0.45387762282288013</v>
      </c>
      <c r="AR505" s="101">
        <v>-0.84955983039293748</v>
      </c>
      <c r="AS505" s="101">
        <v>-1.0501166146331042</v>
      </c>
      <c r="AT505" s="101">
        <v>0.26205426736624188</v>
      </c>
      <c r="AU505" s="101">
        <v>3.8323907434498303E-2</v>
      </c>
      <c r="AV505" s="101">
        <v>4.9407012205438909E-2</v>
      </c>
      <c r="AW505" s="101">
        <v>0.26990833503687645</v>
      </c>
      <c r="AX505" s="101">
        <v>-0.42380203729929355</v>
      </c>
      <c r="AY505" s="101">
        <v>-0.30879244906381642</v>
      </c>
      <c r="AZ505" s="101">
        <v>-0.37590370695798747</v>
      </c>
      <c r="BA505" s="101">
        <v>-0.17377367543731681</v>
      </c>
      <c r="BB505" s="101">
        <v>0.23963044190985117</v>
      </c>
    </row>
    <row r="506" spans="2:54">
      <c r="B506">
        <v>0.22438</v>
      </c>
      <c r="C506">
        <v>9.69</v>
      </c>
      <c r="D506">
        <v>0.58499999999999996</v>
      </c>
      <c r="E506">
        <v>6.0270000000000001</v>
      </c>
      <c r="F506">
        <v>79.7</v>
      </c>
      <c r="G506">
        <v>2.4982000000000002</v>
      </c>
      <c r="H506">
        <v>6</v>
      </c>
      <c r="I506">
        <v>391</v>
      </c>
      <c r="J506">
        <v>19.2</v>
      </c>
      <c r="K506">
        <v>396.9</v>
      </c>
      <c r="L506">
        <v>14.33</v>
      </c>
      <c r="M506">
        <v>16.8</v>
      </c>
      <c r="O506" s="101">
        <f t="shared" si="114"/>
        <v>-0.39440559154311461</v>
      </c>
      <c r="P506" s="101">
        <f t="shared" si="115"/>
        <v>-0.21109852718707944</v>
      </c>
      <c r="Q506" s="101">
        <f t="shared" si="116"/>
        <v>0.26178408040447076</v>
      </c>
      <c r="R506" s="101">
        <f t="shared" si="117"/>
        <v>-0.36704106520367541</v>
      </c>
      <c r="S506" s="101">
        <f t="shared" si="118"/>
        <v>0.39561487603424533</v>
      </c>
      <c r="T506" s="101">
        <f t="shared" si="119"/>
        <v>-0.61647899156512487</v>
      </c>
      <c r="U506" s="101">
        <f t="shared" si="120"/>
        <v>-0.40804109356279333</v>
      </c>
      <c r="V506" s="101">
        <f t="shared" si="121"/>
        <v>-0.10237633467886358</v>
      </c>
      <c r="W506" s="101">
        <f t="shared" si="122"/>
        <v>0.34421334204948922</v>
      </c>
      <c r="X506" s="101">
        <f t="shared" si="123"/>
        <v>0.44105193260702835</v>
      </c>
      <c r="Y506" s="101">
        <f t="shared" si="124"/>
        <v>0.23506256997168659</v>
      </c>
      <c r="Z506" s="101">
        <f t="shared" si="125"/>
        <v>-0.62394417941898217</v>
      </c>
      <c r="AQ506" s="101">
        <v>0.35517673431101182</v>
      </c>
      <c r="AR506" s="101">
        <v>-0.46588870705667884</v>
      </c>
      <c r="AS506" s="101">
        <v>-0.9400285027441373</v>
      </c>
      <c r="AT506" s="101">
        <v>0.34668017557508751</v>
      </c>
      <c r="AU506" s="101">
        <v>0.15666926903062339</v>
      </c>
      <c r="AV506" s="101">
        <v>0.30885672948577714</v>
      </c>
      <c r="AW506" s="101">
        <v>-7.330082731234222E-2</v>
      </c>
      <c r="AX506" s="101">
        <v>-0.10142772068930667</v>
      </c>
      <c r="AY506" s="101">
        <v>-0.37682490243499334</v>
      </c>
      <c r="AZ506" s="101">
        <v>-0.36165795040461068</v>
      </c>
      <c r="BA506" s="101">
        <v>-0.27080375670597479</v>
      </c>
      <c r="BB506" s="101">
        <v>0.21378656940433588</v>
      </c>
    </row>
    <row r="507" spans="2:54">
      <c r="B507">
        <v>6.2630000000000005E-2</v>
      </c>
      <c r="C507">
        <v>11.93</v>
      </c>
      <c r="D507">
        <v>0.57299999999999995</v>
      </c>
      <c r="E507">
        <v>6.593</v>
      </c>
      <c r="F507">
        <v>69.099999999999994</v>
      </c>
      <c r="G507">
        <v>2.4786000000000001</v>
      </c>
      <c r="H507">
        <v>1</v>
      </c>
      <c r="I507">
        <v>273</v>
      </c>
      <c r="J507">
        <v>21</v>
      </c>
      <c r="K507">
        <v>391.99</v>
      </c>
      <c r="L507">
        <v>9.67</v>
      </c>
      <c r="M507">
        <v>22.4</v>
      </c>
      <c r="O507" s="101">
        <f t="shared" si="114"/>
        <v>-0.41322896191775027</v>
      </c>
      <c r="P507" s="101">
        <f t="shared" si="115"/>
        <v>0.11573840733409979</v>
      </c>
      <c r="Q507" s="101">
        <f t="shared" si="116"/>
        <v>0.15812411964878362</v>
      </c>
      <c r="R507" s="101">
        <f t="shared" si="117"/>
        <v>0.43931574547165858</v>
      </c>
      <c r="S507" s="101">
        <f t="shared" si="118"/>
        <v>1.8672814126497343E-2</v>
      </c>
      <c r="T507" s="101">
        <f t="shared" si="119"/>
        <v>-0.62579622668457324</v>
      </c>
      <c r="U507" s="101">
        <f t="shared" si="120"/>
        <v>-0.98284285676650562</v>
      </c>
      <c r="V507" s="101">
        <f t="shared" si="121"/>
        <v>-0.8032117154407975</v>
      </c>
      <c r="W507" s="101">
        <f t="shared" si="122"/>
        <v>1.1764658292772154</v>
      </c>
      <c r="X507" s="101">
        <f t="shared" si="123"/>
        <v>0.38721693306959165</v>
      </c>
      <c r="Y507" s="101">
        <f t="shared" si="124"/>
        <v>-0.41814726054749296</v>
      </c>
      <c r="Z507" s="101">
        <f t="shared" si="125"/>
        <v>-1.4454305314728402E-2</v>
      </c>
      <c r="AQ507" s="101">
        <v>-0.46675386303841321</v>
      </c>
      <c r="AR507" s="101">
        <v>-5.5540102319430497E-2</v>
      </c>
      <c r="AS507" s="101">
        <v>-0.69559338953208771</v>
      </c>
      <c r="AT507" s="101">
        <v>0.90811967870397259</v>
      </c>
      <c r="AU507" s="101">
        <v>0.87062301467880188</v>
      </c>
      <c r="AV507" s="101">
        <v>0.91146393522849345</v>
      </c>
      <c r="AW507" s="101">
        <v>0.6207072293942173</v>
      </c>
      <c r="AX507" s="101">
        <v>0.52712532766351683</v>
      </c>
      <c r="AY507" s="101">
        <v>-0.27759317737629668</v>
      </c>
      <c r="AZ507" s="101">
        <v>-0.44262259297849044</v>
      </c>
      <c r="BA507" s="101">
        <v>0.21141572782047588</v>
      </c>
      <c r="BB507" s="101">
        <v>0.12363035301022443</v>
      </c>
    </row>
    <row r="508" spans="2:54">
      <c r="B508">
        <v>4.5269999999999998E-2</v>
      </c>
      <c r="C508">
        <v>11.93</v>
      </c>
      <c r="D508">
        <v>0.57299999999999995</v>
      </c>
      <c r="E508">
        <v>6.12</v>
      </c>
      <c r="F508">
        <v>76.7</v>
      </c>
      <c r="G508">
        <v>2.2875000000000001</v>
      </c>
      <c r="H508">
        <v>1</v>
      </c>
      <c r="I508">
        <v>273</v>
      </c>
      <c r="J508">
        <v>21</v>
      </c>
      <c r="K508">
        <v>396.9</v>
      </c>
      <c r="L508">
        <v>9.08</v>
      </c>
      <c r="M508">
        <v>20.6</v>
      </c>
      <c r="O508" s="101">
        <f t="shared" si="114"/>
        <v>-0.41524920123585646</v>
      </c>
      <c r="P508" s="101">
        <f t="shared" si="115"/>
        <v>0.11573840733409979</v>
      </c>
      <c r="Q508" s="101">
        <f t="shared" si="116"/>
        <v>0.15812411964878362</v>
      </c>
      <c r="R508" s="101">
        <f t="shared" si="117"/>
        <v>-0.2345478083259262</v>
      </c>
      <c r="S508" s="101">
        <f t="shared" si="118"/>
        <v>0.28893316039997713</v>
      </c>
      <c r="T508" s="101">
        <f t="shared" si="119"/>
        <v>-0.71663926909919473</v>
      </c>
      <c r="U508" s="101">
        <f t="shared" si="120"/>
        <v>-0.98284285676650562</v>
      </c>
      <c r="V508" s="101">
        <f t="shared" si="121"/>
        <v>-0.8032117154407975</v>
      </c>
      <c r="W508" s="101">
        <f t="shared" si="122"/>
        <v>1.1764658292772154</v>
      </c>
      <c r="X508" s="101">
        <f t="shared" si="123"/>
        <v>0.44105193260702835</v>
      </c>
      <c r="Y508" s="101">
        <f t="shared" si="124"/>
        <v>-0.50084979273768948</v>
      </c>
      <c r="Z508" s="101">
        <f t="shared" si="125"/>
        <v>-0.21036176484823832</v>
      </c>
      <c r="AQ508" s="101">
        <v>-0.20288779626725637</v>
      </c>
      <c r="AR508" s="101">
        <v>-0.41905632239865703</v>
      </c>
      <c r="AS508" s="101">
        <v>-1.0008048876387667</v>
      </c>
      <c r="AT508" s="101">
        <v>0.89703113082724562</v>
      </c>
      <c r="AU508" s="101">
        <v>0.77149815690757229</v>
      </c>
      <c r="AV508" s="101">
        <v>0.841772693446454</v>
      </c>
      <c r="AW508" s="101">
        <v>0.82102911442944937</v>
      </c>
      <c r="AX508" s="101">
        <v>0.23366069386744814</v>
      </c>
      <c r="AY508" s="101">
        <v>-0.50170590714390895</v>
      </c>
      <c r="AZ508" s="101">
        <v>-0.16444320062752751</v>
      </c>
      <c r="BA508" s="101">
        <v>7.4661227732839924E-2</v>
      </c>
      <c r="BB508" s="101">
        <v>8.8765820608763396E-2</v>
      </c>
    </row>
    <row r="509" spans="2:54">
      <c r="B509">
        <v>6.0760000000000002E-2</v>
      </c>
      <c r="C509">
        <v>11.93</v>
      </c>
      <c r="D509">
        <v>0.57299999999999995</v>
      </c>
      <c r="E509">
        <v>6.976</v>
      </c>
      <c r="F509">
        <v>91</v>
      </c>
      <c r="G509">
        <v>2.1675</v>
      </c>
      <c r="H509">
        <v>1</v>
      </c>
      <c r="I509">
        <v>273</v>
      </c>
      <c r="J509">
        <v>21</v>
      </c>
      <c r="K509">
        <v>396.9</v>
      </c>
      <c r="L509">
        <v>5.64</v>
      </c>
      <c r="M509">
        <v>23.9</v>
      </c>
      <c r="O509" s="101">
        <f t="shared" si="114"/>
        <v>-0.41344657986273059</v>
      </c>
      <c r="P509" s="101">
        <f t="shared" si="115"/>
        <v>0.11573840733409979</v>
      </c>
      <c r="Q509" s="101">
        <f t="shared" si="116"/>
        <v>0.15812411964878362</v>
      </c>
      <c r="R509" s="101">
        <f t="shared" si="117"/>
        <v>0.98496001841980885</v>
      </c>
      <c r="S509" s="101">
        <f t="shared" si="118"/>
        <v>0.79744933825665554</v>
      </c>
      <c r="T509" s="101">
        <f t="shared" si="119"/>
        <v>-0.77368356574887853</v>
      </c>
      <c r="U509" s="101">
        <f t="shared" si="120"/>
        <v>-0.98284285676650562</v>
      </c>
      <c r="V509" s="101">
        <f t="shared" si="121"/>
        <v>-0.8032117154407975</v>
      </c>
      <c r="W509" s="101">
        <f t="shared" si="122"/>
        <v>1.1764658292772154</v>
      </c>
      <c r="X509" s="101">
        <f t="shared" si="123"/>
        <v>0.44105193260702835</v>
      </c>
      <c r="Y509" s="101">
        <f t="shared" si="124"/>
        <v>-0.98304760754154741</v>
      </c>
      <c r="Z509" s="101">
        <f t="shared" si="125"/>
        <v>0.14880191096319678</v>
      </c>
      <c r="AQ509" s="101">
        <v>-0.54202007523476348</v>
      </c>
      <c r="AR509" s="101">
        <v>0.68638138020518247</v>
      </c>
      <c r="AS509" s="101">
        <v>-0.78976699965507657</v>
      </c>
      <c r="AT509" s="101">
        <v>1.1869538579017258</v>
      </c>
      <c r="AU509" s="101">
        <v>1.0478254628927977</v>
      </c>
      <c r="AV509" s="101">
        <v>1.3311676849053244</v>
      </c>
      <c r="AW509" s="101">
        <v>0.44049752187276586</v>
      </c>
      <c r="AX509" s="101">
        <v>0.58899810468749658</v>
      </c>
      <c r="AY509" s="101">
        <v>-0.61288755264966233</v>
      </c>
      <c r="AZ509" s="101">
        <v>2.6703073006600592E-2</v>
      </c>
      <c r="BA509" s="101">
        <v>-2.0784788717462144E-2</v>
      </c>
      <c r="BB509" s="101">
        <v>8.4094286432850079E-2</v>
      </c>
    </row>
    <row r="510" spans="2:54">
      <c r="B510">
        <v>0.10959000000000001</v>
      </c>
      <c r="C510">
        <v>11.93</v>
      </c>
      <c r="D510">
        <v>0.57299999999999995</v>
      </c>
      <c r="E510">
        <v>6.7939999999999996</v>
      </c>
      <c r="F510">
        <v>89.3</v>
      </c>
      <c r="G510">
        <v>2.3889</v>
      </c>
      <c r="H510">
        <v>1</v>
      </c>
      <c r="I510">
        <v>273</v>
      </c>
      <c r="J510">
        <v>21</v>
      </c>
      <c r="K510">
        <v>393.45</v>
      </c>
      <c r="L510">
        <v>6.48</v>
      </c>
      <c r="M510">
        <v>22</v>
      </c>
      <c r="O510" s="101">
        <f t="shared" si="114"/>
        <v>-0.40776407491439393</v>
      </c>
      <c r="P510" s="101">
        <f t="shared" si="115"/>
        <v>0.11573840733409979</v>
      </c>
      <c r="Q510" s="101">
        <f t="shared" si="116"/>
        <v>0.15812411964878362</v>
      </c>
      <c r="R510" s="101">
        <f t="shared" si="117"/>
        <v>0.7256721393687291</v>
      </c>
      <c r="S510" s="101">
        <f t="shared" si="118"/>
        <v>0.7369963660639034</v>
      </c>
      <c r="T510" s="101">
        <f t="shared" si="119"/>
        <v>-0.66843683843021195</v>
      </c>
      <c r="U510" s="101">
        <f t="shared" si="120"/>
        <v>-0.98284285676650562</v>
      </c>
      <c r="V510" s="101">
        <f t="shared" si="121"/>
        <v>-0.8032117154407975</v>
      </c>
      <c r="W510" s="101">
        <f t="shared" si="122"/>
        <v>1.1764658292772154</v>
      </c>
      <c r="X510" s="101">
        <f t="shared" si="123"/>
        <v>0.40322489627216945</v>
      </c>
      <c r="Y510" s="101">
        <f t="shared" si="124"/>
        <v>-0.86530162950804712</v>
      </c>
      <c r="Z510" s="101">
        <f t="shared" si="125"/>
        <v>-5.7989296322174963E-2</v>
      </c>
      <c r="AQ510" s="101">
        <v>-0.43288275768106971</v>
      </c>
      <c r="AR510" s="101">
        <v>0.36575172469207928</v>
      </c>
      <c r="AS510" s="101">
        <v>-0.81779147015646125</v>
      </c>
      <c r="AT510" s="101">
        <v>1.0704710211823607</v>
      </c>
      <c r="AU510" s="101">
        <v>1.005385893432587</v>
      </c>
      <c r="AV510" s="101">
        <v>1.2427886115130464</v>
      </c>
      <c r="AW510" s="101">
        <v>0.43604552413173664</v>
      </c>
      <c r="AX510" s="101">
        <v>0.57664856745163162</v>
      </c>
      <c r="AY510" s="101">
        <v>-0.64118860257527532</v>
      </c>
      <c r="AZ510" s="101">
        <v>3.6865684238340211E-2</v>
      </c>
      <c r="BA510" s="101">
        <v>-1.7141901943958378E-2</v>
      </c>
      <c r="BB510" s="101">
        <v>6.73081624248415E-2</v>
      </c>
    </row>
    <row r="511" spans="2:54">
      <c r="B511">
        <v>4.7410000000000001E-2</v>
      </c>
      <c r="C511">
        <v>11.93</v>
      </c>
      <c r="D511">
        <v>0.57299999999999995</v>
      </c>
      <c r="E511">
        <v>6.03</v>
      </c>
      <c r="F511">
        <v>80.8</v>
      </c>
      <c r="G511">
        <v>2.5049999999999999</v>
      </c>
      <c r="H511">
        <v>1</v>
      </c>
      <c r="I511">
        <v>273</v>
      </c>
      <c r="J511">
        <v>21</v>
      </c>
      <c r="K511">
        <v>396.9</v>
      </c>
      <c r="L511">
        <v>7.88</v>
      </c>
      <c r="M511">
        <v>11.9</v>
      </c>
      <c r="O511" s="101">
        <f t="shared" si="114"/>
        <v>-0.41500016251807148</v>
      </c>
      <c r="P511" s="101">
        <f t="shared" si="115"/>
        <v>0.11573840733409979</v>
      </c>
      <c r="Q511" s="101">
        <f t="shared" si="116"/>
        <v>0.15812411964878362</v>
      </c>
      <c r="R511" s="101">
        <f t="shared" si="117"/>
        <v>-0.36276708917536077</v>
      </c>
      <c r="S511" s="101">
        <f t="shared" si="118"/>
        <v>0.43473150510014352</v>
      </c>
      <c r="T511" s="101">
        <f t="shared" si="119"/>
        <v>-0.61324648142164295</v>
      </c>
      <c r="U511" s="101">
        <f t="shared" si="120"/>
        <v>-0.98284285676650562</v>
      </c>
      <c r="V511" s="101">
        <f t="shared" si="121"/>
        <v>-0.8032117154407975</v>
      </c>
      <c r="W511" s="101">
        <f t="shared" si="122"/>
        <v>1.1764658292772154</v>
      </c>
      <c r="X511" s="101">
        <f t="shared" si="123"/>
        <v>0.44105193260702835</v>
      </c>
      <c r="Y511" s="101">
        <f t="shared" si="124"/>
        <v>-0.66905833278554694</v>
      </c>
      <c r="Z511" s="101">
        <f t="shared" si="125"/>
        <v>-1.1572478192602045</v>
      </c>
      <c r="AQ511" s="101">
        <v>4.4164731289479342E-2</v>
      </c>
      <c r="AR511" s="101">
        <v>-0.91751168607683209</v>
      </c>
      <c r="AS511" s="101">
        <v>-1.0707038660554475</v>
      </c>
      <c r="AT511" s="101">
        <v>0.78332800948469083</v>
      </c>
      <c r="AU511" s="101">
        <v>0.79297738475920054</v>
      </c>
      <c r="AV511" s="101">
        <v>0.86555879873908714</v>
      </c>
      <c r="AW511" s="101">
        <v>0.61662723768593686</v>
      </c>
      <c r="AX511" s="101">
        <v>0.59461953632891329</v>
      </c>
      <c r="AY511" s="101">
        <v>-1.0140988658190966</v>
      </c>
      <c r="AZ511" s="101">
        <v>-9.7040839233828474E-2</v>
      </c>
      <c r="BA511" s="101">
        <v>-0.35810180755843046</v>
      </c>
      <c r="BB511" s="101">
        <v>-4.7233446197932183E-2</v>
      </c>
    </row>
    <row r="512" spans="2:54">
      <c r="AQ512" s="57"/>
      <c r="AR512" s="57"/>
      <c r="AS512" s="57"/>
      <c r="AT512" s="57"/>
      <c r="AU512" s="57"/>
      <c r="AV512" s="57"/>
      <c r="AW512" s="57"/>
      <c r="AX512" s="57"/>
      <c r="AY512" s="57"/>
      <c r="AZ512" s="57"/>
      <c r="BA512" s="57"/>
      <c r="BB512" s="57"/>
    </row>
    <row r="513" spans="43:54">
      <c r="AQ513" s="57"/>
      <c r="AR513" s="57"/>
      <c r="AS513" s="57"/>
      <c r="AT513" s="57"/>
      <c r="AU513" s="57"/>
      <c r="AV513" s="57"/>
      <c r="AW513" s="57"/>
      <c r="AX513" s="57"/>
      <c r="AY513" s="57"/>
      <c r="AZ513" s="57"/>
      <c r="BA513" s="57"/>
      <c r="BB513" s="57"/>
    </row>
  </sheetData>
  <mergeCells count="7">
    <mergeCell ref="AQ4:BB4"/>
    <mergeCell ref="B4:L4"/>
    <mergeCell ref="AB41:AN41"/>
    <mergeCell ref="O4:Z4"/>
    <mergeCell ref="AB25:AN25"/>
    <mergeCell ref="AB19:AN19"/>
    <mergeCell ref="AB4:AN4"/>
  </mergeCells>
  <phoneticPr fontId="1" type="noConversion"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S510"/>
  <sheetViews>
    <sheetView workbookViewId="0">
      <selection activeCell="A5" sqref="A5"/>
    </sheetView>
  </sheetViews>
  <sheetFormatPr defaultRowHeight="17.399999999999999"/>
  <cols>
    <col min="1" max="1" width="5" bestFit="1" customWidth="1"/>
    <col min="2" max="2" width="6.3984375" bestFit="1" customWidth="1"/>
    <col min="3" max="3" width="8.59765625" bestFit="1" customWidth="1"/>
    <col min="4" max="4" width="6.5" bestFit="1" customWidth="1"/>
    <col min="5" max="5" width="6.3984375" bestFit="1" customWidth="1"/>
    <col min="6" max="6" width="7.59765625" bestFit="1" customWidth="1"/>
    <col min="7" max="7" width="8.796875" style="5"/>
    <col min="8" max="9" width="8.5" bestFit="1" customWidth="1"/>
    <col min="10" max="11" width="13.59765625" bestFit="1" customWidth="1"/>
    <col min="12" max="19" width="8.3984375" bestFit="1" customWidth="1"/>
    <col min="20" max="44" width="6.3984375" bestFit="1" customWidth="1"/>
    <col min="45" max="45" width="5.3984375" bestFit="1" customWidth="1"/>
    <col min="46" max="48" width="6.3984375" bestFit="1" customWidth="1"/>
    <col min="49" max="49" width="5.3984375" bestFit="1" customWidth="1"/>
    <col min="50" max="54" width="6.3984375" bestFit="1" customWidth="1"/>
    <col min="55" max="55" width="5.3984375" bestFit="1" customWidth="1"/>
    <col min="56" max="72" width="6.3984375" bestFit="1" customWidth="1"/>
    <col min="73" max="73" width="5.3984375" bestFit="1" customWidth="1"/>
    <col min="74" max="92" width="6.3984375" bestFit="1" customWidth="1"/>
    <col min="93" max="93" width="5.3984375" bestFit="1" customWidth="1"/>
    <col min="94" max="105" width="6.3984375" bestFit="1" customWidth="1"/>
    <col min="106" max="106" width="5.3984375" bestFit="1" customWidth="1"/>
    <col min="107" max="152" width="6.3984375" bestFit="1" customWidth="1"/>
    <col min="153" max="153" width="5.3984375" bestFit="1" customWidth="1"/>
    <col min="154" max="166" width="6.3984375" bestFit="1" customWidth="1"/>
    <col min="167" max="168" width="5.3984375" bestFit="1" customWidth="1"/>
    <col min="169" max="185" width="6.3984375" bestFit="1" customWidth="1"/>
    <col min="186" max="187" width="5.3984375" bestFit="1" customWidth="1"/>
    <col min="188" max="200" width="6.3984375" bestFit="1" customWidth="1"/>
    <col min="201" max="201" width="5.3984375" bestFit="1" customWidth="1"/>
    <col min="202" max="209" width="6.3984375" bestFit="1" customWidth="1"/>
    <col min="210" max="210" width="5.3984375" bestFit="1" customWidth="1"/>
    <col min="211" max="233" width="6.3984375" bestFit="1" customWidth="1"/>
    <col min="234" max="234" width="5.3984375" bestFit="1" customWidth="1"/>
    <col min="235" max="268" width="6.3984375" bestFit="1" customWidth="1"/>
    <col min="269" max="269" width="5.3984375" bestFit="1" customWidth="1"/>
    <col min="270" max="275" width="6.3984375" bestFit="1" customWidth="1"/>
    <col min="276" max="276" width="5.3984375" bestFit="1" customWidth="1"/>
    <col min="277" max="278" width="6.3984375" bestFit="1" customWidth="1"/>
    <col min="279" max="279" width="5.3984375" bestFit="1" customWidth="1"/>
    <col min="280" max="287" width="6.3984375" bestFit="1" customWidth="1"/>
    <col min="288" max="288" width="5.3984375" bestFit="1" customWidth="1"/>
    <col min="289" max="299" width="6.3984375" bestFit="1" customWidth="1"/>
    <col min="300" max="300" width="5.3984375" bestFit="1" customWidth="1"/>
    <col min="301" max="308" width="6.3984375" bestFit="1" customWidth="1"/>
    <col min="309" max="309" width="5.3984375" bestFit="1" customWidth="1"/>
    <col min="310" max="313" width="6.3984375" bestFit="1" customWidth="1"/>
    <col min="314" max="314" width="5.3984375" bestFit="1" customWidth="1"/>
    <col min="315" max="341" width="6.3984375" bestFit="1" customWidth="1"/>
    <col min="342" max="342" width="5.3984375" bestFit="1" customWidth="1"/>
    <col min="343" max="349" width="6.3984375" bestFit="1" customWidth="1"/>
    <col min="350" max="350" width="5.3984375" bestFit="1" customWidth="1"/>
    <col min="351" max="357" width="6.3984375" bestFit="1" customWidth="1"/>
    <col min="358" max="358" width="5.3984375" bestFit="1" customWidth="1"/>
    <col min="359" max="371" width="6.3984375" bestFit="1" customWidth="1"/>
    <col min="372" max="372" width="5.3984375" bestFit="1" customWidth="1"/>
    <col min="373" max="375" width="6.3984375" bestFit="1" customWidth="1"/>
    <col min="376" max="376" width="5.3984375" bestFit="1" customWidth="1"/>
    <col min="377" max="488" width="6.3984375" bestFit="1" customWidth="1"/>
    <col min="489" max="489" width="5.3984375" bestFit="1" customWidth="1"/>
    <col min="490" max="502" width="6.3984375" bestFit="1" customWidth="1"/>
    <col min="503" max="503" width="5.3984375" bestFit="1" customWidth="1"/>
    <col min="504" max="509" width="6.3984375" bestFit="1" customWidth="1"/>
    <col min="510" max="510" width="5.3984375" bestFit="1" customWidth="1"/>
    <col min="511" max="512" width="6.3984375" bestFit="1" customWidth="1"/>
    <col min="513" max="513" width="5.3984375" bestFit="1" customWidth="1"/>
  </cols>
  <sheetData>
    <row r="1" spans="1:513">
      <c r="A1" s="96" t="s">
        <v>253</v>
      </c>
      <c r="B1" s="96" t="s">
        <v>254</v>
      </c>
      <c r="C1" s="96" t="s">
        <v>255</v>
      </c>
      <c r="D1" s="96" t="s">
        <v>256</v>
      </c>
      <c r="F1" s="96" t="s">
        <v>581</v>
      </c>
      <c r="G1" s="92"/>
    </row>
    <row r="2" spans="1:513">
      <c r="A2">
        <f t="array" ref="A2:D2">TRANSPOSE(J23:J26)</f>
        <v>18.567111505403659</v>
      </c>
      <c r="B2">
        <v>4.5154209438536554</v>
      </c>
      <c r="C2">
        <v>-0.93072255527041037</v>
      </c>
      <c r="D2">
        <v>-0.57180568787261876</v>
      </c>
      <c r="F2" s="99">
        <f>CORREL(E5:E510,F5:F510)</f>
        <v>0.82378647728723398</v>
      </c>
    </row>
    <row r="3" spans="1:513">
      <c r="A3" s="112" t="s">
        <v>259</v>
      </c>
      <c r="B3" s="112"/>
      <c r="C3" s="112"/>
      <c r="D3" s="112"/>
      <c r="E3" s="96" t="s">
        <v>258</v>
      </c>
      <c r="F3" s="59" t="s">
        <v>580</v>
      </c>
    </row>
    <row r="4" spans="1:513">
      <c r="A4" s="59" t="s">
        <v>261</v>
      </c>
      <c r="B4" t="s">
        <v>586</v>
      </c>
      <c r="C4" t="s">
        <v>590</v>
      </c>
      <c r="D4" t="s">
        <v>608</v>
      </c>
      <c r="E4" t="s">
        <v>592</v>
      </c>
      <c r="F4" s="59" t="s">
        <v>580</v>
      </c>
      <c r="H4" s="128" t="s">
        <v>579</v>
      </c>
      <c r="I4" s="128"/>
      <c r="J4" s="128"/>
      <c r="K4" s="128"/>
      <c r="L4" s="128"/>
      <c r="M4" s="128"/>
      <c r="N4" s="128"/>
      <c r="O4" s="128"/>
      <c r="P4" s="128"/>
      <c r="Q4" s="128"/>
      <c r="R4" s="128"/>
      <c r="S4" s="128"/>
      <c r="T4" s="128"/>
      <c r="U4" s="128"/>
      <c r="V4" s="128"/>
      <c r="W4" s="128"/>
      <c r="X4" s="128"/>
      <c r="Y4" s="128"/>
      <c r="Z4" s="128"/>
      <c r="AA4" s="128"/>
      <c r="AB4" s="128"/>
      <c r="AC4" s="128"/>
      <c r="AD4" s="128"/>
      <c r="AE4" s="128"/>
      <c r="AF4" s="128"/>
      <c r="AG4" s="128"/>
      <c r="AH4" s="128"/>
      <c r="AI4" s="128"/>
      <c r="AJ4" s="128"/>
      <c r="AK4" s="128"/>
      <c r="AL4" s="128"/>
      <c r="AM4" s="128"/>
      <c r="AN4" s="128"/>
      <c r="AO4" s="128"/>
      <c r="AP4" s="128"/>
      <c r="AQ4" s="128"/>
      <c r="AR4" s="128"/>
      <c r="AS4" s="128"/>
      <c r="AT4" s="128"/>
      <c r="AU4" s="128"/>
      <c r="AV4" s="128"/>
      <c r="AW4" s="128"/>
      <c r="AX4" s="128"/>
      <c r="AY4" s="128"/>
      <c r="AZ4" s="128"/>
      <c r="BA4" s="128"/>
      <c r="BB4" s="128"/>
      <c r="BC4" s="128"/>
      <c r="BD4" s="128"/>
      <c r="BE4" s="128"/>
      <c r="BF4" s="128"/>
      <c r="BG4" s="128"/>
      <c r="BH4" s="128"/>
      <c r="BI4" s="128"/>
      <c r="BJ4" s="128"/>
      <c r="BK4" s="128"/>
      <c r="BL4" s="128"/>
      <c r="BM4" s="128"/>
      <c r="BN4" s="128"/>
      <c r="BO4" s="128"/>
      <c r="BP4" s="128"/>
      <c r="BQ4" s="128"/>
      <c r="BR4" s="128"/>
      <c r="BS4" s="128"/>
      <c r="BT4" s="128"/>
      <c r="BU4" s="128"/>
      <c r="BV4" s="128"/>
      <c r="BW4" s="128"/>
      <c r="BX4" s="128"/>
      <c r="BY4" s="128"/>
      <c r="BZ4" s="128"/>
      <c r="CA4" s="128"/>
      <c r="CB4" s="128"/>
      <c r="CC4" s="128"/>
      <c r="CD4" s="128"/>
      <c r="CE4" s="128"/>
      <c r="CF4" s="128"/>
      <c r="CG4" s="128"/>
      <c r="CH4" s="128"/>
      <c r="CI4" s="128"/>
      <c r="CJ4" s="128"/>
      <c r="CK4" s="128"/>
      <c r="CL4" s="128"/>
      <c r="CM4" s="128"/>
      <c r="CN4" s="128"/>
      <c r="CO4" s="128"/>
      <c r="CP4" s="128"/>
      <c r="CQ4" s="128"/>
      <c r="CR4" s="128"/>
      <c r="CS4" s="128"/>
      <c r="CT4" s="128"/>
      <c r="CU4" s="128"/>
      <c r="CV4" s="128"/>
      <c r="CW4" s="128"/>
      <c r="CX4" s="128"/>
      <c r="CY4" s="128"/>
      <c r="CZ4" s="128"/>
      <c r="DA4" s="128"/>
      <c r="DB4" s="128"/>
      <c r="DC4" s="128"/>
      <c r="DD4" s="128"/>
      <c r="DE4" s="128"/>
      <c r="DF4" s="128"/>
      <c r="DG4" s="128"/>
      <c r="DH4" s="128"/>
      <c r="DI4" s="128"/>
      <c r="DJ4" s="128"/>
      <c r="DK4" s="128"/>
      <c r="DL4" s="128"/>
      <c r="DM4" s="128"/>
      <c r="DN4" s="128"/>
      <c r="DO4" s="128"/>
      <c r="DP4" s="128"/>
      <c r="DQ4" s="128"/>
      <c r="DR4" s="128"/>
      <c r="DS4" s="128"/>
      <c r="DT4" s="128"/>
      <c r="DU4" s="128"/>
      <c r="DV4" s="128"/>
      <c r="DW4" s="128"/>
      <c r="DX4" s="128"/>
      <c r="DY4" s="128"/>
      <c r="DZ4" s="128"/>
      <c r="EA4" s="128"/>
      <c r="EB4" s="128"/>
      <c r="EC4" s="128"/>
      <c r="ED4" s="128"/>
      <c r="EE4" s="128"/>
      <c r="EF4" s="128"/>
      <c r="EG4" s="128"/>
      <c r="EH4" s="128"/>
      <c r="EI4" s="128"/>
      <c r="EJ4" s="128"/>
      <c r="EK4" s="128"/>
      <c r="EL4" s="128"/>
      <c r="EM4" s="128"/>
      <c r="EN4" s="128"/>
      <c r="EO4" s="128"/>
      <c r="EP4" s="128"/>
      <c r="EQ4" s="128"/>
      <c r="ER4" s="128"/>
      <c r="ES4" s="128"/>
      <c r="ET4" s="128"/>
      <c r="EU4" s="128"/>
      <c r="EV4" s="128"/>
      <c r="EW4" s="128"/>
      <c r="EX4" s="128"/>
      <c r="EY4" s="128"/>
      <c r="EZ4" s="128"/>
      <c r="FA4" s="128"/>
      <c r="FB4" s="128"/>
      <c r="FC4" s="128"/>
      <c r="FD4" s="128"/>
      <c r="FE4" s="128"/>
      <c r="FF4" s="128"/>
      <c r="FG4" s="128"/>
      <c r="FH4" s="128"/>
      <c r="FI4" s="128"/>
      <c r="FJ4" s="128"/>
      <c r="FK4" s="128"/>
      <c r="FL4" s="128"/>
      <c r="FM4" s="128"/>
      <c r="FN4" s="128"/>
      <c r="FO4" s="128"/>
      <c r="FP4" s="128"/>
      <c r="FQ4" s="128"/>
      <c r="FR4" s="128"/>
      <c r="FS4" s="128"/>
      <c r="FT4" s="128"/>
      <c r="FU4" s="128"/>
      <c r="FV4" s="128"/>
      <c r="FW4" s="128"/>
      <c r="FX4" s="128"/>
      <c r="FY4" s="128"/>
      <c r="FZ4" s="128"/>
      <c r="GA4" s="128"/>
      <c r="GB4" s="128"/>
      <c r="GC4" s="128"/>
      <c r="GD4" s="128"/>
      <c r="GE4" s="128"/>
      <c r="GF4" s="128"/>
      <c r="GG4" s="128"/>
      <c r="GH4" s="128"/>
      <c r="GI4" s="128"/>
      <c r="GJ4" s="128"/>
      <c r="GK4" s="128"/>
      <c r="GL4" s="128"/>
      <c r="GM4" s="128"/>
      <c r="GN4" s="128"/>
      <c r="GO4" s="128"/>
      <c r="GP4" s="128"/>
      <c r="GQ4" s="128"/>
      <c r="GR4" s="128"/>
      <c r="GS4" s="128"/>
      <c r="GT4" s="128"/>
      <c r="GU4" s="128"/>
      <c r="GV4" s="128"/>
      <c r="GW4" s="128"/>
      <c r="GX4" s="128"/>
      <c r="GY4" s="128"/>
      <c r="GZ4" s="128"/>
      <c r="HA4" s="128"/>
      <c r="HB4" s="128"/>
      <c r="HC4" s="128"/>
      <c r="HD4" s="128"/>
      <c r="HE4" s="128"/>
      <c r="HF4" s="128"/>
      <c r="HG4" s="128"/>
      <c r="HH4" s="128"/>
      <c r="HI4" s="128"/>
      <c r="HJ4" s="128"/>
      <c r="HK4" s="128"/>
      <c r="HL4" s="128"/>
      <c r="HM4" s="128"/>
      <c r="HN4" s="128"/>
      <c r="HO4" s="128"/>
      <c r="HP4" s="128"/>
      <c r="HQ4" s="128"/>
      <c r="HR4" s="128"/>
      <c r="HS4" s="128"/>
      <c r="HT4" s="128"/>
      <c r="HU4" s="128"/>
      <c r="HV4" s="128"/>
      <c r="HW4" s="128"/>
      <c r="HX4" s="128"/>
      <c r="HY4" s="128"/>
      <c r="HZ4" s="128"/>
      <c r="IA4" s="128"/>
      <c r="IB4" s="128"/>
      <c r="IC4" s="128"/>
      <c r="ID4" s="128"/>
      <c r="IE4" s="128"/>
      <c r="IF4" s="128"/>
      <c r="IG4" s="128"/>
      <c r="IH4" s="128"/>
      <c r="II4" s="128"/>
      <c r="IJ4" s="128"/>
      <c r="IK4" s="128"/>
      <c r="IL4" s="128"/>
      <c r="IM4" s="128"/>
      <c r="IN4" s="128"/>
      <c r="IO4" s="128"/>
      <c r="IP4" s="128"/>
      <c r="IQ4" s="128"/>
      <c r="IR4" s="128"/>
      <c r="IS4" s="128"/>
      <c r="IT4" s="128"/>
      <c r="IU4" s="128"/>
      <c r="IV4" s="128"/>
      <c r="IW4" s="128"/>
      <c r="IX4" s="128"/>
      <c r="IY4" s="128"/>
      <c r="IZ4" s="128"/>
      <c r="JA4" s="128"/>
      <c r="JB4" s="128"/>
      <c r="JC4" s="128"/>
      <c r="JD4" s="128"/>
      <c r="JE4" s="128"/>
      <c r="JF4" s="128"/>
      <c r="JG4" s="128"/>
      <c r="JH4" s="128"/>
      <c r="JI4" s="128"/>
      <c r="JJ4" s="128"/>
      <c r="JK4" s="128"/>
      <c r="JL4" s="128"/>
      <c r="JM4" s="128"/>
      <c r="JN4" s="128"/>
      <c r="JO4" s="128"/>
      <c r="JP4" s="128"/>
      <c r="JQ4" s="128"/>
      <c r="JR4" s="128"/>
      <c r="JS4" s="128"/>
      <c r="JT4" s="128"/>
      <c r="JU4" s="128"/>
      <c r="JV4" s="128"/>
      <c r="JW4" s="128"/>
      <c r="JX4" s="128"/>
      <c r="JY4" s="128"/>
      <c r="JZ4" s="128"/>
      <c r="KA4" s="128"/>
      <c r="KB4" s="128"/>
      <c r="KC4" s="128"/>
      <c r="KD4" s="128"/>
      <c r="KE4" s="128"/>
      <c r="KF4" s="128"/>
      <c r="KG4" s="128"/>
      <c r="KH4" s="128"/>
      <c r="KI4" s="128"/>
      <c r="KJ4" s="128"/>
      <c r="KK4" s="128"/>
      <c r="KL4" s="128"/>
      <c r="KM4" s="128"/>
      <c r="KN4" s="128"/>
      <c r="KO4" s="128"/>
      <c r="KP4" s="128"/>
      <c r="KQ4" s="128"/>
      <c r="KR4" s="128"/>
      <c r="KS4" s="128"/>
      <c r="KT4" s="128"/>
      <c r="KU4" s="128"/>
      <c r="KV4" s="128"/>
      <c r="KW4" s="128"/>
      <c r="KX4" s="128"/>
      <c r="KY4" s="128"/>
      <c r="KZ4" s="128"/>
      <c r="LA4" s="128"/>
      <c r="LB4" s="128"/>
      <c r="LC4" s="128"/>
      <c r="LD4" s="128"/>
      <c r="LE4" s="128"/>
      <c r="LF4" s="128"/>
      <c r="LG4" s="128"/>
      <c r="LH4" s="128"/>
      <c r="LI4" s="128"/>
      <c r="LJ4" s="128"/>
      <c r="LK4" s="128"/>
      <c r="LL4" s="128"/>
      <c r="LM4" s="128"/>
      <c r="LN4" s="128"/>
      <c r="LO4" s="128"/>
      <c r="LP4" s="128"/>
      <c r="LQ4" s="128"/>
      <c r="LR4" s="128"/>
      <c r="LS4" s="128"/>
      <c r="LT4" s="128"/>
      <c r="LU4" s="128"/>
      <c r="LV4" s="128"/>
      <c r="LW4" s="128"/>
      <c r="LX4" s="128"/>
      <c r="LY4" s="128"/>
      <c r="LZ4" s="128"/>
      <c r="MA4" s="128"/>
      <c r="MB4" s="128"/>
      <c r="MC4" s="128"/>
      <c r="MD4" s="128"/>
      <c r="ME4" s="128"/>
      <c r="MF4" s="128"/>
      <c r="MG4" s="128"/>
      <c r="MH4" s="128"/>
      <c r="MI4" s="128"/>
      <c r="MJ4" s="128"/>
      <c r="MK4" s="128"/>
      <c r="ML4" s="128"/>
      <c r="MM4" s="128"/>
      <c r="MN4" s="128"/>
      <c r="MO4" s="128"/>
      <c r="MP4" s="128"/>
      <c r="MQ4" s="128"/>
      <c r="MR4" s="128"/>
      <c r="MS4" s="128"/>
      <c r="MT4" s="128"/>
      <c r="MU4" s="128"/>
      <c r="MV4" s="128"/>
      <c r="MW4" s="128"/>
      <c r="MX4" s="128"/>
      <c r="MY4" s="128"/>
      <c r="MZ4" s="128"/>
      <c r="NA4" s="128"/>
      <c r="NB4" s="128"/>
      <c r="NC4" s="128"/>
      <c r="ND4" s="128"/>
      <c r="NE4" s="128"/>
      <c r="NF4" s="128"/>
      <c r="NG4" s="128"/>
      <c r="NH4" s="128"/>
      <c r="NI4" s="128"/>
      <c r="NJ4" s="128"/>
      <c r="NK4" s="128"/>
      <c r="NL4" s="128"/>
      <c r="NM4" s="128"/>
      <c r="NN4" s="128"/>
      <c r="NO4" s="128"/>
      <c r="NP4" s="128"/>
      <c r="NQ4" s="128"/>
      <c r="NR4" s="128"/>
      <c r="NS4" s="128"/>
      <c r="NT4" s="128"/>
      <c r="NU4" s="128"/>
      <c r="NV4" s="128"/>
      <c r="NW4" s="128"/>
      <c r="NX4" s="128"/>
      <c r="NY4" s="128"/>
      <c r="NZ4" s="128"/>
      <c r="OA4" s="128"/>
      <c r="OB4" s="128"/>
      <c r="OC4" s="128"/>
      <c r="OD4" s="128"/>
      <c r="OE4" s="128"/>
      <c r="OF4" s="128"/>
      <c r="OG4" s="128"/>
      <c r="OH4" s="128"/>
      <c r="OI4" s="128"/>
      <c r="OJ4" s="128"/>
      <c r="OK4" s="128"/>
      <c r="OL4" s="128"/>
      <c r="OM4" s="128"/>
      <c r="ON4" s="128"/>
      <c r="OO4" s="128"/>
      <c r="OP4" s="128"/>
      <c r="OQ4" s="128"/>
      <c r="OR4" s="128"/>
      <c r="OS4" s="128"/>
      <c r="OT4" s="128"/>
      <c r="OU4" s="128"/>
      <c r="OV4" s="128"/>
      <c r="OW4" s="128"/>
      <c r="OX4" s="128"/>
      <c r="OY4" s="128"/>
      <c r="OZ4" s="128"/>
      <c r="PA4" s="128"/>
      <c r="PB4" s="128"/>
      <c r="PC4" s="128"/>
      <c r="PD4" s="128"/>
      <c r="PE4" s="128"/>
      <c r="PF4" s="128"/>
      <c r="PG4" s="128"/>
      <c r="PH4" s="128"/>
      <c r="PI4" s="128"/>
      <c r="PJ4" s="128"/>
      <c r="PK4" s="128"/>
      <c r="PL4" s="128"/>
      <c r="PM4" s="128"/>
      <c r="PN4" s="128"/>
      <c r="PO4" s="128"/>
      <c r="PP4" s="128"/>
      <c r="PQ4" s="128"/>
      <c r="PR4" s="128"/>
      <c r="PS4" s="128"/>
      <c r="PT4" s="128"/>
      <c r="PU4" s="128"/>
      <c r="PV4" s="128"/>
      <c r="PW4" s="128"/>
      <c r="PX4" s="128"/>
      <c r="PY4" s="128"/>
      <c r="PZ4" s="128"/>
      <c r="QA4" s="128"/>
      <c r="QB4" s="128"/>
      <c r="QC4" s="128"/>
      <c r="QD4" s="128"/>
      <c r="QE4" s="128"/>
      <c r="QF4" s="128"/>
      <c r="QG4" s="128"/>
      <c r="QH4" s="128"/>
      <c r="QI4" s="128"/>
      <c r="QJ4" s="128"/>
      <c r="QK4" s="128"/>
      <c r="QL4" s="128"/>
      <c r="QM4" s="128"/>
      <c r="QN4" s="128"/>
      <c r="QO4" s="128"/>
      <c r="QP4" s="128"/>
      <c r="QQ4" s="128"/>
      <c r="QR4" s="128"/>
      <c r="QS4" s="128"/>
      <c r="QT4" s="128"/>
      <c r="QU4" s="128"/>
      <c r="QV4" s="128"/>
      <c r="QW4" s="128"/>
      <c r="QX4" s="128"/>
      <c r="QY4" s="128"/>
      <c r="QZ4" s="128"/>
      <c r="RA4" s="128"/>
      <c r="RB4" s="128"/>
      <c r="RC4" s="128"/>
      <c r="RD4" s="128"/>
      <c r="RE4" s="128"/>
      <c r="RF4" s="128"/>
      <c r="RG4" s="128"/>
      <c r="RH4" s="128"/>
      <c r="RI4" s="128"/>
      <c r="RJ4" s="128"/>
      <c r="RK4" s="128"/>
      <c r="RL4" s="128"/>
      <c r="RM4" s="128"/>
      <c r="RN4" s="128"/>
      <c r="RO4" s="128"/>
      <c r="RP4" s="128"/>
      <c r="RQ4" s="128"/>
      <c r="RR4" s="128"/>
      <c r="RS4" s="128"/>
      <c r="RT4" s="128"/>
      <c r="RU4" s="128"/>
      <c r="RV4" s="128"/>
      <c r="RW4" s="128"/>
      <c r="RX4" s="128"/>
      <c r="RY4" s="128"/>
      <c r="RZ4" s="128"/>
      <c r="SA4" s="128"/>
      <c r="SB4" s="128"/>
      <c r="SC4" s="128"/>
      <c r="SD4" s="128"/>
      <c r="SE4" s="128"/>
      <c r="SF4" s="128"/>
      <c r="SG4" s="128"/>
      <c r="SH4" s="128"/>
      <c r="SI4" s="128"/>
      <c r="SJ4" s="128"/>
      <c r="SK4" s="128"/>
      <c r="SL4" s="128"/>
      <c r="SM4" s="128"/>
      <c r="SN4" s="128"/>
      <c r="SO4" s="128"/>
      <c r="SP4" s="128"/>
      <c r="SQ4" s="128"/>
      <c r="SR4" s="128"/>
      <c r="SS4" s="128"/>
    </row>
    <row r="5" spans="1:513">
      <c r="A5">
        <v>1</v>
      </c>
      <c r="B5">
        <v>6.5750000000000002</v>
      </c>
      <c r="C5">
        <v>15.3</v>
      </c>
      <c r="D5">
        <v>4.9800000000000004</v>
      </c>
      <c r="E5">
        <v>24</v>
      </c>
      <c r="F5" s="99">
        <f t="shared" ref="F5:F68" si="0">SUMPRODUCT($A$2:$D$2,A5:D5)</f>
        <v>31.168356789998523</v>
      </c>
      <c r="G5" s="92"/>
      <c r="H5" s="99">
        <v>1</v>
      </c>
      <c r="I5" s="99">
        <v>1</v>
      </c>
      <c r="J5" s="99">
        <v>1</v>
      </c>
      <c r="K5" s="99">
        <v>1</v>
      </c>
      <c r="L5" s="99">
        <v>1</v>
      </c>
      <c r="M5" s="99">
        <v>1</v>
      </c>
      <c r="N5" s="99">
        <v>1</v>
      </c>
      <c r="O5" s="99">
        <v>1</v>
      </c>
      <c r="P5" s="99">
        <v>1</v>
      </c>
      <c r="Q5" s="99">
        <v>1</v>
      </c>
      <c r="R5" s="99">
        <v>1</v>
      </c>
      <c r="S5" s="99">
        <v>1</v>
      </c>
      <c r="T5" s="99">
        <v>1</v>
      </c>
      <c r="U5" s="99">
        <v>1</v>
      </c>
      <c r="V5" s="99">
        <v>1</v>
      </c>
      <c r="W5" s="99">
        <v>1</v>
      </c>
      <c r="X5" s="99">
        <v>1</v>
      </c>
      <c r="Y5" s="99">
        <v>1</v>
      </c>
      <c r="Z5" s="99">
        <v>1</v>
      </c>
      <c r="AA5" s="99">
        <v>1</v>
      </c>
      <c r="AB5" s="99">
        <v>1</v>
      </c>
      <c r="AC5" s="99">
        <v>1</v>
      </c>
      <c r="AD5" s="99">
        <v>1</v>
      </c>
      <c r="AE5" s="99">
        <v>1</v>
      </c>
      <c r="AF5" s="99">
        <v>1</v>
      </c>
      <c r="AG5" s="99">
        <v>1</v>
      </c>
      <c r="AH5" s="99">
        <v>1</v>
      </c>
      <c r="AI5" s="99">
        <v>1</v>
      </c>
      <c r="AJ5" s="99">
        <v>1</v>
      </c>
      <c r="AK5" s="99">
        <v>1</v>
      </c>
      <c r="AL5" s="99">
        <v>1</v>
      </c>
      <c r="AM5" s="99">
        <v>1</v>
      </c>
      <c r="AN5" s="99">
        <v>1</v>
      </c>
      <c r="AO5" s="99">
        <v>1</v>
      </c>
      <c r="AP5" s="99">
        <v>1</v>
      </c>
      <c r="AQ5" s="99">
        <v>1</v>
      </c>
      <c r="AR5" s="99">
        <v>1</v>
      </c>
      <c r="AS5" s="99">
        <v>1</v>
      </c>
      <c r="AT5" s="99">
        <v>1</v>
      </c>
      <c r="AU5" s="99">
        <v>1</v>
      </c>
      <c r="AV5" s="99">
        <v>1</v>
      </c>
      <c r="AW5" s="99">
        <v>1</v>
      </c>
      <c r="AX5" s="99">
        <v>1</v>
      </c>
      <c r="AY5" s="99">
        <v>1</v>
      </c>
      <c r="AZ5" s="99">
        <v>1</v>
      </c>
      <c r="BA5" s="99">
        <v>1</v>
      </c>
      <c r="BB5" s="99">
        <v>1</v>
      </c>
      <c r="BC5" s="99">
        <v>1</v>
      </c>
      <c r="BD5" s="99">
        <v>1</v>
      </c>
      <c r="BE5" s="99">
        <v>1</v>
      </c>
      <c r="BF5" s="99">
        <v>1</v>
      </c>
      <c r="BG5" s="99">
        <v>1</v>
      </c>
      <c r="BH5" s="99">
        <v>1</v>
      </c>
      <c r="BI5" s="99">
        <v>1</v>
      </c>
      <c r="BJ5" s="99">
        <v>1</v>
      </c>
      <c r="BK5" s="99">
        <v>1</v>
      </c>
      <c r="BL5" s="99">
        <v>1</v>
      </c>
      <c r="BM5" s="99">
        <v>1</v>
      </c>
      <c r="BN5" s="99">
        <v>1</v>
      </c>
      <c r="BO5" s="99">
        <v>1</v>
      </c>
      <c r="BP5" s="99">
        <v>1</v>
      </c>
      <c r="BQ5" s="99">
        <v>1</v>
      </c>
      <c r="BR5" s="99">
        <v>1</v>
      </c>
      <c r="BS5" s="99">
        <v>1</v>
      </c>
      <c r="BT5" s="99">
        <v>1</v>
      </c>
      <c r="BU5" s="99">
        <v>1</v>
      </c>
      <c r="BV5" s="99">
        <v>1</v>
      </c>
      <c r="BW5" s="99">
        <v>1</v>
      </c>
      <c r="BX5" s="99">
        <v>1</v>
      </c>
      <c r="BY5" s="99">
        <v>1</v>
      </c>
      <c r="BZ5" s="99">
        <v>1</v>
      </c>
      <c r="CA5" s="99">
        <v>1</v>
      </c>
      <c r="CB5" s="99">
        <v>1</v>
      </c>
      <c r="CC5" s="99">
        <v>1</v>
      </c>
      <c r="CD5" s="99">
        <v>1</v>
      </c>
      <c r="CE5" s="99">
        <v>1</v>
      </c>
      <c r="CF5" s="99">
        <v>1</v>
      </c>
      <c r="CG5" s="99">
        <v>1</v>
      </c>
      <c r="CH5" s="99">
        <v>1</v>
      </c>
      <c r="CI5" s="99">
        <v>1</v>
      </c>
      <c r="CJ5" s="99">
        <v>1</v>
      </c>
      <c r="CK5" s="99">
        <v>1</v>
      </c>
      <c r="CL5" s="99">
        <v>1</v>
      </c>
      <c r="CM5" s="99">
        <v>1</v>
      </c>
      <c r="CN5" s="99">
        <v>1</v>
      </c>
      <c r="CO5" s="99">
        <v>1</v>
      </c>
      <c r="CP5" s="99">
        <v>1</v>
      </c>
      <c r="CQ5" s="99">
        <v>1</v>
      </c>
      <c r="CR5" s="99">
        <v>1</v>
      </c>
      <c r="CS5" s="99">
        <v>1</v>
      </c>
      <c r="CT5" s="99">
        <v>1</v>
      </c>
      <c r="CU5" s="99">
        <v>1</v>
      </c>
      <c r="CV5" s="99">
        <v>1</v>
      </c>
      <c r="CW5" s="99">
        <v>1</v>
      </c>
      <c r="CX5" s="99">
        <v>1</v>
      </c>
      <c r="CY5" s="99">
        <v>1</v>
      </c>
      <c r="CZ5" s="99">
        <v>1</v>
      </c>
      <c r="DA5" s="99">
        <v>1</v>
      </c>
      <c r="DB5" s="99">
        <v>1</v>
      </c>
      <c r="DC5" s="99">
        <v>1</v>
      </c>
      <c r="DD5" s="99">
        <v>1</v>
      </c>
      <c r="DE5" s="99">
        <v>1</v>
      </c>
      <c r="DF5" s="99">
        <v>1</v>
      </c>
      <c r="DG5" s="99">
        <v>1</v>
      </c>
      <c r="DH5" s="99">
        <v>1</v>
      </c>
      <c r="DI5" s="99">
        <v>1</v>
      </c>
      <c r="DJ5" s="99">
        <v>1</v>
      </c>
      <c r="DK5" s="99">
        <v>1</v>
      </c>
      <c r="DL5" s="99">
        <v>1</v>
      </c>
      <c r="DM5" s="99">
        <v>1</v>
      </c>
      <c r="DN5" s="99">
        <v>1</v>
      </c>
      <c r="DO5" s="99">
        <v>1</v>
      </c>
      <c r="DP5" s="99">
        <v>1</v>
      </c>
      <c r="DQ5" s="99">
        <v>1</v>
      </c>
      <c r="DR5" s="99">
        <v>1</v>
      </c>
      <c r="DS5" s="99">
        <v>1</v>
      </c>
      <c r="DT5" s="99">
        <v>1</v>
      </c>
      <c r="DU5" s="99">
        <v>1</v>
      </c>
      <c r="DV5" s="99">
        <v>1</v>
      </c>
      <c r="DW5" s="99">
        <v>1</v>
      </c>
      <c r="DX5" s="99">
        <v>1</v>
      </c>
      <c r="DY5" s="99">
        <v>1</v>
      </c>
      <c r="DZ5" s="99">
        <v>1</v>
      </c>
      <c r="EA5" s="99">
        <v>1</v>
      </c>
      <c r="EB5" s="99">
        <v>1</v>
      </c>
      <c r="EC5" s="99">
        <v>1</v>
      </c>
      <c r="ED5" s="99">
        <v>1</v>
      </c>
      <c r="EE5" s="99">
        <v>1</v>
      </c>
      <c r="EF5" s="99">
        <v>1</v>
      </c>
      <c r="EG5" s="99">
        <v>1</v>
      </c>
      <c r="EH5" s="99">
        <v>1</v>
      </c>
      <c r="EI5" s="99">
        <v>1</v>
      </c>
      <c r="EJ5" s="99">
        <v>1</v>
      </c>
      <c r="EK5" s="99">
        <v>1</v>
      </c>
      <c r="EL5" s="99">
        <v>1</v>
      </c>
      <c r="EM5" s="99">
        <v>1</v>
      </c>
      <c r="EN5" s="99">
        <v>1</v>
      </c>
      <c r="EO5" s="99">
        <v>1</v>
      </c>
      <c r="EP5" s="99">
        <v>1</v>
      </c>
      <c r="EQ5" s="99">
        <v>1</v>
      </c>
      <c r="ER5" s="99">
        <v>1</v>
      </c>
      <c r="ES5" s="99">
        <v>1</v>
      </c>
      <c r="ET5" s="99">
        <v>1</v>
      </c>
      <c r="EU5" s="99">
        <v>1</v>
      </c>
      <c r="EV5" s="99">
        <v>1</v>
      </c>
      <c r="EW5" s="99">
        <v>1</v>
      </c>
      <c r="EX5" s="99">
        <v>1</v>
      </c>
      <c r="EY5" s="99">
        <v>1</v>
      </c>
      <c r="EZ5" s="99">
        <v>1</v>
      </c>
      <c r="FA5" s="99">
        <v>1</v>
      </c>
      <c r="FB5" s="99">
        <v>1</v>
      </c>
      <c r="FC5" s="99">
        <v>1</v>
      </c>
      <c r="FD5" s="99">
        <v>1</v>
      </c>
      <c r="FE5" s="99">
        <v>1</v>
      </c>
      <c r="FF5" s="99">
        <v>1</v>
      </c>
      <c r="FG5" s="99">
        <v>1</v>
      </c>
      <c r="FH5" s="99">
        <v>1</v>
      </c>
      <c r="FI5" s="99">
        <v>1</v>
      </c>
      <c r="FJ5" s="99">
        <v>1</v>
      </c>
      <c r="FK5" s="99">
        <v>1</v>
      </c>
      <c r="FL5" s="99">
        <v>1</v>
      </c>
      <c r="FM5" s="99">
        <v>1</v>
      </c>
      <c r="FN5" s="99">
        <v>1</v>
      </c>
      <c r="FO5" s="99">
        <v>1</v>
      </c>
      <c r="FP5" s="99">
        <v>1</v>
      </c>
      <c r="FQ5" s="99">
        <v>1</v>
      </c>
      <c r="FR5" s="99">
        <v>1</v>
      </c>
      <c r="FS5" s="99">
        <v>1</v>
      </c>
      <c r="FT5" s="99">
        <v>1</v>
      </c>
      <c r="FU5" s="99">
        <v>1</v>
      </c>
      <c r="FV5" s="99">
        <v>1</v>
      </c>
      <c r="FW5" s="99">
        <v>1</v>
      </c>
      <c r="FX5" s="99">
        <v>1</v>
      </c>
      <c r="FY5" s="99">
        <v>1</v>
      </c>
      <c r="FZ5" s="99">
        <v>1</v>
      </c>
      <c r="GA5" s="99">
        <v>1</v>
      </c>
      <c r="GB5" s="99">
        <v>1</v>
      </c>
      <c r="GC5" s="99">
        <v>1</v>
      </c>
      <c r="GD5" s="99">
        <v>1</v>
      </c>
      <c r="GE5" s="99">
        <v>1</v>
      </c>
      <c r="GF5" s="99">
        <v>1</v>
      </c>
      <c r="GG5" s="99">
        <v>1</v>
      </c>
      <c r="GH5" s="99">
        <v>1</v>
      </c>
      <c r="GI5" s="99">
        <v>1</v>
      </c>
      <c r="GJ5" s="99">
        <v>1</v>
      </c>
      <c r="GK5" s="99">
        <v>1</v>
      </c>
      <c r="GL5" s="99">
        <v>1</v>
      </c>
      <c r="GM5" s="99">
        <v>1</v>
      </c>
      <c r="GN5" s="99">
        <v>1</v>
      </c>
      <c r="GO5" s="99">
        <v>1</v>
      </c>
      <c r="GP5" s="99">
        <v>1</v>
      </c>
      <c r="GQ5" s="99">
        <v>1</v>
      </c>
      <c r="GR5" s="99">
        <v>1</v>
      </c>
      <c r="GS5" s="99">
        <v>1</v>
      </c>
      <c r="GT5" s="99">
        <v>1</v>
      </c>
      <c r="GU5" s="99">
        <v>1</v>
      </c>
      <c r="GV5" s="99">
        <v>1</v>
      </c>
      <c r="GW5" s="99">
        <v>1</v>
      </c>
      <c r="GX5" s="99">
        <v>1</v>
      </c>
      <c r="GY5" s="99">
        <v>1</v>
      </c>
      <c r="GZ5" s="99">
        <v>1</v>
      </c>
      <c r="HA5" s="99">
        <v>1</v>
      </c>
      <c r="HB5" s="99">
        <v>1</v>
      </c>
      <c r="HC5" s="99">
        <v>1</v>
      </c>
      <c r="HD5" s="99">
        <v>1</v>
      </c>
      <c r="HE5" s="99">
        <v>1</v>
      </c>
      <c r="HF5" s="99">
        <v>1</v>
      </c>
      <c r="HG5" s="99">
        <v>1</v>
      </c>
      <c r="HH5" s="99">
        <v>1</v>
      </c>
      <c r="HI5" s="99">
        <v>1</v>
      </c>
      <c r="HJ5" s="99">
        <v>1</v>
      </c>
      <c r="HK5" s="99">
        <v>1</v>
      </c>
      <c r="HL5" s="99">
        <v>1</v>
      </c>
      <c r="HM5" s="99">
        <v>1</v>
      </c>
      <c r="HN5" s="99">
        <v>1</v>
      </c>
      <c r="HO5" s="99">
        <v>1</v>
      </c>
      <c r="HP5" s="99">
        <v>1</v>
      </c>
      <c r="HQ5" s="99">
        <v>1</v>
      </c>
      <c r="HR5" s="99">
        <v>1</v>
      </c>
      <c r="HS5" s="99">
        <v>1</v>
      </c>
      <c r="HT5" s="99">
        <v>1</v>
      </c>
      <c r="HU5" s="99">
        <v>1</v>
      </c>
      <c r="HV5" s="99">
        <v>1</v>
      </c>
      <c r="HW5" s="99">
        <v>1</v>
      </c>
      <c r="HX5" s="99">
        <v>1</v>
      </c>
      <c r="HY5" s="99">
        <v>1</v>
      </c>
      <c r="HZ5" s="99">
        <v>1</v>
      </c>
      <c r="IA5" s="99">
        <v>1</v>
      </c>
      <c r="IB5" s="99">
        <v>1</v>
      </c>
      <c r="IC5" s="99">
        <v>1</v>
      </c>
      <c r="ID5" s="99">
        <v>1</v>
      </c>
      <c r="IE5" s="99">
        <v>1</v>
      </c>
      <c r="IF5" s="99">
        <v>1</v>
      </c>
      <c r="IG5" s="99">
        <v>1</v>
      </c>
      <c r="IH5" s="99">
        <v>1</v>
      </c>
      <c r="II5" s="99">
        <v>1</v>
      </c>
      <c r="IJ5" s="99">
        <v>1</v>
      </c>
      <c r="IK5" s="99">
        <v>1</v>
      </c>
      <c r="IL5" s="99">
        <v>1</v>
      </c>
      <c r="IM5" s="99">
        <v>1</v>
      </c>
      <c r="IN5" s="99">
        <v>1</v>
      </c>
      <c r="IO5" s="99">
        <v>1</v>
      </c>
      <c r="IP5" s="99">
        <v>1</v>
      </c>
      <c r="IQ5" s="99">
        <v>1</v>
      </c>
      <c r="IR5" s="99">
        <v>1</v>
      </c>
      <c r="IS5" s="99">
        <v>1</v>
      </c>
      <c r="IT5" s="99">
        <v>1</v>
      </c>
      <c r="IU5" s="99">
        <v>1</v>
      </c>
      <c r="IV5" s="99">
        <v>1</v>
      </c>
      <c r="IW5" s="99">
        <v>1</v>
      </c>
      <c r="IX5" s="99">
        <v>1</v>
      </c>
      <c r="IY5" s="99">
        <v>1</v>
      </c>
      <c r="IZ5" s="99">
        <v>1</v>
      </c>
      <c r="JA5" s="99">
        <v>1</v>
      </c>
      <c r="JB5" s="99">
        <v>1</v>
      </c>
      <c r="JC5" s="99">
        <v>1</v>
      </c>
      <c r="JD5" s="99">
        <v>1</v>
      </c>
      <c r="JE5" s="99">
        <v>1</v>
      </c>
      <c r="JF5" s="99">
        <v>1</v>
      </c>
      <c r="JG5" s="99">
        <v>1</v>
      </c>
      <c r="JH5" s="99">
        <v>1</v>
      </c>
      <c r="JI5" s="99">
        <v>1</v>
      </c>
      <c r="JJ5" s="99">
        <v>1</v>
      </c>
      <c r="JK5" s="99">
        <v>1</v>
      </c>
      <c r="JL5" s="99">
        <v>1</v>
      </c>
      <c r="JM5" s="99">
        <v>1</v>
      </c>
      <c r="JN5" s="99">
        <v>1</v>
      </c>
      <c r="JO5" s="99">
        <v>1</v>
      </c>
      <c r="JP5" s="99">
        <v>1</v>
      </c>
      <c r="JQ5" s="99">
        <v>1</v>
      </c>
      <c r="JR5" s="99">
        <v>1</v>
      </c>
      <c r="JS5" s="99">
        <v>1</v>
      </c>
      <c r="JT5" s="99">
        <v>1</v>
      </c>
      <c r="JU5" s="99">
        <v>1</v>
      </c>
      <c r="JV5" s="99">
        <v>1</v>
      </c>
      <c r="JW5" s="99">
        <v>1</v>
      </c>
      <c r="JX5" s="99">
        <v>1</v>
      </c>
      <c r="JY5" s="99">
        <v>1</v>
      </c>
      <c r="JZ5" s="99">
        <v>1</v>
      </c>
      <c r="KA5" s="99">
        <v>1</v>
      </c>
      <c r="KB5" s="99">
        <v>1</v>
      </c>
      <c r="KC5" s="99">
        <v>1</v>
      </c>
      <c r="KD5" s="99">
        <v>1</v>
      </c>
      <c r="KE5" s="99">
        <v>1</v>
      </c>
      <c r="KF5" s="99">
        <v>1</v>
      </c>
      <c r="KG5" s="99">
        <v>1</v>
      </c>
      <c r="KH5" s="99">
        <v>1</v>
      </c>
      <c r="KI5" s="99">
        <v>1</v>
      </c>
      <c r="KJ5" s="99">
        <v>1</v>
      </c>
      <c r="KK5" s="99">
        <v>1</v>
      </c>
      <c r="KL5" s="99">
        <v>1</v>
      </c>
      <c r="KM5" s="99">
        <v>1</v>
      </c>
      <c r="KN5" s="99">
        <v>1</v>
      </c>
      <c r="KO5" s="99">
        <v>1</v>
      </c>
      <c r="KP5" s="99">
        <v>1</v>
      </c>
      <c r="KQ5" s="99">
        <v>1</v>
      </c>
      <c r="KR5" s="99">
        <v>1</v>
      </c>
      <c r="KS5" s="99">
        <v>1</v>
      </c>
      <c r="KT5" s="99">
        <v>1</v>
      </c>
      <c r="KU5" s="99">
        <v>1</v>
      </c>
      <c r="KV5" s="99">
        <v>1</v>
      </c>
      <c r="KW5" s="99">
        <v>1</v>
      </c>
      <c r="KX5" s="99">
        <v>1</v>
      </c>
      <c r="KY5" s="99">
        <v>1</v>
      </c>
      <c r="KZ5" s="99">
        <v>1</v>
      </c>
      <c r="LA5" s="99">
        <v>1</v>
      </c>
      <c r="LB5" s="99">
        <v>1</v>
      </c>
      <c r="LC5" s="99">
        <v>1</v>
      </c>
      <c r="LD5" s="99">
        <v>1</v>
      </c>
      <c r="LE5" s="99">
        <v>1</v>
      </c>
      <c r="LF5" s="99">
        <v>1</v>
      </c>
      <c r="LG5" s="99">
        <v>1</v>
      </c>
      <c r="LH5" s="99">
        <v>1</v>
      </c>
      <c r="LI5" s="99">
        <v>1</v>
      </c>
      <c r="LJ5" s="99">
        <v>1</v>
      </c>
      <c r="LK5" s="99">
        <v>1</v>
      </c>
      <c r="LL5" s="99">
        <v>1</v>
      </c>
      <c r="LM5" s="99">
        <v>1</v>
      </c>
      <c r="LN5" s="99">
        <v>1</v>
      </c>
      <c r="LO5" s="99">
        <v>1</v>
      </c>
      <c r="LP5" s="99">
        <v>1</v>
      </c>
      <c r="LQ5" s="99">
        <v>1</v>
      </c>
      <c r="LR5" s="99">
        <v>1</v>
      </c>
      <c r="LS5" s="99">
        <v>1</v>
      </c>
      <c r="LT5" s="99">
        <v>1</v>
      </c>
      <c r="LU5" s="99">
        <v>1</v>
      </c>
      <c r="LV5" s="99">
        <v>1</v>
      </c>
      <c r="LW5" s="99">
        <v>1</v>
      </c>
      <c r="LX5" s="99">
        <v>1</v>
      </c>
      <c r="LY5" s="99">
        <v>1</v>
      </c>
      <c r="LZ5" s="99">
        <v>1</v>
      </c>
      <c r="MA5" s="99">
        <v>1</v>
      </c>
      <c r="MB5" s="99">
        <v>1</v>
      </c>
      <c r="MC5" s="99">
        <v>1</v>
      </c>
      <c r="MD5" s="99">
        <v>1</v>
      </c>
      <c r="ME5" s="99">
        <v>1</v>
      </c>
      <c r="MF5" s="99">
        <v>1</v>
      </c>
      <c r="MG5" s="99">
        <v>1</v>
      </c>
      <c r="MH5" s="99">
        <v>1</v>
      </c>
      <c r="MI5" s="99">
        <v>1</v>
      </c>
      <c r="MJ5" s="99">
        <v>1</v>
      </c>
      <c r="MK5" s="99">
        <v>1</v>
      </c>
      <c r="ML5" s="99">
        <v>1</v>
      </c>
      <c r="MM5" s="99">
        <v>1</v>
      </c>
      <c r="MN5" s="99">
        <v>1</v>
      </c>
      <c r="MO5" s="99">
        <v>1</v>
      </c>
      <c r="MP5" s="99">
        <v>1</v>
      </c>
      <c r="MQ5" s="99">
        <v>1</v>
      </c>
      <c r="MR5" s="99">
        <v>1</v>
      </c>
      <c r="MS5" s="99">
        <v>1</v>
      </c>
      <c r="MT5" s="99">
        <v>1</v>
      </c>
      <c r="MU5" s="99">
        <v>1</v>
      </c>
      <c r="MV5" s="99">
        <v>1</v>
      </c>
      <c r="MW5" s="99">
        <v>1</v>
      </c>
      <c r="MX5" s="99">
        <v>1</v>
      </c>
      <c r="MY5" s="99">
        <v>1</v>
      </c>
      <c r="MZ5" s="99">
        <v>1</v>
      </c>
      <c r="NA5" s="99">
        <v>1</v>
      </c>
      <c r="NB5" s="99">
        <v>1</v>
      </c>
      <c r="NC5" s="99">
        <v>1</v>
      </c>
      <c r="ND5" s="99">
        <v>1</v>
      </c>
      <c r="NE5" s="99">
        <v>1</v>
      </c>
      <c r="NF5" s="99">
        <v>1</v>
      </c>
      <c r="NG5" s="99">
        <v>1</v>
      </c>
      <c r="NH5" s="99">
        <v>1</v>
      </c>
      <c r="NI5" s="99">
        <v>1</v>
      </c>
      <c r="NJ5" s="99">
        <v>1</v>
      </c>
      <c r="NK5" s="99">
        <v>1</v>
      </c>
      <c r="NL5" s="99">
        <v>1</v>
      </c>
      <c r="NM5" s="99">
        <v>1</v>
      </c>
      <c r="NN5" s="99">
        <v>1</v>
      </c>
      <c r="NO5" s="99">
        <v>1</v>
      </c>
      <c r="NP5" s="99">
        <v>1</v>
      </c>
      <c r="NQ5" s="99">
        <v>1</v>
      </c>
      <c r="NR5" s="99">
        <v>1</v>
      </c>
      <c r="NS5" s="99">
        <v>1</v>
      </c>
      <c r="NT5" s="99">
        <v>1</v>
      </c>
      <c r="NU5" s="99">
        <v>1</v>
      </c>
      <c r="NV5" s="99">
        <v>1</v>
      </c>
      <c r="NW5" s="99">
        <v>1</v>
      </c>
      <c r="NX5" s="99">
        <v>1</v>
      </c>
      <c r="NY5" s="99">
        <v>1</v>
      </c>
      <c r="NZ5" s="99">
        <v>1</v>
      </c>
      <c r="OA5" s="99">
        <v>1</v>
      </c>
      <c r="OB5" s="99">
        <v>1</v>
      </c>
      <c r="OC5" s="99">
        <v>1</v>
      </c>
      <c r="OD5" s="99">
        <v>1</v>
      </c>
      <c r="OE5" s="99">
        <v>1</v>
      </c>
      <c r="OF5" s="99">
        <v>1</v>
      </c>
      <c r="OG5" s="99">
        <v>1</v>
      </c>
      <c r="OH5" s="99">
        <v>1</v>
      </c>
      <c r="OI5" s="99">
        <v>1</v>
      </c>
      <c r="OJ5" s="99">
        <v>1</v>
      </c>
      <c r="OK5" s="99">
        <v>1</v>
      </c>
      <c r="OL5" s="99">
        <v>1</v>
      </c>
      <c r="OM5" s="99">
        <v>1</v>
      </c>
      <c r="ON5" s="99">
        <v>1</v>
      </c>
      <c r="OO5" s="99">
        <v>1</v>
      </c>
      <c r="OP5" s="99">
        <v>1</v>
      </c>
      <c r="OQ5" s="99">
        <v>1</v>
      </c>
      <c r="OR5" s="99">
        <v>1</v>
      </c>
      <c r="OS5" s="99">
        <v>1</v>
      </c>
      <c r="OT5" s="99">
        <v>1</v>
      </c>
      <c r="OU5" s="99">
        <v>1</v>
      </c>
      <c r="OV5" s="99">
        <v>1</v>
      </c>
      <c r="OW5" s="99">
        <v>1</v>
      </c>
      <c r="OX5" s="99">
        <v>1</v>
      </c>
      <c r="OY5" s="99">
        <v>1</v>
      </c>
      <c r="OZ5" s="99">
        <v>1</v>
      </c>
      <c r="PA5" s="99">
        <v>1</v>
      </c>
      <c r="PB5" s="99">
        <v>1</v>
      </c>
      <c r="PC5" s="99">
        <v>1</v>
      </c>
      <c r="PD5" s="99">
        <v>1</v>
      </c>
      <c r="PE5" s="99">
        <v>1</v>
      </c>
      <c r="PF5" s="99">
        <v>1</v>
      </c>
      <c r="PG5" s="99">
        <v>1</v>
      </c>
      <c r="PH5" s="99">
        <v>1</v>
      </c>
      <c r="PI5" s="99">
        <v>1</v>
      </c>
      <c r="PJ5" s="99">
        <v>1</v>
      </c>
      <c r="PK5" s="99">
        <v>1</v>
      </c>
      <c r="PL5" s="99">
        <v>1</v>
      </c>
      <c r="PM5" s="99">
        <v>1</v>
      </c>
      <c r="PN5" s="99">
        <v>1</v>
      </c>
      <c r="PO5" s="99">
        <v>1</v>
      </c>
      <c r="PP5" s="99">
        <v>1</v>
      </c>
      <c r="PQ5" s="99">
        <v>1</v>
      </c>
      <c r="PR5" s="99">
        <v>1</v>
      </c>
      <c r="PS5" s="99">
        <v>1</v>
      </c>
      <c r="PT5" s="99">
        <v>1</v>
      </c>
      <c r="PU5" s="99">
        <v>1</v>
      </c>
      <c r="PV5" s="99">
        <v>1</v>
      </c>
      <c r="PW5" s="99">
        <v>1</v>
      </c>
      <c r="PX5" s="99">
        <v>1</v>
      </c>
      <c r="PY5" s="99">
        <v>1</v>
      </c>
      <c r="PZ5" s="99">
        <v>1</v>
      </c>
      <c r="QA5" s="99">
        <v>1</v>
      </c>
      <c r="QB5" s="99">
        <v>1</v>
      </c>
      <c r="QC5" s="99">
        <v>1</v>
      </c>
      <c r="QD5" s="99">
        <v>1</v>
      </c>
      <c r="QE5" s="99">
        <v>1</v>
      </c>
      <c r="QF5" s="99">
        <v>1</v>
      </c>
      <c r="QG5" s="99">
        <v>1</v>
      </c>
      <c r="QH5" s="99">
        <v>1</v>
      </c>
      <c r="QI5" s="99">
        <v>1</v>
      </c>
      <c r="QJ5" s="99">
        <v>1</v>
      </c>
      <c r="QK5" s="99">
        <v>1</v>
      </c>
      <c r="QL5" s="99">
        <v>1</v>
      </c>
      <c r="QM5" s="99">
        <v>1</v>
      </c>
      <c r="QN5" s="99">
        <v>1</v>
      </c>
      <c r="QO5" s="99">
        <v>1</v>
      </c>
      <c r="QP5" s="99">
        <v>1</v>
      </c>
      <c r="QQ5" s="99">
        <v>1</v>
      </c>
      <c r="QR5" s="99">
        <v>1</v>
      </c>
      <c r="QS5" s="99">
        <v>1</v>
      </c>
      <c r="QT5" s="99">
        <v>1</v>
      </c>
      <c r="QU5" s="99">
        <v>1</v>
      </c>
      <c r="QV5" s="99">
        <v>1</v>
      </c>
      <c r="QW5" s="99">
        <v>1</v>
      </c>
      <c r="QX5" s="99">
        <v>1</v>
      </c>
      <c r="QY5" s="99">
        <v>1</v>
      </c>
      <c r="QZ5" s="99">
        <v>1</v>
      </c>
      <c r="RA5" s="99">
        <v>1</v>
      </c>
      <c r="RB5" s="99">
        <v>1</v>
      </c>
      <c r="RC5" s="99">
        <v>1</v>
      </c>
      <c r="RD5" s="99">
        <v>1</v>
      </c>
      <c r="RE5" s="99">
        <v>1</v>
      </c>
      <c r="RF5" s="99">
        <v>1</v>
      </c>
      <c r="RG5" s="99">
        <v>1</v>
      </c>
      <c r="RH5" s="99">
        <v>1</v>
      </c>
      <c r="RI5" s="99">
        <v>1</v>
      </c>
      <c r="RJ5" s="99">
        <v>1</v>
      </c>
      <c r="RK5" s="99">
        <v>1</v>
      </c>
      <c r="RL5" s="99">
        <v>1</v>
      </c>
      <c r="RM5" s="99">
        <v>1</v>
      </c>
      <c r="RN5" s="99">
        <v>1</v>
      </c>
      <c r="RO5" s="99">
        <v>1</v>
      </c>
      <c r="RP5" s="99">
        <v>1</v>
      </c>
      <c r="RQ5" s="99">
        <v>1</v>
      </c>
      <c r="RR5" s="99">
        <v>1</v>
      </c>
      <c r="RS5" s="99">
        <v>1</v>
      </c>
      <c r="RT5" s="99">
        <v>1</v>
      </c>
      <c r="RU5" s="99">
        <v>1</v>
      </c>
      <c r="RV5" s="99">
        <v>1</v>
      </c>
      <c r="RW5" s="99">
        <v>1</v>
      </c>
      <c r="RX5" s="99">
        <v>1</v>
      </c>
      <c r="RY5" s="99">
        <v>1</v>
      </c>
      <c r="RZ5" s="99">
        <v>1</v>
      </c>
      <c r="SA5" s="99">
        <v>1</v>
      </c>
      <c r="SB5" s="99">
        <v>1</v>
      </c>
      <c r="SC5" s="99">
        <v>1</v>
      </c>
      <c r="SD5" s="99">
        <v>1</v>
      </c>
      <c r="SE5" s="99">
        <v>1</v>
      </c>
      <c r="SF5" s="99">
        <v>1</v>
      </c>
      <c r="SG5" s="99">
        <v>1</v>
      </c>
      <c r="SH5" s="99">
        <v>1</v>
      </c>
      <c r="SI5" s="99">
        <v>1</v>
      </c>
      <c r="SJ5" s="99">
        <v>1</v>
      </c>
      <c r="SK5" s="99">
        <v>1</v>
      </c>
      <c r="SL5" s="99">
        <v>1</v>
      </c>
      <c r="SM5" s="99">
        <v>1</v>
      </c>
      <c r="SN5" s="99">
        <v>1</v>
      </c>
      <c r="SO5" s="99">
        <v>1</v>
      </c>
      <c r="SP5" s="99">
        <v>1</v>
      </c>
      <c r="SQ5" s="99">
        <v>1</v>
      </c>
      <c r="SR5" s="99">
        <v>1</v>
      </c>
      <c r="SS5" s="99">
        <v>1</v>
      </c>
    </row>
    <row r="6" spans="1:513">
      <c r="A6">
        <v>1</v>
      </c>
      <c r="B6">
        <v>6.4210000000000003</v>
      </c>
      <c r="C6">
        <v>17.8</v>
      </c>
      <c r="D6">
        <v>9.14</v>
      </c>
      <c r="E6">
        <v>21.6</v>
      </c>
      <c r="F6" s="99">
        <f t="shared" si="0"/>
        <v>25.767463914918938</v>
      </c>
      <c r="G6" s="92"/>
      <c r="H6" s="99">
        <v>6.5750000000000002</v>
      </c>
      <c r="I6" s="99">
        <v>6.4210000000000003</v>
      </c>
      <c r="J6" s="99">
        <v>7.1849999999999996</v>
      </c>
      <c r="K6" s="99">
        <v>6.9980000000000002</v>
      </c>
      <c r="L6" s="99">
        <v>7.1470000000000002</v>
      </c>
      <c r="M6" s="99">
        <v>6.43</v>
      </c>
      <c r="N6" s="99">
        <v>6.0119999999999996</v>
      </c>
      <c r="O6" s="99">
        <v>6.1719999999999997</v>
      </c>
      <c r="P6" s="99">
        <v>5.6310000000000002</v>
      </c>
      <c r="Q6" s="99">
        <v>6.0039999999999996</v>
      </c>
      <c r="R6" s="99">
        <v>6.3769999999999998</v>
      </c>
      <c r="S6" s="99">
        <v>6.0090000000000003</v>
      </c>
      <c r="T6" s="99">
        <v>5.8890000000000002</v>
      </c>
      <c r="U6" s="99">
        <v>5.9489999999999998</v>
      </c>
      <c r="V6" s="99">
        <v>6.0960000000000001</v>
      </c>
      <c r="W6" s="99">
        <v>5.8339999999999996</v>
      </c>
      <c r="X6" s="99">
        <v>5.9349999999999996</v>
      </c>
      <c r="Y6" s="99">
        <v>5.99</v>
      </c>
      <c r="Z6" s="99">
        <v>5.4560000000000004</v>
      </c>
      <c r="AA6" s="99">
        <v>5.7270000000000003</v>
      </c>
      <c r="AB6" s="99">
        <v>5.57</v>
      </c>
      <c r="AC6" s="99">
        <v>5.9649999999999999</v>
      </c>
      <c r="AD6" s="99">
        <v>6.1420000000000003</v>
      </c>
      <c r="AE6" s="99">
        <v>5.8129999999999997</v>
      </c>
      <c r="AF6" s="99">
        <v>5.9240000000000004</v>
      </c>
      <c r="AG6" s="99">
        <v>5.5990000000000002</v>
      </c>
      <c r="AH6" s="99">
        <v>5.8129999999999997</v>
      </c>
      <c r="AI6" s="99">
        <v>6.0469999999999997</v>
      </c>
      <c r="AJ6" s="99">
        <v>6.4950000000000001</v>
      </c>
      <c r="AK6" s="99">
        <v>6.6740000000000004</v>
      </c>
      <c r="AL6" s="99">
        <v>5.7130000000000001</v>
      </c>
      <c r="AM6" s="99">
        <v>6.0720000000000001</v>
      </c>
      <c r="AN6" s="99">
        <v>5.95</v>
      </c>
      <c r="AO6" s="99">
        <v>5.7009999999999996</v>
      </c>
      <c r="AP6" s="99">
        <v>6.0960000000000001</v>
      </c>
      <c r="AQ6" s="99">
        <v>5.9329999999999998</v>
      </c>
      <c r="AR6" s="99">
        <v>5.8410000000000002</v>
      </c>
      <c r="AS6" s="99">
        <v>5.85</v>
      </c>
      <c r="AT6" s="99">
        <v>5.9660000000000002</v>
      </c>
      <c r="AU6" s="99">
        <v>6.5949999999999998</v>
      </c>
      <c r="AV6" s="99">
        <v>7.024</v>
      </c>
      <c r="AW6" s="99">
        <v>6.77</v>
      </c>
      <c r="AX6" s="99">
        <v>6.1689999999999996</v>
      </c>
      <c r="AY6" s="99">
        <v>6.2110000000000003</v>
      </c>
      <c r="AZ6" s="99">
        <v>6.069</v>
      </c>
      <c r="BA6" s="99">
        <v>5.6820000000000004</v>
      </c>
      <c r="BB6" s="99">
        <v>5.7859999999999996</v>
      </c>
      <c r="BC6" s="99">
        <v>6.03</v>
      </c>
      <c r="BD6" s="99">
        <v>5.399</v>
      </c>
      <c r="BE6" s="99">
        <v>5.6020000000000003</v>
      </c>
      <c r="BF6" s="99">
        <v>5.9630000000000001</v>
      </c>
      <c r="BG6" s="99">
        <v>6.1150000000000002</v>
      </c>
      <c r="BH6" s="99">
        <v>6.5110000000000001</v>
      </c>
      <c r="BI6" s="99">
        <v>5.9980000000000002</v>
      </c>
      <c r="BJ6" s="99">
        <v>5.8879999999999999</v>
      </c>
      <c r="BK6" s="99">
        <v>7.2489999999999997</v>
      </c>
      <c r="BL6" s="99">
        <v>6.383</v>
      </c>
      <c r="BM6" s="99">
        <v>6.8159999999999998</v>
      </c>
      <c r="BN6" s="99">
        <v>6.1449999999999996</v>
      </c>
      <c r="BO6" s="99">
        <v>5.9269999999999996</v>
      </c>
      <c r="BP6" s="99">
        <v>5.7409999999999997</v>
      </c>
      <c r="BQ6" s="99">
        <v>5.9660000000000002</v>
      </c>
      <c r="BR6" s="99">
        <v>6.4560000000000004</v>
      </c>
      <c r="BS6" s="99">
        <v>6.7619999999999996</v>
      </c>
      <c r="BT6" s="99">
        <v>7.1040000000000001</v>
      </c>
      <c r="BU6" s="99">
        <v>6.29</v>
      </c>
      <c r="BV6" s="99">
        <v>5.7869999999999999</v>
      </c>
      <c r="BW6" s="99">
        <v>5.8780000000000001</v>
      </c>
      <c r="BX6" s="99">
        <v>5.5940000000000003</v>
      </c>
      <c r="BY6" s="99">
        <v>5.8849999999999998</v>
      </c>
      <c r="BZ6" s="99">
        <v>6.4169999999999998</v>
      </c>
      <c r="CA6" s="99">
        <v>5.9610000000000003</v>
      </c>
      <c r="CB6" s="99">
        <v>6.0650000000000004</v>
      </c>
      <c r="CC6" s="99">
        <v>6.2450000000000001</v>
      </c>
      <c r="CD6" s="99">
        <v>6.2729999999999997</v>
      </c>
      <c r="CE6" s="99">
        <v>6.2859999999999996</v>
      </c>
      <c r="CF6" s="99">
        <v>6.2789999999999999</v>
      </c>
      <c r="CG6" s="99">
        <v>6.14</v>
      </c>
      <c r="CH6" s="99">
        <v>6.2320000000000002</v>
      </c>
      <c r="CI6" s="99">
        <v>5.8739999999999997</v>
      </c>
      <c r="CJ6" s="99">
        <v>6.7270000000000003</v>
      </c>
      <c r="CK6" s="99">
        <v>6.6189999999999998</v>
      </c>
      <c r="CL6" s="99">
        <v>6.3019999999999996</v>
      </c>
      <c r="CM6" s="99">
        <v>6.1669999999999998</v>
      </c>
      <c r="CN6" s="99">
        <v>6.3890000000000002</v>
      </c>
      <c r="CO6" s="99">
        <v>6.63</v>
      </c>
      <c r="CP6" s="99">
        <v>6.0149999999999997</v>
      </c>
      <c r="CQ6" s="99">
        <v>6.1210000000000004</v>
      </c>
      <c r="CR6" s="99">
        <v>7.0069999999999997</v>
      </c>
      <c r="CS6" s="99">
        <v>7.0789999999999997</v>
      </c>
      <c r="CT6" s="99">
        <v>6.4169999999999998</v>
      </c>
      <c r="CU6" s="99">
        <v>6.4050000000000002</v>
      </c>
      <c r="CV6" s="99">
        <v>6.4420000000000002</v>
      </c>
      <c r="CW6" s="99">
        <v>6.2110000000000003</v>
      </c>
      <c r="CX6" s="99">
        <v>6.2489999999999997</v>
      </c>
      <c r="CY6" s="99">
        <v>6.625</v>
      </c>
      <c r="CZ6" s="99">
        <v>6.1630000000000003</v>
      </c>
      <c r="DA6" s="99">
        <v>8.0690000000000008</v>
      </c>
      <c r="DB6" s="99">
        <v>7.82</v>
      </c>
      <c r="DC6" s="99">
        <v>7.4160000000000004</v>
      </c>
      <c r="DD6" s="99">
        <v>6.7270000000000003</v>
      </c>
      <c r="DE6" s="99">
        <v>6.7809999999999997</v>
      </c>
      <c r="DF6" s="99">
        <v>6.4050000000000002</v>
      </c>
      <c r="DG6" s="99">
        <v>6.1369999999999996</v>
      </c>
      <c r="DH6" s="99">
        <v>6.1669999999999998</v>
      </c>
      <c r="DI6" s="99">
        <v>5.851</v>
      </c>
      <c r="DJ6" s="99">
        <v>5.8360000000000003</v>
      </c>
      <c r="DK6" s="99">
        <v>6.1269999999999998</v>
      </c>
      <c r="DL6" s="99">
        <v>6.4740000000000002</v>
      </c>
      <c r="DM6" s="99">
        <v>6.2290000000000001</v>
      </c>
      <c r="DN6" s="99">
        <v>6.1950000000000003</v>
      </c>
      <c r="DO6" s="99">
        <v>6.7149999999999999</v>
      </c>
      <c r="DP6" s="99">
        <v>5.9130000000000003</v>
      </c>
      <c r="DQ6" s="99">
        <v>6.0919999999999996</v>
      </c>
      <c r="DR6" s="99">
        <v>6.2539999999999996</v>
      </c>
      <c r="DS6" s="99">
        <v>5.9279999999999999</v>
      </c>
      <c r="DT6" s="99">
        <v>6.1760000000000002</v>
      </c>
      <c r="DU6" s="99">
        <v>6.0209999999999999</v>
      </c>
      <c r="DV6" s="99">
        <v>5.8719999999999999</v>
      </c>
      <c r="DW6" s="99">
        <v>5.7309999999999999</v>
      </c>
      <c r="DX6" s="99">
        <v>5.87</v>
      </c>
      <c r="DY6" s="99">
        <v>6.0039999999999996</v>
      </c>
      <c r="DZ6" s="99">
        <v>5.9610000000000003</v>
      </c>
      <c r="EA6" s="99">
        <v>5.8559999999999999</v>
      </c>
      <c r="EB6" s="99">
        <v>5.8789999999999996</v>
      </c>
      <c r="EC6" s="99">
        <v>5.9859999999999998</v>
      </c>
      <c r="ED6" s="99">
        <v>5.6130000000000004</v>
      </c>
      <c r="EE6" s="99">
        <v>5.6929999999999996</v>
      </c>
      <c r="EF6" s="99">
        <v>6.431</v>
      </c>
      <c r="EG6" s="99">
        <v>5.6369999999999996</v>
      </c>
      <c r="EH6" s="99">
        <v>6.4580000000000002</v>
      </c>
      <c r="EI6" s="99">
        <v>6.3259999999999996</v>
      </c>
      <c r="EJ6" s="99">
        <v>6.3719999999999999</v>
      </c>
      <c r="EK6" s="99">
        <v>5.8220000000000001</v>
      </c>
      <c r="EL6" s="99">
        <v>5.7569999999999997</v>
      </c>
      <c r="EM6" s="99">
        <v>6.335</v>
      </c>
      <c r="EN6" s="99">
        <v>5.9420000000000002</v>
      </c>
      <c r="EO6" s="99">
        <v>6.4539999999999997</v>
      </c>
      <c r="EP6" s="99">
        <v>5.8570000000000002</v>
      </c>
      <c r="EQ6" s="99">
        <v>6.1509999999999998</v>
      </c>
      <c r="ER6" s="99">
        <v>6.1740000000000004</v>
      </c>
      <c r="ES6" s="99">
        <v>5.0190000000000001</v>
      </c>
      <c r="ET6" s="99">
        <v>5.4029999999999996</v>
      </c>
      <c r="EU6" s="99">
        <v>5.468</v>
      </c>
      <c r="EV6" s="99">
        <v>4.9029999999999996</v>
      </c>
      <c r="EW6" s="99">
        <v>6.13</v>
      </c>
      <c r="EX6" s="99">
        <v>5.6280000000000001</v>
      </c>
      <c r="EY6" s="99">
        <v>4.9260000000000002</v>
      </c>
      <c r="EZ6" s="99">
        <v>5.1859999999999999</v>
      </c>
      <c r="FA6" s="99">
        <v>5.5970000000000004</v>
      </c>
      <c r="FB6" s="99">
        <v>6.1219999999999999</v>
      </c>
      <c r="FC6" s="99">
        <v>5.4039999999999999</v>
      </c>
      <c r="FD6" s="99">
        <v>5.0119999999999996</v>
      </c>
      <c r="FE6" s="99">
        <v>5.7089999999999996</v>
      </c>
      <c r="FF6" s="99">
        <v>6.1289999999999996</v>
      </c>
      <c r="FG6" s="99">
        <v>6.1520000000000001</v>
      </c>
      <c r="FH6" s="99">
        <v>5.2720000000000002</v>
      </c>
      <c r="FI6" s="99">
        <v>6.9429999999999996</v>
      </c>
      <c r="FJ6" s="99">
        <v>6.0659999999999998</v>
      </c>
      <c r="FK6" s="99">
        <v>6.51</v>
      </c>
      <c r="FL6" s="99">
        <v>6.25</v>
      </c>
      <c r="FM6" s="99">
        <v>7.4889999999999999</v>
      </c>
      <c r="FN6" s="99">
        <v>7.8019999999999996</v>
      </c>
      <c r="FO6" s="99">
        <v>8.375</v>
      </c>
      <c r="FP6" s="99">
        <v>5.8540000000000001</v>
      </c>
      <c r="FQ6" s="99">
        <v>6.101</v>
      </c>
      <c r="FR6" s="99">
        <v>7.9290000000000003</v>
      </c>
      <c r="FS6" s="99">
        <v>5.8769999999999998</v>
      </c>
      <c r="FT6" s="99">
        <v>6.319</v>
      </c>
      <c r="FU6" s="99">
        <v>6.4020000000000001</v>
      </c>
      <c r="FV6" s="99">
        <v>5.875</v>
      </c>
      <c r="FW6" s="99">
        <v>5.88</v>
      </c>
      <c r="FX6" s="99">
        <v>5.5720000000000001</v>
      </c>
      <c r="FY6" s="99">
        <v>6.4160000000000004</v>
      </c>
      <c r="FZ6" s="99">
        <v>5.859</v>
      </c>
      <c r="GA6" s="99">
        <v>6.5460000000000003</v>
      </c>
      <c r="GB6" s="99">
        <v>6.02</v>
      </c>
      <c r="GC6" s="99">
        <v>6.3150000000000004</v>
      </c>
      <c r="GD6" s="99">
        <v>6.86</v>
      </c>
      <c r="GE6" s="99">
        <v>6.98</v>
      </c>
      <c r="GF6" s="99">
        <v>7.7649999999999997</v>
      </c>
      <c r="GG6" s="99">
        <v>6.1440000000000001</v>
      </c>
      <c r="GH6" s="99">
        <v>7.1550000000000002</v>
      </c>
      <c r="GI6" s="99">
        <v>6.5629999999999997</v>
      </c>
      <c r="GJ6" s="99">
        <v>5.6040000000000001</v>
      </c>
      <c r="GK6" s="99">
        <v>6.1529999999999996</v>
      </c>
      <c r="GL6" s="99">
        <v>7.8310000000000004</v>
      </c>
      <c r="GM6" s="99">
        <v>6.782</v>
      </c>
      <c r="GN6" s="99">
        <v>6.556</v>
      </c>
      <c r="GO6" s="99">
        <v>7.1849999999999996</v>
      </c>
      <c r="GP6" s="99">
        <v>6.9509999999999996</v>
      </c>
      <c r="GQ6" s="99">
        <v>6.7389999999999999</v>
      </c>
      <c r="GR6" s="99">
        <v>7.1779999999999999</v>
      </c>
      <c r="GS6" s="99">
        <v>6.8</v>
      </c>
      <c r="GT6" s="99">
        <v>6.6040000000000001</v>
      </c>
      <c r="GU6" s="99">
        <v>7.875</v>
      </c>
      <c r="GV6" s="99">
        <v>7.2869999999999999</v>
      </c>
      <c r="GW6" s="99">
        <v>7.1070000000000002</v>
      </c>
      <c r="GX6" s="99">
        <v>7.274</v>
      </c>
      <c r="GY6" s="99">
        <v>6.9749999999999996</v>
      </c>
      <c r="GZ6" s="99">
        <v>7.1349999999999998</v>
      </c>
      <c r="HA6" s="99">
        <v>6.1619999999999999</v>
      </c>
      <c r="HB6" s="99">
        <v>7.61</v>
      </c>
      <c r="HC6" s="99">
        <v>7.8529999999999998</v>
      </c>
      <c r="HD6" s="99">
        <v>8.0340000000000007</v>
      </c>
      <c r="HE6" s="99">
        <v>5.891</v>
      </c>
      <c r="HF6" s="99">
        <v>6.3259999999999996</v>
      </c>
      <c r="HG6" s="99">
        <v>5.7830000000000004</v>
      </c>
      <c r="HH6" s="99">
        <v>6.0640000000000001</v>
      </c>
      <c r="HI6" s="99">
        <v>5.3440000000000003</v>
      </c>
      <c r="HJ6" s="99">
        <v>5.96</v>
      </c>
      <c r="HK6" s="99">
        <v>5.4039999999999999</v>
      </c>
      <c r="HL6" s="99">
        <v>5.8070000000000004</v>
      </c>
      <c r="HM6" s="99">
        <v>6.375</v>
      </c>
      <c r="HN6" s="99">
        <v>5.4119999999999999</v>
      </c>
      <c r="HO6" s="99">
        <v>6.1820000000000004</v>
      </c>
      <c r="HP6" s="99">
        <v>5.8879999999999999</v>
      </c>
      <c r="HQ6" s="99">
        <v>6.6420000000000003</v>
      </c>
      <c r="HR6" s="99">
        <v>5.9509999999999996</v>
      </c>
      <c r="HS6" s="99">
        <v>6.3730000000000002</v>
      </c>
      <c r="HT6" s="99">
        <v>6.9509999999999996</v>
      </c>
      <c r="HU6" s="99">
        <v>6.1639999999999997</v>
      </c>
      <c r="HV6" s="99">
        <v>6.8789999999999996</v>
      </c>
      <c r="HW6" s="99">
        <v>6.6180000000000003</v>
      </c>
      <c r="HX6" s="99">
        <v>8.266</v>
      </c>
      <c r="HY6" s="99">
        <v>8.7249999999999996</v>
      </c>
      <c r="HZ6" s="99">
        <v>8.0399999999999991</v>
      </c>
      <c r="IA6" s="99">
        <v>7.1630000000000003</v>
      </c>
      <c r="IB6" s="99">
        <v>7.6859999999999999</v>
      </c>
      <c r="IC6" s="99">
        <v>6.5519999999999996</v>
      </c>
      <c r="ID6" s="99">
        <v>5.9809999999999999</v>
      </c>
      <c r="IE6" s="99">
        <v>7.4119999999999999</v>
      </c>
      <c r="IF6" s="99">
        <v>8.3369999999999997</v>
      </c>
      <c r="IG6" s="99">
        <v>8.2469999999999999</v>
      </c>
      <c r="IH6" s="99">
        <v>6.726</v>
      </c>
      <c r="II6" s="99">
        <v>6.0860000000000003</v>
      </c>
      <c r="IJ6" s="99">
        <v>6.6310000000000002</v>
      </c>
      <c r="IK6" s="99">
        <v>7.3579999999999997</v>
      </c>
      <c r="IL6" s="99">
        <v>6.4809999999999999</v>
      </c>
      <c r="IM6" s="99">
        <v>6.6059999999999999</v>
      </c>
      <c r="IN6" s="99">
        <v>6.8970000000000002</v>
      </c>
      <c r="IO6" s="99">
        <v>6.0949999999999998</v>
      </c>
      <c r="IP6" s="99">
        <v>6.3579999999999997</v>
      </c>
      <c r="IQ6" s="99">
        <v>6.3929999999999998</v>
      </c>
      <c r="IR6" s="99">
        <v>5.593</v>
      </c>
      <c r="IS6" s="99">
        <v>5.6050000000000004</v>
      </c>
      <c r="IT6" s="99">
        <v>6.1079999999999997</v>
      </c>
      <c r="IU6" s="99">
        <v>6.226</v>
      </c>
      <c r="IV6" s="99">
        <v>6.4329999999999998</v>
      </c>
      <c r="IW6" s="99">
        <v>6.718</v>
      </c>
      <c r="IX6" s="99">
        <v>6.4870000000000001</v>
      </c>
      <c r="IY6" s="99">
        <v>6.4379999999999997</v>
      </c>
      <c r="IZ6" s="99">
        <v>6.9569999999999999</v>
      </c>
      <c r="JA6" s="99">
        <v>8.2590000000000003</v>
      </c>
      <c r="JB6" s="99">
        <v>6.1079999999999997</v>
      </c>
      <c r="JC6" s="99">
        <v>5.8760000000000003</v>
      </c>
      <c r="JD6" s="99">
        <v>7.4539999999999997</v>
      </c>
      <c r="JE6" s="99">
        <v>8.7040000000000006</v>
      </c>
      <c r="JF6" s="99">
        <v>7.3330000000000002</v>
      </c>
      <c r="JG6" s="99">
        <v>6.8419999999999996</v>
      </c>
      <c r="JH6" s="99">
        <v>7.2030000000000003</v>
      </c>
      <c r="JI6" s="99">
        <v>7.52</v>
      </c>
      <c r="JJ6" s="99">
        <v>8.3979999999999997</v>
      </c>
      <c r="JK6" s="99">
        <v>7.327</v>
      </c>
      <c r="JL6" s="99">
        <v>7.2060000000000004</v>
      </c>
      <c r="JM6" s="99">
        <v>5.56</v>
      </c>
      <c r="JN6" s="99">
        <v>7.0140000000000002</v>
      </c>
      <c r="JO6" s="99">
        <v>8.2970000000000006</v>
      </c>
      <c r="JP6" s="99">
        <v>7.47</v>
      </c>
      <c r="JQ6" s="99">
        <v>5.92</v>
      </c>
      <c r="JR6" s="99">
        <v>5.8559999999999999</v>
      </c>
      <c r="JS6" s="99">
        <v>6.24</v>
      </c>
      <c r="JT6" s="99">
        <v>6.5380000000000003</v>
      </c>
      <c r="JU6" s="99">
        <v>7.6909999999999998</v>
      </c>
      <c r="JV6" s="99">
        <v>6.758</v>
      </c>
      <c r="JW6" s="99">
        <v>6.8540000000000001</v>
      </c>
      <c r="JX6" s="99">
        <v>7.2670000000000003</v>
      </c>
      <c r="JY6" s="99">
        <v>6.8259999999999996</v>
      </c>
      <c r="JZ6" s="99">
        <v>6.4820000000000002</v>
      </c>
      <c r="KA6" s="99">
        <v>6.8120000000000003</v>
      </c>
      <c r="KB6" s="99">
        <v>7.82</v>
      </c>
      <c r="KC6" s="99">
        <v>6.968</v>
      </c>
      <c r="KD6" s="99">
        <v>7.6449999999999996</v>
      </c>
      <c r="KE6" s="99">
        <v>7.923</v>
      </c>
      <c r="KF6" s="99">
        <v>7.0880000000000001</v>
      </c>
      <c r="KG6" s="99">
        <v>6.4530000000000003</v>
      </c>
      <c r="KH6" s="99">
        <v>6.23</v>
      </c>
      <c r="KI6" s="99">
        <v>6.2089999999999996</v>
      </c>
      <c r="KJ6" s="99">
        <v>6.3150000000000004</v>
      </c>
      <c r="KK6" s="99">
        <v>6.5650000000000004</v>
      </c>
      <c r="KL6" s="99">
        <v>6.8609999999999998</v>
      </c>
      <c r="KM6" s="99">
        <v>7.1479999999999997</v>
      </c>
      <c r="KN6" s="99">
        <v>6.63</v>
      </c>
      <c r="KO6" s="99">
        <v>6.1269999999999998</v>
      </c>
      <c r="KP6" s="99">
        <v>6.0090000000000003</v>
      </c>
      <c r="KQ6" s="99">
        <v>6.6779999999999999</v>
      </c>
      <c r="KR6" s="99">
        <v>6.5490000000000004</v>
      </c>
      <c r="KS6" s="99">
        <v>5.79</v>
      </c>
      <c r="KT6" s="99">
        <v>6.3449999999999998</v>
      </c>
      <c r="KU6" s="99">
        <v>7.0410000000000004</v>
      </c>
      <c r="KV6" s="99">
        <v>6.8710000000000004</v>
      </c>
      <c r="KW6" s="99">
        <v>6.59</v>
      </c>
      <c r="KX6" s="99">
        <v>6.4950000000000001</v>
      </c>
      <c r="KY6" s="99">
        <v>6.9820000000000002</v>
      </c>
      <c r="KZ6" s="99">
        <v>7.2359999999999998</v>
      </c>
      <c r="LA6" s="99">
        <v>6.6159999999999997</v>
      </c>
      <c r="LB6" s="99">
        <v>7.42</v>
      </c>
      <c r="LC6" s="99">
        <v>6.8490000000000002</v>
      </c>
      <c r="LD6" s="99">
        <v>6.6349999999999998</v>
      </c>
      <c r="LE6" s="99">
        <v>5.9720000000000004</v>
      </c>
      <c r="LF6" s="99">
        <v>4.9729999999999999</v>
      </c>
      <c r="LG6" s="99">
        <v>6.1219999999999999</v>
      </c>
      <c r="LH6" s="99">
        <v>6.0229999999999997</v>
      </c>
      <c r="LI6" s="99">
        <v>6.266</v>
      </c>
      <c r="LJ6" s="99">
        <v>6.5670000000000002</v>
      </c>
      <c r="LK6" s="99">
        <v>5.7050000000000001</v>
      </c>
      <c r="LL6" s="99">
        <v>5.9139999999999997</v>
      </c>
      <c r="LM6" s="99">
        <v>5.782</v>
      </c>
      <c r="LN6" s="99">
        <v>6.3819999999999997</v>
      </c>
      <c r="LO6" s="99">
        <v>6.1130000000000004</v>
      </c>
      <c r="LP6" s="99">
        <v>6.4260000000000002</v>
      </c>
      <c r="LQ6" s="99">
        <v>6.3760000000000003</v>
      </c>
      <c r="LR6" s="99">
        <v>6.0410000000000004</v>
      </c>
      <c r="LS6" s="99">
        <v>5.7080000000000002</v>
      </c>
      <c r="LT6" s="99">
        <v>6.415</v>
      </c>
      <c r="LU6" s="99">
        <v>6.431</v>
      </c>
      <c r="LV6" s="99">
        <v>6.3120000000000003</v>
      </c>
      <c r="LW6" s="99">
        <v>6.0830000000000002</v>
      </c>
      <c r="LX6" s="99">
        <v>5.8680000000000003</v>
      </c>
      <c r="LY6" s="99">
        <v>6.3330000000000002</v>
      </c>
      <c r="LZ6" s="99">
        <v>6.1440000000000001</v>
      </c>
      <c r="MA6" s="99">
        <v>5.7060000000000004</v>
      </c>
      <c r="MB6" s="99">
        <v>6.0309999999999997</v>
      </c>
      <c r="MC6" s="99">
        <v>6.3159999999999998</v>
      </c>
      <c r="MD6" s="99">
        <v>6.31</v>
      </c>
      <c r="ME6" s="99">
        <v>6.0369999999999999</v>
      </c>
      <c r="MF6" s="99">
        <v>5.8689999999999998</v>
      </c>
      <c r="MG6" s="99">
        <v>5.8949999999999996</v>
      </c>
      <c r="MH6" s="99">
        <v>6.0590000000000002</v>
      </c>
      <c r="MI6" s="99">
        <v>5.9850000000000003</v>
      </c>
      <c r="MJ6" s="99">
        <v>5.968</v>
      </c>
      <c r="MK6" s="99">
        <v>7.2409999999999997</v>
      </c>
      <c r="ML6" s="99">
        <v>6.54</v>
      </c>
      <c r="MM6" s="99">
        <v>6.6959999999999997</v>
      </c>
      <c r="MN6" s="99">
        <v>6.8739999999999997</v>
      </c>
      <c r="MO6" s="99">
        <v>6.0140000000000002</v>
      </c>
      <c r="MP6" s="99">
        <v>5.8979999999999997</v>
      </c>
      <c r="MQ6" s="99">
        <v>6.516</v>
      </c>
      <c r="MR6" s="99">
        <v>6.6349999999999998</v>
      </c>
      <c r="MS6" s="99">
        <v>6.9390000000000001</v>
      </c>
      <c r="MT6" s="99">
        <v>6.49</v>
      </c>
      <c r="MU6" s="99">
        <v>6.5789999999999997</v>
      </c>
      <c r="MV6" s="99">
        <v>5.8840000000000003</v>
      </c>
      <c r="MW6" s="99">
        <v>6.7279999999999998</v>
      </c>
      <c r="MX6" s="99">
        <v>5.6630000000000003</v>
      </c>
      <c r="MY6" s="99">
        <v>5.9359999999999999</v>
      </c>
      <c r="MZ6" s="99">
        <v>6.2119999999999997</v>
      </c>
      <c r="NA6" s="99">
        <v>6.3949999999999996</v>
      </c>
      <c r="NB6" s="99">
        <v>6.1269999999999998</v>
      </c>
      <c r="NC6" s="99">
        <v>6.1120000000000001</v>
      </c>
      <c r="ND6" s="99">
        <v>6.3979999999999997</v>
      </c>
      <c r="NE6" s="99">
        <v>6.2510000000000003</v>
      </c>
      <c r="NF6" s="99">
        <v>5.3620000000000001</v>
      </c>
      <c r="NG6" s="99">
        <v>5.8029999999999999</v>
      </c>
      <c r="NH6" s="99">
        <v>8.7799999999999994</v>
      </c>
      <c r="NI6" s="99">
        <v>3.5609999999999999</v>
      </c>
      <c r="NJ6" s="99">
        <v>4.9630000000000001</v>
      </c>
      <c r="NK6" s="99">
        <v>3.863</v>
      </c>
      <c r="NL6" s="99">
        <v>4.97</v>
      </c>
      <c r="NM6" s="99">
        <v>6.6829999999999998</v>
      </c>
      <c r="NN6" s="99">
        <v>7.016</v>
      </c>
      <c r="NO6" s="99">
        <v>6.2160000000000002</v>
      </c>
      <c r="NP6" s="99">
        <v>5.875</v>
      </c>
      <c r="NQ6" s="99">
        <v>4.9059999999999997</v>
      </c>
      <c r="NR6" s="99">
        <v>4.1379999999999999</v>
      </c>
      <c r="NS6" s="99">
        <v>7.3129999999999997</v>
      </c>
      <c r="NT6" s="99">
        <v>6.649</v>
      </c>
      <c r="NU6" s="99">
        <v>6.7939999999999996</v>
      </c>
      <c r="NV6" s="99">
        <v>6.38</v>
      </c>
      <c r="NW6" s="99">
        <v>6.2229999999999999</v>
      </c>
      <c r="NX6" s="99">
        <v>6.968</v>
      </c>
      <c r="NY6" s="99">
        <v>6.5449999999999999</v>
      </c>
      <c r="NZ6" s="99">
        <v>5.5359999999999996</v>
      </c>
      <c r="OA6" s="99">
        <v>5.52</v>
      </c>
      <c r="OB6" s="99">
        <v>4.3680000000000003</v>
      </c>
      <c r="OC6" s="99">
        <v>5.2770000000000001</v>
      </c>
      <c r="OD6" s="99">
        <v>4.6520000000000001</v>
      </c>
      <c r="OE6" s="99">
        <v>5</v>
      </c>
      <c r="OF6" s="99">
        <v>4.88</v>
      </c>
      <c r="OG6" s="99">
        <v>5.39</v>
      </c>
      <c r="OH6" s="99">
        <v>5.7130000000000001</v>
      </c>
      <c r="OI6" s="99">
        <v>6.0510000000000002</v>
      </c>
      <c r="OJ6" s="99">
        <v>5.0359999999999996</v>
      </c>
      <c r="OK6" s="99">
        <v>6.1929999999999996</v>
      </c>
      <c r="OL6" s="99">
        <v>5.8869999999999996</v>
      </c>
      <c r="OM6" s="99">
        <v>6.4710000000000001</v>
      </c>
      <c r="ON6" s="99">
        <v>6.4050000000000002</v>
      </c>
      <c r="OO6" s="99">
        <v>5.7469999999999999</v>
      </c>
      <c r="OP6" s="99">
        <v>5.4530000000000003</v>
      </c>
      <c r="OQ6" s="99">
        <v>5.8520000000000003</v>
      </c>
      <c r="OR6" s="99">
        <v>5.9870000000000001</v>
      </c>
      <c r="OS6" s="99">
        <v>6.343</v>
      </c>
      <c r="OT6" s="99">
        <v>6.4039999999999999</v>
      </c>
      <c r="OU6" s="99">
        <v>5.3490000000000002</v>
      </c>
      <c r="OV6" s="99">
        <v>5.5309999999999997</v>
      </c>
      <c r="OW6" s="99">
        <v>5.6829999999999998</v>
      </c>
      <c r="OX6" s="99">
        <v>4.1379999999999999</v>
      </c>
      <c r="OY6" s="99">
        <v>5.6079999999999997</v>
      </c>
      <c r="OZ6" s="99">
        <v>5.617</v>
      </c>
      <c r="PA6" s="99">
        <v>6.8520000000000003</v>
      </c>
      <c r="PB6" s="99">
        <v>5.7569999999999997</v>
      </c>
      <c r="PC6" s="99">
        <v>6.657</v>
      </c>
      <c r="PD6" s="99">
        <v>4.6280000000000001</v>
      </c>
      <c r="PE6" s="99">
        <v>5.1550000000000002</v>
      </c>
      <c r="PF6" s="99">
        <v>4.5190000000000001</v>
      </c>
      <c r="PG6" s="99">
        <v>6.4340000000000002</v>
      </c>
      <c r="PH6" s="99">
        <v>6.782</v>
      </c>
      <c r="PI6" s="99">
        <v>5.3040000000000003</v>
      </c>
      <c r="PJ6" s="99">
        <v>5.9569999999999999</v>
      </c>
      <c r="PK6" s="99">
        <v>6.8239999999999998</v>
      </c>
      <c r="PL6" s="99">
        <v>6.4109999999999996</v>
      </c>
      <c r="PM6" s="99">
        <v>6.0060000000000002</v>
      </c>
      <c r="PN6" s="99">
        <v>5.6479999999999997</v>
      </c>
      <c r="PO6" s="99">
        <v>6.1029999999999998</v>
      </c>
      <c r="PP6" s="99">
        <v>5.5650000000000004</v>
      </c>
      <c r="PQ6" s="99">
        <v>5.8959999999999999</v>
      </c>
      <c r="PR6" s="99">
        <v>5.8369999999999997</v>
      </c>
      <c r="PS6" s="99">
        <v>6.202</v>
      </c>
      <c r="PT6" s="99">
        <v>6.1929999999999996</v>
      </c>
      <c r="PU6" s="99">
        <v>6.38</v>
      </c>
      <c r="PV6" s="99">
        <v>6.3479999999999999</v>
      </c>
      <c r="PW6" s="99">
        <v>6.8330000000000002</v>
      </c>
      <c r="PX6" s="99">
        <v>6.4249999999999998</v>
      </c>
      <c r="PY6" s="99">
        <v>6.4359999999999999</v>
      </c>
      <c r="PZ6" s="99">
        <v>6.2080000000000002</v>
      </c>
      <c r="QA6" s="99">
        <v>6.6289999999999996</v>
      </c>
      <c r="QB6" s="99">
        <v>6.4610000000000003</v>
      </c>
      <c r="QC6" s="99">
        <v>6.1520000000000001</v>
      </c>
      <c r="QD6" s="99">
        <v>5.9349999999999996</v>
      </c>
      <c r="QE6" s="99">
        <v>5.6269999999999998</v>
      </c>
      <c r="QF6" s="99">
        <v>5.8179999999999996</v>
      </c>
      <c r="QG6" s="99">
        <v>6.4059999999999997</v>
      </c>
      <c r="QH6" s="99">
        <v>6.2190000000000003</v>
      </c>
      <c r="QI6" s="99">
        <v>6.4850000000000003</v>
      </c>
      <c r="QJ6" s="99">
        <v>5.8540000000000001</v>
      </c>
      <c r="QK6" s="99">
        <v>6.4589999999999996</v>
      </c>
      <c r="QL6" s="99">
        <v>6.3410000000000002</v>
      </c>
      <c r="QM6" s="99">
        <v>6.2510000000000003</v>
      </c>
      <c r="QN6" s="99">
        <v>6.1849999999999996</v>
      </c>
      <c r="QO6" s="99">
        <v>6.4169999999999998</v>
      </c>
      <c r="QP6" s="99">
        <v>6.7489999999999997</v>
      </c>
      <c r="QQ6" s="99">
        <v>6.6550000000000002</v>
      </c>
      <c r="QR6" s="99">
        <v>6.2969999999999997</v>
      </c>
      <c r="QS6" s="99">
        <v>7.3929999999999998</v>
      </c>
      <c r="QT6" s="99">
        <v>6.7279999999999998</v>
      </c>
      <c r="QU6" s="99">
        <v>6.5250000000000004</v>
      </c>
      <c r="QV6" s="99">
        <v>5.976</v>
      </c>
      <c r="QW6" s="99">
        <v>5.9359999999999999</v>
      </c>
      <c r="QX6" s="99">
        <v>6.3010000000000002</v>
      </c>
      <c r="QY6" s="99">
        <v>6.0810000000000004</v>
      </c>
      <c r="QZ6" s="99">
        <v>6.7009999999999996</v>
      </c>
      <c r="RA6" s="99">
        <v>6.3760000000000003</v>
      </c>
      <c r="RB6" s="99">
        <v>6.3170000000000002</v>
      </c>
      <c r="RC6" s="99">
        <v>6.5129999999999999</v>
      </c>
      <c r="RD6" s="99">
        <v>6.2089999999999996</v>
      </c>
      <c r="RE6" s="99">
        <v>5.7590000000000003</v>
      </c>
      <c r="RF6" s="99">
        <v>5.952</v>
      </c>
      <c r="RG6" s="99">
        <v>6.0030000000000001</v>
      </c>
      <c r="RH6" s="99">
        <v>5.9260000000000002</v>
      </c>
      <c r="RI6" s="99">
        <v>5.7130000000000001</v>
      </c>
      <c r="RJ6" s="99">
        <v>6.1669999999999998</v>
      </c>
      <c r="RK6" s="99">
        <v>6.2290000000000001</v>
      </c>
      <c r="RL6" s="99">
        <v>6.4370000000000003</v>
      </c>
      <c r="RM6" s="99">
        <v>6.98</v>
      </c>
      <c r="RN6" s="99">
        <v>5.4269999999999996</v>
      </c>
      <c r="RO6" s="99">
        <v>6.1619999999999999</v>
      </c>
      <c r="RP6" s="99">
        <v>6.484</v>
      </c>
      <c r="RQ6" s="99">
        <v>5.3040000000000003</v>
      </c>
      <c r="RR6" s="99">
        <v>6.1849999999999996</v>
      </c>
      <c r="RS6" s="99">
        <v>6.2290000000000001</v>
      </c>
      <c r="RT6" s="99">
        <v>6.242</v>
      </c>
      <c r="RU6" s="99">
        <v>6.75</v>
      </c>
      <c r="RV6" s="99">
        <v>7.0609999999999999</v>
      </c>
      <c r="RW6" s="99">
        <v>5.7619999999999996</v>
      </c>
      <c r="RX6" s="99">
        <v>5.8710000000000004</v>
      </c>
      <c r="RY6" s="99">
        <v>6.3120000000000003</v>
      </c>
      <c r="RZ6" s="99">
        <v>6.1139999999999999</v>
      </c>
      <c r="SA6" s="99">
        <v>5.9050000000000002</v>
      </c>
      <c r="SB6" s="99">
        <v>5.4539999999999997</v>
      </c>
      <c r="SC6" s="99">
        <v>5.4139999999999997</v>
      </c>
      <c r="SD6" s="99">
        <v>5.093</v>
      </c>
      <c r="SE6" s="99">
        <v>5.9829999999999997</v>
      </c>
      <c r="SF6" s="99">
        <v>5.9829999999999997</v>
      </c>
      <c r="SG6" s="99">
        <v>5.7069999999999999</v>
      </c>
      <c r="SH6" s="99">
        <v>5.9260000000000002</v>
      </c>
      <c r="SI6" s="99">
        <v>5.67</v>
      </c>
      <c r="SJ6" s="99">
        <v>5.39</v>
      </c>
      <c r="SK6" s="99">
        <v>5.7939999999999996</v>
      </c>
      <c r="SL6" s="99">
        <v>6.0190000000000001</v>
      </c>
      <c r="SM6" s="99">
        <v>5.569</v>
      </c>
      <c r="SN6" s="99">
        <v>6.0270000000000001</v>
      </c>
      <c r="SO6" s="99">
        <v>6.593</v>
      </c>
      <c r="SP6" s="99">
        <v>6.12</v>
      </c>
      <c r="SQ6" s="99">
        <v>6.976</v>
      </c>
      <c r="SR6" s="99">
        <v>6.7939999999999996</v>
      </c>
      <c r="SS6" s="99">
        <v>6.03</v>
      </c>
    </row>
    <row r="7" spans="1:513">
      <c r="A7">
        <v>1</v>
      </c>
      <c r="B7">
        <v>7.1849999999999996</v>
      </c>
      <c r="C7">
        <v>17.8</v>
      </c>
      <c r="D7">
        <v>4.03</v>
      </c>
      <c r="E7">
        <v>34.700000000000003</v>
      </c>
      <c r="F7" s="99">
        <f t="shared" si="0"/>
        <v>32.139172581052208</v>
      </c>
      <c r="G7" s="92"/>
      <c r="H7" s="99">
        <v>15.3</v>
      </c>
      <c r="I7" s="99">
        <v>17.8</v>
      </c>
      <c r="J7" s="99">
        <v>17.8</v>
      </c>
      <c r="K7" s="99">
        <v>18.7</v>
      </c>
      <c r="L7" s="99">
        <v>18.7</v>
      </c>
      <c r="M7" s="99">
        <v>18.7</v>
      </c>
      <c r="N7" s="99">
        <v>15.2</v>
      </c>
      <c r="O7" s="99">
        <v>15.2</v>
      </c>
      <c r="P7" s="99">
        <v>15.2</v>
      </c>
      <c r="Q7" s="99">
        <v>15.2</v>
      </c>
      <c r="R7" s="99">
        <v>15.2</v>
      </c>
      <c r="S7" s="99">
        <v>15.2</v>
      </c>
      <c r="T7" s="99">
        <v>15.2</v>
      </c>
      <c r="U7" s="99">
        <v>21</v>
      </c>
      <c r="V7" s="99">
        <v>21</v>
      </c>
      <c r="W7" s="99">
        <v>21</v>
      </c>
      <c r="X7" s="99">
        <v>21</v>
      </c>
      <c r="Y7" s="99">
        <v>21</v>
      </c>
      <c r="Z7" s="99">
        <v>21</v>
      </c>
      <c r="AA7" s="99">
        <v>21</v>
      </c>
      <c r="AB7" s="99">
        <v>21</v>
      </c>
      <c r="AC7" s="99">
        <v>21</v>
      </c>
      <c r="AD7" s="99">
        <v>21</v>
      </c>
      <c r="AE7" s="99">
        <v>21</v>
      </c>
      <c r="AF7" s="99">
        <v>21</v>
      </c>
      <c r="AG7" s="99">
        <v>21</v>
      </c>
      <c r="AH7" s="99">
        <v>21</v>
      </c>
      <c r="AI7" s="99">
        <v>21</v>
      </c>
      <c r="AJ7" s="99">
        <v>21</v>
      </c>
      <c r="AK7" s="99">
        <v>21</v>
      </c>
      <c r="AL7" s="99">
        <v>21</v>
      </c>
      <c r="AM7" s="99">
        <v>21</v>
      </c>
      <c r="AN7" s="99">
        <v>21</v>
      </c>
      <c r="AO7" s="99">
        <v>21</v>
      </c>
      <c r="AP7" s="99">
        <v>21</v>
      </c>
      <c r="AQ7" s="99">
        <v>19.2</v>
      </c>
      <c r="AR7" s="99">
        <v>19.2</v>
      </c>
      <c r="AS7" s="99">
        <v>19.2</v>
      </c>
      <c r="AT7" s="99">
        <v>19.2</v>
      </c>
      <c r="AU7" s="99">
        <v>18.3</v>
      </c>
      <c r="AV7" s="99">
        <v>18.3</v>
      </c>
      <c r="AW7" s="99">
        <v>17.899999999999999</v>
      </c>
      <c r="AX7" s="99">
        <v>17.899999999999999</v>
      </c>
      <c r="AY7" s="99">
        <v>17.899999999999999</v>
      </c>
      <c r="AZ7" s="99">
        <v>17.899999999999999</v>
      </c>
      <c r="BA7" s="99">
        <v>17.899999999999999</v>
      </c>
      <c r="BB7" s="99">
        <v>17.899999999999999</v>
      </c>
      <c r="BC7" s="99">
        <v>17.899999999999999</v>
      </c>
      <c r="BD7" s="99">
        <v>17.899999999999999</v>
      </c>
      <c r="BE7" s="99">
        <v>17.899999999999999</v>
      </c>
      <c r="BF7" s="99">
        <v>16.8</v>
      </c>
      <c r="BG7" s="99">
        <v>16.8</v>
      </c>
      <c r="BH7" s="99">
        <v>16.8</v>
      </c>
      <c r="BI7" s="99">
        <v>16.8</v>
      </c>
      <c r="BJ7" s="99">
        <v>21.1</v>
      </c>
      <c r="BK7" s="99">
        <v>17.899999999999999</v>
      </c>
      <c r="BL7" s="99">
        <v>17.3</v>
      </c>
      <c r="BM7" s="99">
        <v>15.1</v>
      </c>
      <c r="BN7" s="99">
        <v>19.7</v>
      </c>
      <c r="BO7" s="99">
        <v>19.7</v>
      </c>
      <c r="BP7" s="99">
        <v>19.7</v>
      </c>
      <c r="BQ7" s="99">
        <v>19.7</v>
      </c>
      <c r="BR7" s="99">
        <v>19.7</v>
      </c>
      <c r="BS7" s="99">
        <v>19.7</v>
      </c>
      <c r="BT7" s="99">
        <v>18.600000000000001</v>
      </c>
      <c r="BU7" s="99">
        <v>16.100000000000001</v>
      </c>
      <c r="BV7" s="99">
        <v>16.100000000000001</v>
      </c>
      <c r="BW7" s="99">
        <v>18.899999999999999</v>
      </c>
      <c r="BX7" s="99">
        <v>18.899999999999999</v>
      </c>
      <c r="BY7" s="99">
        <v>18.899999999999999</v>
      </c>
      <c r="BZ7" s="99">
        <v>19.2</v>
      </c>
      <c r="CA7" s="99">
        <v>19.2</v>
      </c>
      <c r="CB7" s="99">
        <v>19.2</v>
      </c>
      <c r="CC7" s="99">
        <v>19.2</v>
      </c>
      <c r="CD7" s="99">
        <v>18.7</v>
      </c>
      <c r="CE7" s="99">
        <v>18.7</v>
      </c>
      <c r="CF7" s="99">
        <v>18.7</v>
      </c>
      <c r="CG7" s="99">
        <v>18.7</v>
      </c>
      <c r="CH7" s="99">
        <v>18.7</v>
      </c>
      <c r="CI7" s="99">
        <v>18.7</v>
      </c>
      <c r="CJ7" s="99">
        <v>19</v>
      </c>
      <c r="CK7" s="99">
        <v>19</v>
      </c>
      <c r="CL7" s="99">
        <v>19</v>
      </c>
      <c r="CM7" s="99">
        <v>19</v>
      </c>
      <c r="CN7" s="99">
        <v>18.5</v>
      </c>
      <c r="CO7" s="99">
        <v>18.5</v>
      </c>
      <c r="CP7" s="99">
        <v>18.5</v>
      </c>
      <c r="CQ7" s="99">
        <v>18.5</v>
      </c>
      <c r="CR7" s="99">
        <v>17.8</v>
      </c>
      <c r="CS7" s="99">
        <v>17.8</v>
      </c>
      <c r="CT7" s="99">
        <v>17.8</v>
      </c>
      <c r="CU7" s="99">
        <v>17.8</v>
      </c>
      <c r="CV7" s="99">
        <v>18.2</v>
      </c>
      <c r="CW7" s="99">
        <v>18.2</v>
      </c>
      <c r="CX7" s="99">
        <v>18.2</v>
      </c>
      <c r="CY7" s="99">
        <v>18</v>
      </c>
      <c r="CZ7" s="99">
        <v>18</v>
      </c>
      <c r="DA7" s="99">
        <v>18</v>
      </c>
      <c r="DB7" s="99">
        <v>18</v>
      </c>
      <c r="DC7" s="99">
        <v>18</v>
      </c>
      <c r="DD7" s="99">
        <v>20.9</v>
      </c>
      <c r="DE7" s="99">
        <v>20.9</v>
      </c>
      <c r="DF7" s="99">
        <v>20.9</v>
      </c>
      <c r="DG7" s="99">
        <v>20.9</v>
      </c>
      <c r="DH7" s="99">
        <v>20.9</v>
      </c>
      <c r="DI7" s="99">
        <v>20.9</v>
      </c>
      <c r="DJ7" s="99">
        <v>20.9</v>
      </c>
      <c r="DK7" s="99">
        <v>20.9</v>
      </c>
      <c r="DL7" s="99">
        <v>20.9</v>
      </c>
      <c r="DM7" s="99">
        <v>20.9</v>
      </c>
      <c r="DN7" s="99">
        <v>20.9</v>
      </c>
      <c r="DO7" s="99">
        <v>17.8</v>
      </c>
      <c r="DP7" s="99">
        <v>17.8</v>
      </c>
      <c r="DQ7" s="99">
        <v>17.8</v>
      </c>
      <c r="DR7" s="99">
        <v>17.8</v>
      </c>
      <c r="DS7" s="99">
        <v>17.8</v>
      </c>
      <c r="DT7" s="99">
        <v>17.8</v>
      </c>
      <c r="DU7" s="99">
        <v>17.8</v>
      </c>
      <c r="DV7" s="99">
        <v>17.8</v>
      </c>
      <c r="DW7" s="99">
        <v>17.8</v>
      </c>
      <c r="DX7" s="99">
        <v>19.100000000000001</v>
      </c>
      <c r="DY7" s="99">
        <v>19.100000000000001</v>
      </c>
      <c r="DZ7" s="99">
        <v>19.100000000000001</v>
      </c>
      <c r="EA7" s="99">
        <v>19.100000000000001</v>
      </c>
      <c r="EB7" s="99">
        <v>19.100000000000001</v>
      </c>
      <c r="EC7" s="99">
        <v>19.100000000000001</v>
      </c>
      <c r="ED7" s="99">
        <v>19.100000000000001</v>
      </c>
      <c r="EE7" s="99">
        <v>21.2</v>
      </c>
      <c r="EF7" s="99">
        <v>21.2</v>
      </c>
      <c r="EG7" s="99">
        <v>21.2</v>
      </c>
      <c r="EH7" s="99">
        <v>21.2</v>
      </c>
      <c r="EI7" s="99">
        <v>21.2</v>
      </c>
      <c r="EJ7" s="99">
        <v>21.2</v>
      </c>
      <c r="EK7" s="99">
        <v>21.2</v>
      </c>
      <c r="EL7" s="99">
        <v>21.2</v>
      </c>
      <c r="EM7" s="99">
        <v>21.2</v>
      </c>
      <c r="EN7" s="99">
        <v>21.2</v>
      </c>
      <c r="EO7" s="99">
        <v>21.2</v>
      </c>
      <c r="EP7" s="99">
        <v>21.2</v>
      </c>
      <c r="EQ7" s="99">
        <v>21.2</v>
      </c>
      <c r="ER7" s="99">
        <v>21.2</v>
      </c>
      <c r="ES7" s="99">
        <v>21.2</v>
      </c>
      <c r="ET7" s="99">
        <v>14.7</v>
      </c>
      <c r="EU7" s="99">
        <v>14.7</v>
      </c>
      <c r="EV7" s="99">
        <v>14.7</v>
      </c>
      <c r="EW7" s="99">
        <v>14.7</v>
      </c>
      <c r="EX7" s="99">
        <v>14.7</v>
      </c>
      <c r="EY7" s="99">
        <v>14.7</v>
      </c>
      <c r="EZ7" s="99">
        <v>14.7</v>
      </c>
      <c r="FA7" s="99">
        <v>14.7</v>
      </c>
      <c r="FB7" s="99">
        <v>14.7</v>
      </c>
      <c r="FC7" s="99">
        <v>14.7</v>
      </c>
      <c r="FD7" s="99">
        <v>14.7</v>
      </c>
      <c r="FE7" s="99">
        <v>14.7</v>
      </c>
      <c r="FF7" s="99">
        <v>14.7</v>
      </c>
      <c r="FG7" s="99">
        <v>14.7</v>
      </c>
      <c r="FH7" s="99">
        <v>14.7</v>
      </c>
      <c r="FI7" s="99">
        <v>14.7</v>
      </c>
      <c r="FJ7" s="99">
        <v>14.7</v>
      </c>
      <c r="FK7" s="99">
        <v>14.7</v>
      </c>
      <c r="FL7" s="99">
        <v>14.7</v>
      </c>
      <c r="FM7" s="99">
        <v>14.7</v>
      </c>
      <c r="FN7" s="99">
        <v>14.7</v>
      </c>
      <c r="FO7" s="99">
        <v>14.7</v>
      </c>
      <c r="FP7" s="99">
        <v>14.7</v>
      </c>
      <c r="FQ7" s="99">
        <v>14.7</v>
      </c>
      <c r="FR7" s="99">
        <v>14.7</v>
      </c>
      <c r="FS7" s="99">
        <v>14.7</v>
      </c>
      <c r="FT7" s="99">
        <v>14.7</v>
      </c>
      <c r="FU7" s="99">
        <v>14.7</v>
      </c>
      <c r="FV7" s="99">
        <v>14.7</v>
      </c>
      <c r="FW7" s="99">
        <v>14.7</v>
      </c>
      <c r="FX7" s="99">
        <v>16.600000000000001</v>
      </c>
      <c r="FY7" s="99">
        <v>16.600000000000001</v>
      </c>
      <c r="FZ7" s="99">
        <v>16.600000000000001</v>
      </c>
      <c r="GA7" s="99">
        <v>16.600000000000001</v>
      </c>
      <c r="GB7" s="99">
        <v>16.600000000000001</v>
      </c>
      <c r="GC7" s="99">
        <v>16.600000000000001</v>
      </c>
      <c r="GD7" s="99">
        <v>16.600000000000001</v>
      </c>
      <c r="GE7" s="99">
        <v>17.8</v>
      </c>
      <c r="GF7" s="99">
        <v>17.8</v>
      </c>
      <c r="GG7" s="99">
        <v>17.8</v>
      </c>
      <c r="GH7" s="99">
        <v>17.8</v>
      </c>
      <c r="GI7" s="99">
        <v>17.8</v>
      </c>
      <c r="GJ7" s="99">
        <v>17.8</v>
      </c>
      <c r="GK7" s="99">
        <v>17.8</v>
      </c>
      <c r="GL7" s="99">
        <v>17.8</v>
      </c>
      <c r="GM7" s="99">
        <v>15.2</v>
      </c>
      <c r="GN7" s="99">
        <v>15.2</v>
      </c>
      <c r="GO7" s="99">
        <v>15.2</v>
      </c>
      <c r="GP7" s="99">
        <v>15.2</v>
      </c>
      <c r="GQ7" s="99">
        <v>15.2</v>
      </c>
      <c r="GR7" s="99">
        <v>15.2</v>
      </c>
      <c r="GS7" s="99">
        <v>15.6</v>
      </c>
      <c r="GT7" s="99">
        <v>15.6</v>
      </c>
      <c r="GU7" s="99">
        <v>14.4</v>
      </c>
      <c r="GV7" s="99">
        <v>12.6</v>
      </c>
      <c r="GW7" s="99">
        <v>12.6</v>
      </c>
      <c r="GX7" s="99">
        <v>12.6</v>
      </c>
      <c r="GY7" s="99">
        <v>17</v>
      </c>
      <c r="GZ7" s="99">
        <v>17</v>
      </c>
      <c r="HA7" s="99">
        <v>14.7</v>
      </c>
      <c r="HB7" s="99">
        <v>14.7</v>
      </c>
      <c r="HC7" s="99">
        <v>14.7</v>
      </c>
      <c r="HD7" s="99">
        <v>14.7</v>
      </c>
      <c r="HE7" s="99">
        <v>18.600000000000001</v>
      </c>
      <c r="HF7" s="99">
        <v>18.600000000000001</v>
      </c>
      <c r="HG7" s="99">
        <v>18.600000000000001</v>
      </c>
      <c r="HH7" s="99">
        <v>18.600000000000001</v>
      </c>
      <c r="HI7" s="99">
        <v>18.600000000000001</v>
      </c>
      <c r="HJ7" s="99">
        <v>18.600000000000001</v>
      </c>
      <c r="HK7" s="99">
        <v>18.600000000000001</v>
      </c>
      <c r="HL7" s="99">
        <v>18.600000000000001</v>
      </c>
      <c r="HM7" s="99">
        <v>18.600000000000001</v>
      </c>
      <c r="HN7" s="99">
        <v>18.600000000000001</v>
      </c>
      <c r="HO7" s="99">
        <v>18.600000000000001</v>
      </c>
      <c r="HP7" s="99">
        <v>16.399999999999999</v>
      </c>
      <c r="HQ7" s="99">
        <v>16.399999999999999</v>
      </c>
      <c r="HR7" s="99">
        <v>16.399999999999999</v>
      </c>
      <c r="HS7" s="99">
        <v>16.399999999999999</v>
      </c>
      <c r="HT7" s="99">
        <v>17.399999999999999</v>
      </c>
      <c r="HU7" s="99">
        <v>17.399999999999999</v>
      </c>
      <c r="HV7" s="99">
        <v>17.399999999999999</v>
      </c>
      <c r="HW7" s="99">
        <v>17.399999999999999</v>
      </c>
      <c r="HX7" s="99">
        <v>17.399999999999999</v>
      </c>
      <c r="HY7" s="99">
        <v>17.399999999999999</v>
      </c>
      <c r="HZ7" s="99">
        <v>17.399999999999999</v>
      </c>
      <c r="IA7" s="99">
        <v>17.399999999999999</v>
      </c>
      <c r="IB7" s="99">
        <v>17.399999999999999</v>
      </c>
      <c r="IC7" s="99">
        <v>17.399999999999999</v>
      </c>
      <c r="ID7" s="99">
        <v>17.399999999999999</v>
      </c>
      <c r="IE7" s="99">
        <v>17.399999999999999</v>
      </c>
      <c r="IF7" s="99">
        <v>17.399999999999999</v>
      </c>
      <c r="IG7" s="99">
        <v>17.399999999999999</v>
      </c>
      <c r="IH7" s="99">
        <v>17.399999999999999</v>
      </c>
      <c r="II7" s="99">
        <v>17.399999999999999</v>
      </c>
      <c r="IJ7" s="99">
        <v>17.399999999999999</v>
      </c>
      <c r="IK7" s="99">
        <v>17.399999999999999</v>
      </c>
      <c r="IL7" s="99">
        <v>16.600000000000001</v>
      </c>
      <c r="IM7" s="99">
        <v>16.600000000000001</v>
      </c>
      <c r="IN7" s="99">
        <v>16.600000000000001</v>
      </c>
      <c r="IO7" s="99">
        <v>16.600000000000001</v>
      </c>
      <c r="IP7" s="99">
        <v>16.600000000000001</v>
      </c>
      <c r="IQ7" s="99">
        <v>16.600000000000001</v>
      </c>
      <c r="IR7" s="99">
        <v>19.100000000000001</v>
      </c>
      <c r="IS7" s="99">
        <v>19.100000000000001</v>
      </c>
      <c r="IT7" s="99">
        <v>19.100000000000001</v>
      </c>
      <c r="IU7" s="99">
        <v>19.100000000000001</v>
      </c>
      <c r="IV7" s="99">
        <v>19.100000000000001</v>
      </c>
      <c r="IW7" s="99">
        <v>19.100000000000001</v>
      </c>
      <c r="IX7" s="99">
        <v>19.100000000000001</v>
      </c>
      <c r="IY7" s="99">
        <v>19.100000000000001</v>
      </c>
      <c r="IZ7" s="99">
        <v>19.100000000000001</v>
      </c>
      <c r="JA7" s="99">
        <v>19.100000000000001</v>
      </c>
      <c r="JB7" s="99">
        <v>16.399999999999999</v>
      </c>
      <c r="JC7" s="99">
        <v>16.399999999999999</v>
      </c>
      <c r="JD7" s="99">
        <v>15.9</v>
      </c>
      <c r="JE7" s="99">
        <v>13</v>
      </c>
      <c r="JF7" s="99">
        <v>13</v>
      </c>
      <c r="JG7" s="99">
        <v>13</v>
      </c>
      <c r="JH7" s="99">
        <v>13</v>
      </c>
      <c r="JI7" s="99">
        <v>13</v>
      </c>
      <c r="JJ7" s="99">
        <v>13</v>
      </c>
      <c r="JK7" s="99">
        <v>13</v>
      </c>
      <c r="JL7" s="99">
        <v>13</v>
      </c>
      <c r="JM7" s="99">
        <v>13</v>
      </c>
      <c r="JN7" s="99">
        <v>13</v>
      </c>
      <c r="JO7" s="99">
        <v>13</v>
      </c>
      <c r="JP7" s="99">
        <v>13</v>
      </c>
      <c r="JQ7" s="99">
        <v>18.600000000000001</v>
      </c>
      <c r="JR7" s="99">
        <v>18.600000000000001</v>
      </c>
      <c r="JS7" s="99">
        <v>18.600000000000001</v>
      </c>
      <c r="JT7" s="99">
        <v>18.600000000000001</v>
      </c>
      <c r="JU7" s="99">
        <v>18.600000000000001</v>
      </c>
      <c r="JV7" s="99">
        <v>17.600000000000001</v>
      </c>
      <c r="JW7" s="99">
        <v>17.600000000000001</v>
      </c>
      <c r="JX7" s="99">
        <v>17.600000000000001</v>
      </c>
      <c r="JY7" s="99">
        <v>17.600000000000001</v>
      </c>
      <c r="JZ7" s="99">
        <v>17.600000000000001</v>
      </c>
      <c r="KA7" s="99">
        <v>14.9</v>
      </c>
      <c r="KB7" s="99">
        <v>14.9</v>
      </c>
      <c r="KC7" s="99">
        <v>14.9</v>
      </c>
      <c r="KD7" s="99">
        <v>14.9</v>
      </c>
      <c r="KE7" s="99">
        <v>13.6</v>
      </c>
      <c r="KF7" s="99">
        <v>15.3</v>
      </c>
      <c r="KG7" s="99">
        <v>15.3</v>
      </c>
      <c r="KH7" s="99">
        <v>18.2</v>
      </c>
      <c r="KI7" s="99">
        <v>16.600000000000001</v>
      </c>
      <c r="KJ7" s="99">
        <v>16.600000000000001</v>
      </c>
      <c r="KK7" s="99">
        <v>16.600000000000001</v>
      </c>
      <c r="KL7" s="99">
        <v>19.2</v>
      </c>
      <c r="KM7" s="99">
        <v>19.2</v>
      </c>
      <c r="KN7" s="99">
        <v>19.2</v>
      </c>
      <c r="KO7" s="99">
        <v>16</v>
      </c>
      <c r="KP7" s="99">
        <v>16</v>
      </c>
      <c r="KQ7" s="99">
        <v>16</v>
      </c>
      <c r="KR7" s="99">
        <v>16</v>
      </c>
      <c r="KS7" s="99">
        <v>16</v>
      </c>
      <c r="KT7" s="99">
        <v>14.8</v>
      </c>
      <c r="KU7" s="99">
        <v>14.8</v>
      </c>
      <c r="KV7" s="99">
        <v>14.8</v>
      </c>
      <c r="KW7" s="99">
        <v>16.100000000000001</v>
      </c>
      <c r="KX7" s="99">
        <v>16.100000000000001</v>
      </c>
      <c r="KY7" s="99">
        <v>16.100000000000001</v>
      </c>
      <c r="KZ7" s="99">
        <v>18.399999999999999</v>
      </c>
      <c r="LA7" s="99">
        <v>18.399999999999999</v>
      </c>
      <c r="LB7" s="99">
        <v>18.399999999999999</v>
      </c>
      <c r="LC7" s="99">
        <v>18.399999999999999</v>
      </c>
      <c r="LD7" s="99">
        <v>18.399999999999999</v>
      </c>
      <c r="LE7" s="99">
        <v>18.399999999999999</v>
      </c>
      <c r="LF7" s="99">
        <v>18.399999999999999</v>
      </c>
      <c r="LG7" s="99">
        <v>18.399999999999999</v>
      </c>
      <c r="LH7" s="99">
        <v>18.399999999999999</v>
      </c>
      <c r="LI7" s="99">
        <v>18.399999999999999</v>
      </c>
      <c r="LJ7" s="99">
        <v>18.399999999999999</v>
      </c>
      <c r="LK7" s="99">
        <v>18.399999999999999</v>
      </c>
      <c r="LL7" s="99">
        <v>18.399999999999999</v>
      </c>
      <c r="LM7" s="99">
        <v>18.399999999999999</v>
      </c>
      <c r="LN7" s="99">
        <v>18.399999999999999</v>
      </c>
      <c r="LO7" s="99">
        <v>18.399999999999999</v>
      </c>
      <c r="LP7" s="99">
        <v>19.600000000000001</v>
      </c>
      <c r="LQ7" s="99">
        <v>19.600000000000001</v>
      </c>
      <c r="LR7" s="99">
        <v>19.600000000000001</v>
      </c>
      <c r="LS7" s="99">
        <v>19.600000000000001</v>
      </c>
      <c r="LT7" s="99">
        <v>19.600000000000001</v>
      </c>
      <c r="LU7" s="99">
        <v>19.600000000000001</v>
      </c>
      <c r="LV7" s="99">
        <v>19.600000000000001</v>
      </c>
      <c r="LW7" s="99">
        <v>19.600000000000001</v>
      </c>
      <c r="LX7" s="99">
        <v>16.899999999999999</v>
      </c>
      <c r="LY7" s="99">
        <v>16.899999999999999</v>
      </c>
      <c r="LZ7" s="99">
        <v>16.899999999999999</v>
      </c>
      <c r="MA7" s="99">
        <v>16.899999999999999</v>
      </c>
      <c r="MB7" s="99">
        <v>16.899999999999999</v>
      </c>
      <c r="MC7" s="99">
        <v>20.2</v>
      </c>
      <c r="MD7" s="99">
        <v>20.2</v>
      </c>
      <c r="ME7" s="99">
        <v>20.2</v>
      </c>
      <c r="MF7" s="99">
        <v>20.2</v>
      </c>
      <c r="MG7" s="99">
        <v>20.2</v>
      </c>
      <c r="MH7" s="99">
        <v>20.2</v>
      </c>
      <c r="MI7" s="99">
        <v>20.2</v>
      </c>
      <c r="MJ7" s="99">
        <v>20.2</v>
      </c>
      <c r="MK7" s="99">
        <v>15.5</v>
      </c>
      <c r="ML7" s="99">
        <v>15.9</v>
      </c>
      <c r="MM7" s="99">
        <v>17.600000000000001</v>
      </c>
      <c r="MN7" s="99">
        <v>17.600000000000001</v>
      </c>
      <c r="MO7" s="99">
        <v>18.8</v>
      </c>
      <c r="MP7" s="99">
        <v>18.8</v>
      </c>
      <c r="MQ7" s="99">
        <v>17.899999999999999</v>
      </c>
      <c r="MR7" s="99">
        <v>17</v>
      </c>
      <c r="MS7" s="99">
        <v>19.7</v>
      </c>
      <c r="MT7" s="99">
        <v>19.7</v>
      </c>
      <c r="MU7" s="99">
        <v>18.3</v>
      </c>
      <c r="MV7" s="99">
        <v>18.3</v>
      </c>
      <c r="MW7" s="99">
        <v>17</v>
      </c>
      <c r="MX7" s="99">
        <v>22</v>
      </c>
      <c r="MY7" s="99">
        <v>22</v>
      </c>
      <c r="MZ7" s="99">
        <v>20.2</v>
      </c>
      <c r="NA7" s="99">
        <v>20.2</v>
      </c>
      <c r="NB7" s="99">
        <v>20.2</v>
      </c>
      <c r="NC7" s="99">
        <v>20.2</v>
      </c>
      <c r="ND7" s="99">
        <v>20.2</v>
      </c>
      <c r="NE7" s="99">
        <v>20.2</v>
      </c>
      <c r="NF7" s="99">
        <v>20.2</v>
      </c>
      <c r="NG7" s="99">
        <v>20.2</v>
      </c>
      <c r="NH7" s="99">
        <v>20.2</v>
      </c>
      <c r="NI7" s="99">
        <v>20.2</v>
      </c>
      <c r="NJ7" s="99">
        <v>20.2</v>
      </c>
      <c r="NK7" s="99">
        <v>20.2</v>
      </c>
      <c r="NL7" s="99">
        <v>20.2</v>
      </c>
      <c r="NM7" s="99">
        <v>20.2</v>
      </c>
      <c r="NN7" s="99">
        <v>20.2</v>
      </c>
      <c r="NO7" s="99">
        <v>20.2</v>
      </c>
      <c r="NP7" s="99">
        <v>20.2</v>
      </c>
      <c r="NQ7" s="99">
        <v>20.2</v>
      </c>
      <c r="NR7" s="99">
        <v>20.2</v>
      </c>
      <c r="NS7" s="99">
        <v>20.2</v>
      </c>
      <c r="NT7" s="99">
        <v>20.2</v>
      </c>
      <c r="NU7" s="99">
        <v>20.2</v>
      </c>
      <c r="NV7" s="99">
        <v>20.2</v>
      </c>
      <c r="NW7" s="99">
        <v>20.2</v>
      </c>
      <c r="NX7" s="99">
        <v>20.2</v>
      </c>
      <c r="NY7" s="99">
        <v>20.2</v>
      </c>
      <c r="NZ7" s="99">
        <v>20.2</v>
      </c>
      <c r="OA7" s="99">
        <v>20.2</v>
      </c>
      <c r="OB7" s="99">
        <v>20.2</v>
      </c>
      <c r="OC7" s="99">
        <v>20.2</v>
      </c>
      <c r="OD7" s="99">
        <v>20.2</v>
      </c>
      <c r="OE7" s="99">
        <v>20.2</v>
      </c>
      <c r="OF7" s="99">
        <v>20.2</v>
      </c>
      <c r="OG7" s="99">
        <v>20.2</v>
      </c>
      <c r="OH7" s="99">
        <v>20.2</v>
      </c>
      <c r="OI7" s="99">
        <v>20.2</v>
      </c>
      <c r="OJ7" s="99">
        <v>20.2</v>
      </c>
      <c r="OK7" s="99">
        <v>20.2</v>
      </c>
      <c r="OL7" s="99">
        <v>20.2</v>
      </c>
      <c r="OM7" s="99">
        <v>20.2</v>
      </c>
      <c r="ON7" s="99">
        <v>20.2</v>
      </c>
      <c r="OO7" s="99">
        <v>20.2</v>
      </c>
      <c r="OP7" s="99">
        <v>20.2</v>
      </c>
      <c r="OQ7" s="99">
        <v>20.2</v>
      </c>
      <c r="OR7" s="99">
        <v>20.2</v>
      </c>
      <c r="OS7" s="99">
        <v>20.2</v>
      </c>
      <c r="OT7" s="99">
        <v>20.2</v>
      </c>
      <c r="OU7" s="99">
        <v>20.2</v>
      </c>
      <c r="OV7" s="99">
        <v>20.2</v>
      </c>
      <c r="OW7" s="99">
        <v>20.2</v>
      </c>
      <c r="OX7" s="99">
        <v>20.2</v>
      </c>
      <c r="OY7" s="99">
        <v>20.2</v>
      </c>
      <c r="OZ7" s="99">
        <v>20.2</v>
      </c>
      <c r="PA7" s="99">
        <v>20.2</v>
      </c>
      <c r="PB7" s="99">
        <v>20.2</v>
      </c>
      <c r="PC7" s="99">
        <v>20.2</v>
      </c>
      <c r="PD7" s="99">
        <v>20.2</v>
      </c>
      <c r="PE7" s="99">
        <v>20.2</v>
      </c>
      <c r="PF7" s="99">
        <v>20.2</v>
      </c>
      <c r="PG7" s="99">
        <v>20.2</v>
      </c>
      <c r="PH7" s="99">
        <v>20.2</v>
      </c>
      <c r="PI7" s="99">
        <v>20.2</v>
      </c>
      <c r="PJ7" s="99">
        <v>20.2</v>
      </c>
      <c r="PK7" s="99">
        <v>20.2</v>
      </c>
      <c r="PL7" s="99">
        <v>20.2</v>
      </c>
      <c r="PM7" s="99">
        <v>20.2</v>
      </c>
      <c r="PN7" s="99">
        <v>20.2</v>
      </c>
      <c r="PO7" s="99">
        <v>20.2</v>
      </c>
      <c r="PP7" s="99">
        <v>20.2</v>
      </c>
      <c r="PQ7" s="99">
        <v>20.2</v>
      </c>
      <c r="PR7" s="99">
        <v>20.2</v>
      </c>
      <c r="PS7" s="99">
        <v>20.2</v>
      </c>
      <c r="PT7" s="99">
        <v>20.2</v>
      </c>
      <c r="PU7" s="99">
        <v>20.2</v>
      </c>
      <c r="PV7" s="99">
        <v>20.2</v>
      </c>
      <c r="PW7" s="99">
        <v>20.2</v>
      </c>
      <c r="PX7" s="99">
        <v>20.2</v>
      </c>
      <c r="PY7" s="99">
        <v>20.2</v>
      </c>
      <c r="PZ7" s="99">
        <v>20.2</v>
      </c>
      <c r="QA7" s="99">
        <v>20.2</v>
      </c>
      <c r="QB7" s="99">
        <v>20.2</v>
      </c>
      <c r="QC7" s="99">
        <v>20.2</v>
      </c>
      <c r="QD7" s="99">
        <v>20.2</v>
      </c>
      <c r="QE7" s="99">
        <v>20.2</v>
      </c>
      <c r="QF7" s="99">
        <v>20.2</v>
      </c>
      <c r="QG7" s="99">
        <v>20.2</v>
      </c>
      <c r="QH7" s="99">
        <v>20.2</v>
      </c>
      <c r="QI7" s="99">
        <v>20.2</v>
      </c>
      <c r="QJ7" s="99">
        <v>20.2</v>
      </c>
      <c r="QK7" s="99">
        <v>20.2</v>
      </c>
      <c r="QL7" s="99">
        <v>20.2</v>
      </c>
      <c r="QM7" s="99">
        <v>20.2</v>
      </c>
      <c r="QN7" s="99">
        <v>20.2</v>
      </c>
      <c r="QO7" s="99">
        <v>20.2</v>
      </c>
      <c r="QP7" s="99">
        <v>20.2</v>
      </c>
      <c r="QQ7" s="99">
        <v>20.2</v>
      </c>
      <c r="QR7" s="99">
        <v>20.2</v>
      </c>
      <c r="QS7" s="99">
        <v>20.2</v>
      </c>
      <c r="QT7" s="99">
        <v>20.2</v>
      </c>
      <c r="QU7" s="99">
        <v>20.2</v>
      </c>
      <c r="QV7" s="99">
        <v>20.2</v>
      </c>
      <c r="QW7" s="99">
        <v>20.2</v>
      </c>
      <c r="QX7" s="99">
        <v>20.2</v>
      </c>
      <c r="QY7" s="99">
        <v>20.2</v>
      </c>
      <c r="QZ7" s="99">
        <v>20.2</v>
      </c>
      <c r="RA7" s="99">
        <v>20.2</v>
      </c>
      <c r="RB7" s="99">
        <v>20.2</v>
      </c>
      <c r="RC7" s="99">
        <v>20.2</v>
      </c>
      <c r="RD7" s="99">
        <v>20.2</v>
      </c>
      <c r="RE7" s="99">
        <v>20.2</v>
      </c>
      <c r="RF7" s="99">
        <v>20.2</v>
      </c>
      <c r="RG7" s="99">
        <v>20.2</v>
      </c>
      <c r="RH7" s="99">
        <v>20.2</v>
      </c>
      <c r="RI7" s="99">
        <v>20.2</v>
      </c>
      <c r="RJ7" s="99">
        <v>20.2</v>
      </c>
      <c r="RK7" s="99">
        <v>20.2</v>
      </c>
      <c r="RL7" s="99">
        <v>20.2</v>
      </c>
      <c r="RM7" s="99">
        <v>20.2</v>
      </c>
      <c r="RN7" s="99">
        <v>20.2</v>
      </c>
      <c r="RO7" s="99">
        <v>20.2</v>
      </c>
      <c r="RP7" s="99">
        <v>20.2</v>
      </c>
      <c r="RQ7" s="99">
        <v>20.2</v>
      </c>
      <c r="RR7" s="99">
        <v>20.2</v>
      </c>
      <c r="RS7" s="99">
        <v>20.2</v>
      </c>
      <c r="RT7" s="99">
        <v>20.2</v>
      </c>
      <c r="RU7" s="99">
        <v>20.2</v>
      </c>
      <c r="RV7" s="99">
        <v>20.2</v>
      </c>
      <c r="RW7" s="99">
        <v>20.2</v>
      </c>
      <c r="RX7" s="99">
        <v>20.2</v>
      </c>
      <c r="RY7" s="99">
        <v>20.2</v>
      </c>
      <c r="RZ7" s="99">
        <v>20.2</v>
      </c>
      <c r="SA7" s="99">
        <v>20.2</v>
      </c>
      <c r="SB7" s="99">
        <v>20.100000000000001</v>
      </c>
      <c r="SC7" s="99">
        <v>20.100000000000001</v>
      </c>
      <c r="SD7" s="99">
        <v>20.100000000000001</v>
      </c>
      <c r="SE7" s="99">
        <v>20.100000000000001</v>
      </c>
      <c r="SF7" s="99">
        <v>20.100000000000001</v>
      </c>
      <c r="SG7" s="99">
        <v>19.2</v>
      </c>
      <c r="SH7" s="99">
        <v>19.2</v>
      </c>
      <c r="SI7" s="99">
        <v>19.2</v>
      </c>
      <c r="SJ7" s="99">
        <v>19.2</v>
      </c>
      <c r="SK7" s="99">
        <v>19.2</v>
      </c>
      <c r="SL7" s="99">
        <v>19.2</v>
      </c>
      <c r="SM7" s="99">
        <v>19.2</v>
      </c>
      <c r="SN7" s="99">
        <v>19.2</v>
      </c>
      <c r="SO7" s="99">
        <v>21</v>
      </c>
      <c r="SP7" s="99">
        <v>21</v>
      </c>
      <c r="SQ7" s="99">
        <v>21</v>
      </c>
      <c r="SR7" s="99">
        <v>21</v>
      </c>
      <c r="SS7" s="99">
        <v>21</v>
      </c>
    </row>
    <row r="8" spans="1:513">
      <c r="A8">
        <v>1</v>
      </c>
      <c r="B8">
        <v>6.9980000000000002</v>
      </c>
      <c r="C8">
        <v>18.7</v>
      </c>
      <c r="D8">
        <v>2.94</v>
      </c>
      <c r="E8">
        <v>33.4</v>
      </c>
      <c r="F8" s="99">
        <f t="shared" si="0"/>
        <v>31.08040676458937</v>
      </c>
      <c r="G8" s="92"/>
      <c r="H8" s="99">
        <v>4.9800000000000004</v>
      </c>
      <c r="I8" s="99">
        <v>9.14</v>
      </c>
      <c r="J8" s="99">
        <v>4.03</v>
      </c>
      <c r="K8" s="99">
        <v>2.94</v>
      </c>
      <c r="L8" s="99">
        <v>5.33</v>
      </c>
      <c r="M8" s="99">
        <v>5.21</v>
      </c>
      <c r="N8" s="99">
        <v>12.43</v>
      </c>
      <c r="O8" s="99">
        <v>19.149999999999999</v>
      </c>
      <c r="P8" s="99">
        <v>29.93</v>
      </c>
      <c r="Q8" s="99">
        <v>17.100000000000001</v>
      </c>
      <c r="R8" s="99">
        <v>20.45</v>
      </c>
      <c r="S8" s="99">
        <v>13.27</v>
      </c>
      <c r="T8" s="99">
        <v>15.71</v>
      </c>
      <c r="U8" s="99">
        <v>8.26</v>
      </c>
      <c r="V8" s="99">
        <v>10.26</v>
      </c>
      <c r="W8" s="99">
        <v>8.4700000000000006</v>
      </c>
      <c r="X8" s="99">
        <v>6.58</v>
      </c>
      <c r="Y8" s="99">
        <v>14.67</v>
      </c>
      <c r="Z8" s="99">
        <v>11.69</v>
      </c>
      <c r="AA8" s="99">
        <v>11.28</v>
      </c>
      <c r="AB8" s="99">
        <v>21.02</v>
      </c>
      <c r="AC8" s="99">
        <v>13.83</v>
      </c>
      <c r="AD8" s="99">
        <v>18.72</v>
      </c>
      <c r="AE8" s="99">
        <v>19.88</v>
      </c>
      <c r="AF8" s="99">
        <v>16.3</v>
      </c>
      <c r="AG8" s="99">
        <v>16.510000000000002</v>
      </c>
      <c r="AH8" s="99">
        <v>14.81</v>
      </c>
      <c r="AI8" s="99">
        <v>17.28</v>
      </c>
      <c r="AJ8" s="99">
        <v>12.8</v>
      </c>
      <c r="AK8" s="99">
        <v>11.98</v>
      </c>
      <c r="AL8" s="99">
        <v>22.6</v>
      </c>
      <c r="AM8" s="99">
        <v>13.04</v>
      </c>
      <c r="AN8" s="99">
        <v>27.71</v>
      </c>
      <c r="AO8" s="99">
        <v>18.350000000000001</v>
      </c>
      <c r="AP8" s="99">
        <v>20.34</v>
      </c>
      <c r="AQ8" s="99">
        <v>9.68</v>
      </c>
      <c r="AR8" s="99">
        <v>11.41</v>
      </c>
      <c r="AS8" s="99">
        <v>8.77</v>
      </c>
      <c r="AT8" s="99">
        <v>10.130000000000001</v>
      </c>
      <c r="AU8" s="99">
        <v>4.32</v>
      </c>
      <c r="AV8" s="99">
        <v>1.98</v>
      </c>
      <c r="AW8" s="99">
        <v>4.84</v>
      </c>
      <c r="AX8" s="99">
        <v>5.81</v>
      </c>
      <c r="AY8" s="99">
        <v>7.44</v>
      </c>
      <c r="AZ8" s="99">
        <v>9.5500000000000007</v>
      </c>
      <c r="BA8" s="99">
        <v>10.210000000000001</v>
      </c>
      <c r="BB8" s="99">
        <v>14.15</v>
      </c>
      <c r="BC8" s="99">
        <v>18.8</v>
      </c>
      <c r="BD8" s="99">
        <v>30.81</v>
      </c>
      <c r="BE8" s="99">
        <v>16.2</v>
      </c>
      <c r="BF8" s="99">
        <v>13.45</v>
      </c>
      <c r="BG8" s="99">
        <v>9.43</v>
      </c>
      <c r="BH8" s="99">
        <v>5.28</v>
      </c>
      <c r="BI8" s="99">
        <v>8.43</v>
      </c>
      <c r="BJ8" s="99">
        <v>14.8</v>
      </c>
      <c r="BK8" s="99">
        <v>4.8099999999999996</v>
      </c>
      <c r="BL8" s="99">
        <v>5.77</v>
      </c>
      <c r="BM8" s="99">
        <v>3.95</v>
      </c>
      <c r="BN8" s="99">
        <v>6.86</v>
      </c>
      <c r="BO8" s="99">
        <v>9.2200000000000006</v>
      </c>
      <c r="BP8" s="99">
        <v>13.15</v>
      </c>
      <c r="BQ8" s="99">
        <v>14.44</v>
      </c>
      <c r="BR8" s="99">
        <v>6.73</v>
      </c>
      <c r="BS8" s="99">
        <v>9.5</v>
      </c>
      <c r="BT8" s="99">
        <v>8.0500000000000007</v>
      </c>
      <c r="BU8" s="99">
        <v>4.67</v>
      </c>
      <c r="BV8" s="99">
        <v>10.24</v>
      </c>
      <c r="BW8" s="99">
        <v>8.1</v>
      </c>
      <c r="BX8" s="99">
        <v>13.09</v>
      </c>
      <c r="BY8" s="99">
        <v>8.7899999999999991</v>
      </c>
      <c r="BZ8" s="99">
        <v>6.72</v>
      </c>
      <c r="CA8" s="99">
        <v>9.8800000000000008</v>
      </c>
      <c r="CB8" s="99">
        <v>5.52</v>
      </c>
      <c r="CC8" s="99">
        <v>7.54</v>
      </c>
      <c r="CD8" s="99">
        <v>6.78</v>
      </c>
      <c r="CE8" s="99">
        <v>8.94</v>
      </c>
      <c r="CF8" s="99">
        <v>11.97</v>
      </c>
      <c r="CG8" s="99">
        <v>10.27</v>
      </c>
      <c r="CH8" s="99">
        <v>12.34</v>
      </c>
      <c r="CI8" s="99">
        <v>9.1</v>
      </c>
      <c r="CJ8" s="99">
        <v>5.29</v>
      </c>
      <c r="CK8" s="99">
        <v>7.22</v>
      </c>
      <c r="CL8" s="99">
        <v>6.72</v>
      </c>
      <c r="CM8" s="99">
        <v>7.51</v>
      </c>
      <c r="CN8" s="99">
        <v>9.6199999999999992</v>
      </c>
      <c r="CO8" s="99">
        <v>6.53</v>
      </c>
      <c r="CP8" s="99">
        <v>12.86</v>
      </c>
      <c r="CQ8" s="99">
        <v>8.44</v>
      </c>
      <c r="CR8" s="99">
        <v>5.5</v>
      </c>
      <c r="CS8" s="99">
        <v>5.7</v>
      </c>
      <c r="CT8" s="99">
        <v>8.81</v>
      </c>
      <c r="CU8" s="99">
        <v>8.1999999999999993</v>
      </c>
      <c r="CV8" s="99">
        <v>8.16</v>
      </c>
      <c r="CW8" s="99">
        <v>6.21</v>
      </c>
      <c r="CX8" s="99">
        <v>10.59</v>
      </c>
      <c r="CY8" s="99">
        <v>6.65</v>
      </c>
      <c r="CZ8" s="99">
        <v>11.34</v>
      </c>
      <c r="DA8" s="99">
        <v>4.21</v>
      </c>
      <c r="DB8" s="99">
        <v>3.57</v>
      </c>
      <c r="DC8" s="99">
        <v>6.19</v>
      </c>
      <c r="DD8" s="99">
        <v>9.42</v>
      </c>
      <c r="DE8" s="99">
        <v>7.67</v>
      </c>
      <c r="DF8" s="99">
        <v>10.63</v>
      </c>
      <c r="DG8" s="99">
        <v>13.44</v>
      </c>
      <c r="DH8" s="99">
        <v>12.33</v>
      </c>
      <c r="DI8" s="99">
        <v>16.47</v>
      </c>
      <c r="DJ8" s="99">
        <v>18.66</v>
      </c>
      <c r="DK8" s="99">
        <v>14.09</v>
      </c>
      <c r="DL8" s="99">
        <v>12.27</v>
      </c>
      <c r="DM8" s="99">
        <v>15.55</v>
      </c>
      <c r="DN8" s="99">
        <v>13</v>
      </c>
      <c r="DO8" s="99">
        <v>10.16</v>
      </c>
      <c r="DP8" s="99">
        <v>16.21</v>
      </c>
      <c r="DQ8" s="99">
        <v>17.09</v>
      </c>
      <c r="DR8" s="99">
        <v>10.45</v>
      </c>
      <c r="DS8" s="99">
        <v>15.76</v>
      </c>
      <c r="DT8" s="99">
        <v>12.04</v>
      </c>
      <c r="DU8" s="99">
        <v>10.3</v>
      </c>
      <c r="DV8" s="99">
        <v>15.37</v>
      </c>
      <c r="DW8" s="99">
        <v>13.61</v>
      </c>
      <c r="DX8" s="99">
        <v>14.37</v>
      </c>
      <c r="DY8" s="99">
        <v>14.27</v>
      </c>
      <c r="DZ8" s="99">
        <v>17.93</v>
      </c>
      <c r="EA8" s="99">
        <v>25.41</v>
      </c>
      <c r="EB8" s="99">
        <v>17.579999999999998</v>
      </c>
      <c r="EC8" s="99">
        <v>14.81</v>
      </c>
      <c r="ED8" s="99">
        <v>27.26</v>
      </c>
      <c r="EE8" s="99">
        <v>17.190000000000001</v>
      </c>
      <c r="EF8" s="99">
        <v>15.39</v>
      </c>
      <c r="EG8" s="99">
        <v>18.34</v>
      </c>
      <c r="EH8" s="99">
        <v>12.6</v>
      </c>
      <c r="EI8" s="99">
        <v>12.26</v>
      </c>
      <c r="EJ8" s="99">
        <v>11.12</v>
      </c>
      <c r="EK8" s="99">
        <v>15.03</v>
      </c>
      <c r="EL8" s="99">
        <v>17.309999999999999</v>
      </c>
      <c r="EM8" s="99">
        <v>16.96</v>
      </c>
      <c r="EN8" s="99">
        <v>16.899999999999999</v>
      </c>
      <c r="EO8" s="99">
        <v>14.59</v>
      </c>
      <c r="EP8" s="99">
        <v>21.32</v>
      </c>
      <c r="EQ8" s="99">
        <v>18.46</v>
      </c>
      <c r="ER8" s="99">
        <v>24.16</v>
      </c>
      <c r="ES8" s="99">
        <v>34.409999999999997</v>
      </c>
      <c r="ET8" s="99">
        <v>26.82</v>
      </c>
      <c r="EU8" s="99">
        <v>26.42</v>
      </c>
      <c r="EV8" s="99">
        <v>29.29</v>
      </c>
      <c r="EW8" s="99">
        <v>27.8</v>
      </c>
      <c r="EX8" s="99">
        <v>16.649999999999999</v>
      </c>
      <c r="EY8" s="99">
        <v>29.53</v>
      </c>
      <c r="EZ8" s="99">
        <v>28.32</v>
      </c>
      <c r="FA8" s="99">
        <v>21.45</v>
      </c>
      <c r="FB8" s="99">
        <v>14.1</v>
      </c>
      <c r="FC8" s="99">
        <v>13.28</v>
      </c>
      <c r="FD8" s="99">
        <v>12.12</v>
      </c>
      <c r="FE8" s="99">
        <v>15.79</v>
      </c>
      <c r="FF8" s="99">
        <v>15.12</v>
      </c>
      <c r="FG8" s="99">
        <v>15.02</v>
      </c>
      <c r="FH8" s="99">
        <v>16.14</v>
      </c>
      <c r="FI8" s="99">
        <v>4.59</v>
      </c>
      <c r="FJ8" s="99">
        <v>6.43</v>
      </c>
      <c r="FK8" s="99">
        <v>7.39</v>
      </c>
      <c r="FL8" s="99">
        <v>5.5</v>
      </c>
      <c r="FM8" s="99">
        <v>1.73</v>
      </c>
      <c r="FN8" s="99">
        <v>1.92</v>
      </c>
      <c r="FO8" s="99">
        <v>3.32</v>
      </c>
      <c r="FP8" s="99">
        <v>11.64</v>
      </c>
      <c r="FQ8" s="99">
        <v>9.81</v>
      </c>
      <c r="FR8" s="99">
        <v>3.7</v>
      </c>
      <c r="FS8" s="99">
        <v>12.14</v>
      </c>
      <c r="FT8" s="99">
        <v>11.1</v>
      </c>
      <c r="FU8" s="99">
        <v>11.32</v>
      </c>
      <c r="FV8" s="99">
        <v>14.43</v>
      </c>
      <c r="FW8" s="99">
        <v>12.03</v>
      </c>
      <c r="FX8" s="99">
        <v>14.69</v>
      </c>
      <c r="FY8" s="99">
        <v>9.0399999999999991</v>
      </c>
      <c r="FZ8" s="99">
        <v>9.64</v>
      </c>
      <c r="GA8" s="99">
        <v>5.33</v>
      </c>
      <c r="GB8" s="99">
        <v>10.11</v>
      </c>
      <c r="GC8" s="99">
        <v>6.29</v>
      </c>
      <c r="GD8" s="99">
        <v>6.92</v>
      </c>
      <c r="GE8" s="99">
        <v>5.04</v>
      </c>
      <c r="GF8" s="99">
        <v>7.56</v>
      </c>
      <c r="GG8" s="99">
        <v>9.4499999999999993</v>
      </c>
      <c r="GH8" s="99">
        <v>4.82</v>
      </c>
      <c r="GI8" s="99">
        <v>5.68</v>
      </c>
      <c r="GJ8" s="99">
        <v>13.98</v>
      </c>
      <c r="GK8" s="99">
        <v>13.15</v>
      </c>
      <c r="GL8" s="99">
        <v>4.45</v>
      </c>
      <c r="GM8" s="99">
        <v>6.68</v>
      </c>
      <c r="GN8" s="99">
        <v>4.5599999999999996</v>
      </c>
      <c r="GO8" s="99">
        <v>5.39</v>
      </c>
      <c r="GP8" s="99">
        <v>5.0999999999999996</v>
      </c>
      <c r="GQ8" s="99">
        <v>4.6900000000000004</v>
      </c>
      <c r="GR8" s="99">
        <v>2.87</v>
      </c>
      <c r="GS8" s="99">
        <v>5.03</v>
      </c>
      <c r="GT8" s="99">
        <v>4.38</v>
      </c>
      <c r="GU8" s="99">
        <v>2.97</v>
      </c>
      <c r="GV8" s="99">
        <v>4.08</v>
      </c>
      <c r="GW8" s="99">
        <v>8.61</v>
      </c>
      <c r="GX8" s="99">
        <v>6.62</v>
      </c>
      <c r="GY8" s="99">
        <v>4.5599999999999996</v>
      </c>
      <c r="GZ8" s="99">
        <v>4.45</v>
      </c>
      <c r="HA8" s="99">
        <v>7.43</v>
      </c>
      <c r="HB8" s="99">
        <v>3.11</v>
      </c>
      <c r="HC8" s="99">
        <v>3.81</v>
      </c>
      <c r="HD8" s="99">
        <v>2.88</v>
      </c>
      <c r="HE8" s="99">
        <v>10.87</v>
      </c>
      <c r="HF8" s="99">
        <v>10.97</v>
      </c>
      <c r="HG8" s="99">
        <v>18.059999999999999</v>
      </c>
      <c r="HH8" s="99">
        <v>14.66</v>
      </c>
      <c r="HI8" s="99">
        <v>23.09</v>
      </c>
      <c r="HJ8" s="99">
        <v>17.27</v>
      </c>
      <c r="HK8" s="99">
        <v>23.98</v>
      </c>
      <c r="HL8" s="99">
        <v>16.03</v>
      </c>
      <c r="HM8" s="99">
        <v>9.3800000000000008</v>
      </c>
      <c r="HN8" s="99">
        <v>29.55</v>
      </c>
      <c r="HO8" s="99">
        <v>9.4700000000000006</v>
      </c>
      <c r="HP8" s="99">
        <v>13.51</v>
      </c>
      <c r="HQ8" s="99">
        <v>9.69</v>
      </c>
      <c r="HR8" s="99">
        <v>17.920000000000002</v>
      </c>
      <c r="HS8" s="99">
        <v>10.5</v>
      </c>
      <c r="HT8" s="99">
        <v>9.7100000000000009</v>
      </c>
      <c r="HU8" s="99">
        <v>21.46</v>
      </c>
      <c r="HV8" s="99">
        <v>9.93</v>
      </c>
      <c r="HW8" s="99">
        <v>7.6</v>
      </c>
      <c r="HX8" s="99">
        <v>4.1399999999999997</v>
      </c>
      <c r="HY8" s="99">
        <v>4.63</v>
      </c>
      <c r="HZ8" s="99">
        <v>3.13</v>
      </c>
      <c r="IA8" s="99">
        <v>6.36</v>
      </c>
      <c r="IB8" s="99">
        <v>3.92</v>
      </c>
      <c r="IC8" s="99">
        <v>3.76</v>
      </c>
      <c r="ID8" s="99">
        <v>11.65</v>
      </c>
      <c r="IE8" s="99">
        <v>5.25</v>
      </c>
      <c r="IF8" s="99">
        <v>2.4700000000000002</v>
      </c>
      <c r="IG8" s="99">
        <v>3.95</v>
      </c>
      <c r="IH8" s="99">
        <v>8.0500000000000007</v>
      </c>
      <c r="II8" s="99">
        <v>10.88</v>
      </c>
      <c r="IJ8" s="99">
        <v>9.5399999999999991</v>
      </c>
      <c r="IK8" s="99">
        <v>4.7300000000000004</v>
      </c>
      <c r="IL8" s="99">
        <v>6.36</v>
      </c>
      <c r="IM8" s="99">
        <v>7.37</v>
      </c>
      <c r="IN8" s="99">
        <v>11.38</v>
      </c>
      <c r="IO8" s="99">
        <v>12.4</v>
      </c>
      <c r="IP8" s="99">
        <v>11.22</v>
      </c>
      <c r="IQ8" s="99">
        <v>5.19</v>
      </c>
      <c r="IR8" s="99">
        <v>12.5</v>
      </c>
      <c r="IS8" s="99">
        <v>18.46</v>
      </c>
      <c r="IT8" s="99">
        <v>9.16</v>
      </c>
      <c r="IU8" s="99">
        <v>10.15</v>
      </c>
      <c r="IV8" s="99">
        <v>9.52</v>
      </c>
      <c r="IW8" s="99">
        <v>6.56</v>
      </c>
      <c r="IX8" s="99">
        <v>5.9</v>
      </c>
      <c r="IY8" s="99">
        <v>3.59</v>
      </c>
      <c r="IZ8" s="99">
        <v>3.53</v>
      </c>
      <c r="JA8" s="99">
        <v>3.54</v>
      </c>
      <c r="JB8" s="99">
        <v>6.57</v>
      </c>
      <c r="JC8" s="99">
        <v>9.25</v>
      </c>
      <c r="JD8" s="99">
        <v>3.11</v>
      </c>
      <c r="JE8" s="99">
        <v>5.12</v>
      </c>
      <c r="JF8" s="99">
        <v>7.79</v>
      </c>
      <c r="JG8" s="99">
        <v>6.9</v>
      </c>
      <c r="JH8" s="99">
        <v>9.59</v>
      </c>
      <c r="JI8" s="99">
        <v>7.26</v>
      </c>
      <c r="JJ8" s="99">
        <v>5.91</v>
      </c>
      <c r="JK8" s="99">
        <v>11.25</v>
      </c>
      <c r="JL8" s="99">
        <v>8.1</v>
      </c>
      <c r="JM8" s="99">
        <v>10.45</v>
      </c>
      <c r="JN8" s="99">
        <v>14.79</v>
      </c>
      <c r="JO8" s="99">
        <v>7.44</v>
      </c>
      <c r="JP8" s="99">
        <v>3.16</v>
      </c>
      <c r="JQ8" s="99">
        <v>13.65</v>
      </c>
      <c r="JR8" s="99">
        <v>13</v>
      </c>
      <c r="JS8" s="99">
        <v>6.59</v>
      </c>
      <c r="JT8" s="99">
        <v>7.73</v>
      </c>
      <c r="JU8" s="99">
        <v>6.58</v>
      </c>
      <c r="JV8" s="99">
        <v>3.53</v>
      </c>
      <c r="JW8" s="99">
        <v>2.98</v>
      </c>
      <c r="JX8" s="99">
        <v>6.05</v>
      </c>
      <c r="JY8" s="99">
        <v>4.16</v>
      </c>
      <c r="JZ8" s="99">
        <v>7.19</v>
      </c>
      <c r="KA8" s="99">
        <v>4.8499999999999996</v>
      </c>
      <c r="KB8" s="99">
        <v>3.76</v>
      </c>
      <c r="KC8" s="99">
        <v>4.59</v>
      </c>
      <c r="KD8" s="99">
        <v>3.01</v>
      </c>
      <c r="KE8" s="99">
        <v>3.16</v>
      </c>
      <c r="KF8" s="99">
        <v>7.85</v>
      </c>
      <c r="KG8" s="99">
        <v>8.23</v>
      </c>
      <c r="KH8" s="99">
        <v>12.93</v>
      </c>
      <c r="KI8" s="99">
        <v>7.14</v>
      </c>
      <c r="KJ8" s="99">
        <v>7.6</v>
      </c>
      <c r="KK8" s="99">
        <v>9.51</v>
      </c>
      <c r="KL8" s="99">
        <v>3.33</v>
      </c>
      <c r="KM8" s="99">
        <v>3.56</v>
      </c>
      <c r="KN8" s="99">
        <v>4.7</v>
      </c>
      <c r="KO8" s="99">
        <v>8.58</v>
      </c>
      <c r="KP8" s="99">
        <v>10.4</v>
      </c>
      <c r="KQ8" s="99">
        <v>6.27</v>
      </c>
      <c r="KR8" s="99">
        <v>7.39</v>
      </c>
      <c r="KS8" s="99">
        <v>15.84</v>
      </c>
      <c r="KT8" s="99">
        <v>4.97</v>
      </c>
      <c r="KU8" s="99">
        <v>4.74</v>
      </c>
      <c r="KV8" s="99">
        <v>6.07</v>
      </c>
      <c r="KW8" s="99">
        <v>9.5</v>
      </c>
      <c r="KX8" s="99">
        <v>8.67</v>
      </c>
      <c r="KY8" s="99">
        <v>4.8600000000000003</v>
      </c>
      <c r="KZ8" s="99">
        <v>6.93</v>
      </c>
      <c r="LA8" s="99">
        <v>8.93</v>
      </c>
      <c r="LB8" s="99">
        <v>6.47</v>
      </c>
      <c r="LC8" s="99">
        <v>7.53</v>
      </c>
      <c r="LD8" s="99">
        <v>4.54</v>
      </c>
      <c r="LE8" s="99">
        <v>9.9700000000000006</v>
      </c>
      <c r="LF8" s="99">
        <v>12.64</v>
      </c>
      <c r="LG8" s="99">
        <v>5.98</v>
      </c>
      <c r="LH8" s="99">
        <v>11.72</v>
      </c>
      <c r="LI8" s="99">
        <v>7.9</v>
      </c>
      <c r="LJ8" s="99">
        <v>9.2799999999999994</v>
      </c>
      <c r="LK8" s="99">
        <v>11.5</v>
      </c>
      <c r="LL8" s="99">
        <v>18.329999999999998</v>
      </c>
      <c r="LM8" s="99">
        <v>15.94</v>
      </c>
      <c r="LN8" s="99">
        <v>10.36</v>
      </c>
      <c r="LO8" s="99">
        <v>12.73</v>
      </c>
      <c r="LP8" s="99">
        <v>7.2</v>
      </c>
      <c r="LQ8" s="99">
        <v>6.87</v>
      </c>
      <c r="LR8" s="99">
        <v>7.7</v>
      </c>
      <c r="LS8" s="99">
        <v>11.74</v>
      </c>
      <c r="LT8" s="99">
        <v>6.12</v>
      </c>
      <c r="LU8" s="99">
        <v>5.08</v>
      </c>
      <c r="LV8" s="99">
        <v>6.15</v>
      </c>
      <c r="LW8" s="99">
        <v>12.79</v>
      </c>
      <c r="LX8" s="99">
        <v>9.9700000000000006</v>
      </c>
      <c r="LY8" s="99">
        <v>7.34</v>
      </c>
      <c r="LZ8" s="99">
        <v>9.09</v>
      </c>
      <c r="MA8" s="99">
        <v>12.43</v>
      </c>
      <c r="MB8" s="99">
        <v>7.83</v>
      </c>
      <c r="MC8" s="99">
        <v>5.68</v>
      </c>
      <c r="MD8" s="99">
        <v>6.75</v>
      </c>
      <c r="ME8" s="99">
        <v>8.01</v>
      </c>
      <c r="MF8" s="99">
        <v>9.8000000000000007</v>
      </c>
      <c r="MG8" s="99">
        <v>10.56</v>
      </c>
      <c r="MH8" s="99">
        <v>8.51</v>
      </c>
      <c r="MI8" s="99">
        <v>9.74</v>
      </c>
      <c r="MJ8" s="99">
        <v>9.2899999999999991</v>
      </c>
      <c r="MK8" s="99">
        <v>5.49</v>
      </c>
      <c r="ML8" s="99">
        <v>8.65</v>
      </c>
      <c r="MM8" s="99">
        <v>7.18</v>
      </c>
      <c r="MN8" s="99">
        <v>4.6100000000000003</v>
      </c>
      <c r="MO8" s="99">
        <v>10.53</v>
      </c>
      <c r="MP8" s="99">
        <v>12.67</v>
      </c>
      <c r="MQ8" s="99">
        <v>6.36</v>
      </c>
      <c r="MR8" s="99">
        <v>5.99</v>
      </c>
      <c r="MS8" s="99">
        <v>5.89</v>
      </c>
      <c r="MT8" s="99">
        <v>5.98</v>
      </c>
      <c r="MU8" s="99">
        <v>5.49</v>
      </c>
      <c r="MV8" s="99">
        <v>7.79</v>
      </c>
      <c r="MW8" s="99">
        <v>4.5</v>
      </c>
      <c r="MX8" s="99">
        <v>8.0500000000000007</v>
      </c>
      <c r="MY8" s="99">
        <v>5.57</v>
      </c>
      <c r="MZ8" s="99">
        <v>17.600000000000001</v>
      </c>
      <c r="NA8" s="99">
        <v>13.27</v>
      </c>
      <c r="NB8" s="99">
        <v>11.48</v>
      </c>
      <c r="NC8" s="99">
        <v>12.67</v>
      </c>
      <c r="ND8" s="99">
        <v>7.79</v>
      </c>
      <c r="NE8" s="99">
        <v>14.19</v>
      </c>
      <c r="NF8" s="99">
        <v>10.19</v>
      </c>
      <c r="NG8" s="99">
        <v>14.64</v>
      </c>
      <c r="NH8" s="99">
        <v>5.29</v>
      </c>
      <c r="NI8" s="99">
        <v>7.12</v>
      </c>
      <c r="NJ8" s="99">
        <v>14</v>
      </c>
      <c r="NK8" s="99">
        <v>13.33</v>
      </c>
      <c r="NL8" s="99">
        <v>3.26</v>
      </c>
      <c r="NM8" s="99">
        <v>3.73</v>
      </c>
      <c r="NN8" s="99">
        <v>2.96</v>
      </c>
      <c r="NO8" s="99">
        <v>9.5299999999999994</v>
      </c>
      <c r="NP8" s="99">
        <v>8.8800000000000008</v>
      </c>
      <c r="NQ8" s="99">
        <v>34.770000000000003</v>
      </c>
      <c r="NR8" s="99">
        <v>37.97</v>
      </c>
      <c r="NS8" s="99">
        <v>13.44</v>
      </c>
      <c r="NT8" s="99">
        <v>23.24</v>
      </c>
      <c r="NU8" s="99">
        <v>21.24</v>
      </c>
      <c r="NV8" s="99">
        <v>23.69</v>
      </c>
      <c r="NW8" s="99">
        <v>21.78</v>
      </c>
      <c r="NX8" s="99">
        <v>17.21</v>
      </c>
      <c r="NY8" s="99">
        <v>21.08</v>
      </c>
      <c r="NZ8" s="99">
        <v>23.6</v>
      </c>
      <c r="OA8" s="99">
        <v>24.56</v>
      </c>
      <c r="OB8" s="99">
        <v>30.63</v>
      </c>
      <c r="OC8" s="99">
        <v>30.81</v>
      </c>
      <c r="OD8" s="99">
        <v>28.28</v>
      </c>
      <c r="OE8" s="99">
        <v>31.99</v>
      </c>
      <c r="OF8" s="99">
        <v>30.62</v>
      </c>
      <c r="OG8" s="99">
        <v>20.85</v>
      </c>
      <c r="OH8" s="99">
        <v>17.11</v>
      </c>
      <c r="OI8" s="99">
        <v>18.760000000000002</v>
      </c>
      <c r="OJ8" s="99">
        <v>25.68</v>
      </c>
      <c r="OK8" s="99">
        <v>15.17</v>
      </c>
      <c r="OL8" s="99">
        <v>16.350000000000001</v>
      </c>
      <c r="OM8" s="99">
        <v>17.12</v>
      </c>
      <c r="ON8" s="99">
        <v>19.37</v>
      </c>
      <c r="OO8" s="99">
        <v>19.920000000000002</v>
      </c>
      <c r="OP8" s="99">
        <v>30.59</v>
      </c>
      <c r="OQ8" s="99">
        <v>29.97</v>
      </c>
      <c r="OR8" s="99">
        <v>26.77</v>
      </c>
      <c r="OS8" s="99">
        <v>20.32</v>
      </c>
      <c r="OT8" s="99">
        <v>20.309999999999999</v>
      </c>
      <c r="OU8" s="99">
        <v>19.77</v>
      </c>
      <c r="OV8" s="99">
        <v>27.38</v>
      </c>
      <c r="OW8" s="99">
        <v>22.98</v>
      </c>
      <c r="OX8" s="99">
        <v>23.34</v>
      </c>
      <c r="OY8" s="99">
        <v>12.13</v>
      </c>
      <c r="OZ8" s="99">
        <v>26.4</v>
      </c>
      <c r="PA8" s="99">
        <v>19.78</v>
      </c>
      <c r="PB8" s="99">
        <v>10.11</v>
      </c>
      <c r="PC8" s="99">
        <v>21.22</v>
      </c>
      <c r="PD8" s="99">
        <v>34.369999999999997</v>
      </c>
      <c r="PE8" s="99">
        <v>20.079999999999998</v>
      </c>
      <c r="PF8" s="99">
        <v>36.979999999999997</v>
      </c>
      <c r="PG8" s="99">
        <v>29.05</v>
      </c>
      <c r="PH8" s="99">
        <v>25.79</v>
      </c>
      <c r="PI8" s="99">
        <v>26.64</v>
      </c>
      <c r="PJ8" s="99">
        <v>20.62</v>
      </c>
      <c r="PK8" s="99">
        <v>22.74</v>
      </c>
      <c r="PL8" s="99">
        <v>15.02</v>
      </c>
      <c r="PM8" s="99">
        <v>15.7</v>
      </c>
      <c r="PN8" s="99">
        <v>14.1</v>
      </c>
      <c r="PO8" s="99">
        <v>23.29</v>
      </c>
      <c r="PP8" s="99">
        <v>17.16</v>
      </c>
      <c r="PQ8" s="99">
        <v>24.39</v>
      </c>
      <c r="PR8" s="99">
        <v>15.69</v>
      </c>
      <c r="PS8" s="99">
        <v>14.52</v>
      </c>
      <c r="PT8" s="99">
        <v>21.52</v>
      </c>
      <c r="PU8" s="99">
        <v>24.08</v>
      </c>
      <c r="PV8" s="99">
        <v>17.64</v>
      </c>
      <c r="PW8" s="99">
        <v>19.690000000000001</v>
      </c>
      <c r="PX8" s="99">
        <v>12.03</v>
      </c>
      <c r="PY8" s="99">
        <v>16.22</v>
      </c>
      <c r="PZ8" s="99">
        <v>15.17</v>
      </c>
      <c r="QA8" s="99">
        <v>23.27</v>
      </c>
      <c r="QB8" s="99">
        <v>18.05</v>
      </c>
      <c r="QC8" s="99">
        <v>26.45</v>
      </c>
      <c r="QD8" s="99">
        <v>34.020000000000003</v>
      </c>
      <c r="QE8" s="99">
        <v>22.88</v>
      </c>
      <c r="QF8" s="99">
        <v>22.11</v>
      </c>
      <c r="QG8" s="99">
        <v>19.52</v>
      </c>
      <c r="QH8" s="99">
        <v>16.59</v>
      </c>
      <c r="QI8" s="99">
        <v>18.850000000000001</v>
      </c>
      <c r="QJ8" s="99">
        <v>23.79</v>
      </c>
      <c r="QK8" s="99">
        <v>23.98</v>
      </c>
      <c r="QL8" s="99">
        <v>17.79</v>
      </c>
      <c r="QM8" s="99">
        <v>16.440000000000001</v>
      </c>
      <c r="QN8" s="99">
        <v>18.13</v>
      </c>
      <c r="QO8" s="99">
        <v>19.309999999999999</v>
      </c>
      <c r="QP8" s="99">
        <v>17.440000000000001</v>
      </c>
      <c r="QQ8" s="99">
        <v>17.73</v>
      </c>
      <c r="QR8" s="99">
        <v>17.27</v>
      </c>
      <c r="QS8" s="99">
        <v>16.739999999999998</v>
      </c>
      <c r="QT8" s="99">
        <v>18.71</v>
      </c>
      <c r="QU8" s="99">
        <v>18.13</v>
      </c>
      <c r="QV8" s="99">
        <v>19.010000000000002</v>
      </c>
      <c r="QW8" s="99">
        <v>16.940000000000001</v>
      </c>
      <c r="QX8" s="99">
        <v>16.23</v>
      </c>
      <c r="QY8" s="99">
        <v>14.7</v>
      </c>
      <c r="QZ8" s="99">
        <v>16.420000000000002</v>
      </c>
      <c r="RA8" s="99">
        <v>14.65</v>
      </c>
      <c r="RB8" s="99">
        <v>13.99</v>
      </c>
      <c r="RC8" s="99">
        <v>10.29</v>
      </c>
      <c r="RD8" s="99">
        <v>13.22</v>
      </c>
      <c r="RE8" s="99">
        <v>14.13</v>
      </c>
      <c r="RF8" s="99">
        <v>17.149999999999999</v>
      </c>
      <c r="RG8" s="99">
        <v>21.32</v>
      </c>
      <c r="RH8" s="99">
        <v>18.13</v>
      </c>
      <c r="RI8" s="99">
        <v>14.76</v>
      </c>
      <c r="RJ8" s="99">
        <v>16.29</v>
      </c>
      <c r="RK8" s="99">
        <v>12.87</v>
      </c>
      <c r="RL8" s="99">
        <v>14.36</v>
      </c>
      <c r="RM8" s="99">
        <v>11.66</v>
      </c>
      <c r="RN8" s="99">
        <v>18.14</v>
      </c>
      <c r="RO8" s="99">
        <v>24.1</v>
      </c>
      <c r="RP8" s="99">
        <v>18.68</v>
      </c>
      <c r="RQ8" s="99">
        <v>24.91</v>
      </c>
      <c r="RR8" s="99">
        <v>18.03</v>
      </c>
      <c r="RS8" s="99">
        <v>13.11</v>
      </c>
      <c r="RT8" s="99">
        <v>10.74</v>
      </c>
      <c r="RU8" s="99">
        <v>7.74</v>
      </c>
      <c r="RV8" s="99">
        <v>7.01</v>
      </c>
      <c r="RW8" s="99">
        <v>10.42</v>
      </c>
      <c r="RX8" s="99">
        <v>13.34</v>
      </c>
      <c r="RY8" s="99">
        <v>10.58</v>
      </c>
      <c r="RZ8" s="99">
        <v>14.98</v>
      </c>
      <c r="SA8" s="99">
        <v>11.45</v>
      </c>
      <c r="SB8" s="99">
        <v>18.059999999999999</v>
      </c>
      <c r="SC8" s="99">
        <v>23.97</v>
      </c>
      <c r="SD8" s="99">
        <v>29.68</v>
      </c>
      <c r="SE8" s="99">
        <v>18.07</v>
      </c>
      <c r="SF8" s="99">
        <v>13.35</v>
      </c>
      <c r="SG8" s="99">
        <v>12.01</v>
      </c>
      <c r="SH8" s="99">
        <v>13.59</v>
      </c>
      <c r="SI8" s="99">
        <v>17.600000000000001</v>
      </c>
      <c r="SJ8" s="99">
        <v>21.14</v>
      </c>
      <c r="SK8" s="99">
        <v>14.1</v>
      </c>
      <c r="SL8" s="99">
        <v>12.92</v>
      </c>
      <c r="SM8" s="99">
        <v>15.1</v>
      </c>
      <c r="SN8" s="99">
        <v>14.33</v>
      </c>
      <c r="SO8" s="99">
        <v>9.67</v>
      </c>
      <c r="SP8" s="99">
        <v>9.08</v>
      </c>
      <c r="SQ8" s="99">
        <v>5.64</v>
      </c>
      <c r="SR8" s="99">
        <v>6.48</v>
      </c>
      <c r="SS8" s="99">
        <v>7.88</v>
      </c>
    </row>
    <row r="9" spans="1:513">
      <c r="A9">
        <v>1</v>
      </c>
      <c r="B9">
        <v>7.1470000000000002</v>
      </c>
      <c r="C9">
        <v>18.7</v>
      </c>
      <c r="D9">
        <v>5.33</v>
      </c>
      <c r="E9">
        <v>36.200000000000003</v>
      </c>
      <c r="F9" s="99">
        <f t="shared" si="0"/>
        <v>30.386588891208003</v>
      </c>
      <c r="G9" s="92"/>
      <c r="H9" s="99">
        <v>24</v>
      </c>
      <c r="I9" s="99">
        <v>21.6</v>
      </c>
      <c r="J9" s="99">
        <v>34.700000000000003</v>
      </c>
      <c r="K9" s="99">
        <v>33.4</v>
      </c>
      <c r="L9" s="99">
        <v>36.200000000000003</v>
      </c>
      <c r="M9" s="99">
        <v>28.7</v>
      </c>
      <c r="N9" s="99">
        <v>22.9</v>
      </c>
      <c r="O9" s="99">
        <v>27.1</v>
      </c>
      <c r="P9" s="99">
        <v>16.5</v>
      </c>
      <c r="Q9" s="99">
        <v>18.899999999999999</v>
      </c>
      <c r="R9" s="99">
        <v>15</v>
      </c>
      <c r="S9" s="99">
        <v>18.899999999999999</v>
      </c>
      <c r="T9" s="99">
        <v>21.7</v>
      </c>
      <c r="U9" s="99">
        <v>20.399999999999999</v>
      </c>
      <c r="V9" s="99">
        <v>18.2</v>
      </c>
      <c r="W9" s="99">
        <v>19.899999999999999</v>
      </c>
      <c r="X9" s="99">
        <v>23.1</v>
      </c>
      <c r="Y9" s="99">
        <v>17.5</v>
      </c>
      <c r="Z9" s="99">
        <v>20.2</v>
      </c>
      <c r="AA9" s="99">
        <v>18.2</v>
      </c>
      <c r="AB9" s="99">
        <v>13.6</v>
      </c>
      <c r="AC9" s="99">
        <v>19.600000000000001</v>
      </c>
      <c r="AD9" s="99">
        <v>15.2</v>
      </c>
      <c r="AE9" s="99">
        <v>14.5</v>
      </c>
      <c r="AF9" s="99">
        <v>15.6</v>
      </c>
      <c r="AG9" s="99">
        <v>13.9</v>
      </c>
      <c r="AH9" s="99">
        <v>16.600000000000001</v>
      </c>
      <c r="AI9" s="99">
        <v>14.8</v>
      </c>
      <c r="AJ9" s="99">
        <v>18.399999999999999</v>
      </c>
      <c r="AK9" s="99">
        <v>21</v>
      </c>
      <c r="AL9" s="99">
        <v>12.7</v>
      </c>
      <c r="AM9" s="99">
        <v>14.5</v>
      </c>
      <c r="AN9" s="99">
        <v>13.2</v>
      </c>
      <c r="AO9" s="99">
        <v>13.1</v>
      </c>
      <c r="AP9" s="99">
        <v>13.5</v>
      </c>
      <c r="AQ9" s="99">
        <v>18.899999999999999</v>
      </c>
      <c r="AR9" s="99">
        <v>20</v>
      </c>
      <c r="AS9" s="99">
        <v>21</v>
      </c>
      <c r="AT9" s="99">
        <v>24.7</v>
      </c>
      <c r="AU9" s="99">
        <v>30.8</v>
      </c>
      <c r="AV9" s="99">
        <v>34.9</v>
      </c>
      <c r="AW9" s="99">
        <v>26.6</v>
      </c>
      <c r="AX9" s="99">
        <v>25.3</v>
      </c>
      <c r="AY9" s="99">
        <v>24.7</v>
      </c>
      <c r="AZ9" s="99">
        <v>21.2</v>
      </c>
      <c r="BA9" s="99">
        <v>19.3</v>
      </c>
      <c r="BB9" s="99">
        <v>20</v>
      </c>
      <c r="BC9" s="99">
        <v>16.600000000000001</v>
      </c>
      <c r="BD9" s="99">
        <v>14.4</v>
      </c>
      <c r="BE9" s="99">
        <v>19.399999999999999</v>
      </c>
      <c r="BF9" s="99">
        <v>19.7</v>
      </c>
      <c r="BG9" s="99">
        <v>20.5</v>
      </c>
      <c r="BH9" s="99">
        <v>25</v>
      </c>
      <c r="BI9" s="99">
        <v>23.4</v>
      </c>
      <c r="BJ9" s="99">
        <v>18.899999999999999</v>
      </c>
      <c r="BK9" s="99">
        <v>35.4</v>
      </c>
      <c r="BL9" s="99">
        <v>24.7</v>
      </c>
      <c r="BM9" s="99">
        <v>31.6</v>
      </c>
      <c r="BN9" s="99">
        <v>23.3</v>
      </c>
      <c r="BO9" s="99">
        <v>19.600000000000001</v>
      </c>
      <c r="BP9" s="99">
        <v>18.7</v>
      </c>
      <c r="BQ9" s="99">
        <v>16</v>
      </c>
      <c r="BR9" s="99">
        <v>22.2</v>
      </c>
      <c r="BS9" s="99">
        <v>25</v>
      </c>
      <c r="BT9" s="99">
        <v>33</v>
      </c>
      <c r="BU9" s="99">
        <v>23.5</v>
      </c>
      <c r="BV9" s="99">
        <v>19.399999999999999</v>
      </c>
      <c r="BW9" s="99">
        <v>22</v>
      </c>
      <c r="BX9" s="99">
        <v>17.399999999999999</v>
      </c>
      <c r="BY9" s="99">
        <v>20.9</v>
      </c>
      <c r="BZ9" s="99">
        <v>24.2</v>
      </c>
      <c r="CA9" s="99">
        <v>21.7</v>
      </c>
      <c r="CB9" s="99">
        <v>22.8</v>
      </c>
      <c r="CC9" s="99">
        <v>23.4</v>
      </c>
      <c r="CD9" s="99">
        <v>24.1</v>
      </c>
      <c r="CE9" s="99">
        <v>21.4</v>
      </c>
      <c r="CF9" s="99">
        <v>20</v>
      </c>
      <c r="CG9" s="99">
        <v>20.8</v>
      </c>
      <c r="CH9" s="99">
        <v>21.2</v>
      </c>
      <c r="CI9" s="99">
        <v>20.3</v>
      </c>
      <c r="CJ9" s="99">
        <v>28</v>
      </c>
      <c r="CK9" s="99">
        <v>23.9</v>
      </c>
      <c r="CL9" s="99">
        <v>24.8</v>
      </c>
      <c r="CM9" s="99">
        <v>22.9</v>
      </c>
      <c r="CN9" s="99">
        <v>23.9</v>
      </c>
      <c r="CO9" s="99">
        <v>26.6</v>
      </c>
      <c r="CP9" s="99">
        <v>22.5</v>
      </c>
      <c r="CQ9" s="99">
        <v>22.2</v>
      </c>
      <c r="CR9" s="99">
        <v>23.6</v>
      </c>
      <c r="CS9" s="99">
        <v>28.7</v>
      </c>
      <c r="CT9" s="99">
        <v>22.6</v>
      </c>
      <c r="CU9" s="99">
        <v>22</v>
      </c>
      <c r="CV9" s="99">
        <v>22.9</v>
      </c>
      <c r="CW9" s="99">
        <v>25</v>
      </c>
      <c r="CX9" s="99">
        <v>20.6</v>
      </c>
      <c r="CY9" s="99">
        <v>28.4</v>
      </c>
      <c r="CZ9" s="99">
        <v>21.4</v>
      </c>
      <c r="DA9" s="99">
        <v>38.700000000000003</v>
      </c>
      <c r="DB9" s="99">
        <v>43.8</v>
      </c>
      <c r="DC9" s="99">
        <v>33.200000000000003</v>
      </c>
      <c r="DD9" s="99">
        <v>27.5</v>
      </c>
      <c r="DE9" s="99">
        <v>26.5</v>
      </c>
      <c r="DF9" s="99">
        <v>18.600000000000001</v>
      </c>
      <c r="DG9" s="99">
        <v>19.3</v>
      </c>
      <c r="DH9" s="99">
        <v>20.100000000000001</v>
      </c>
      <c r="DI9" s="99">
        <v>19.5</v>
      </c>
      <c r="DJ9" s="99">
        <v>19.5</v>
      </c>
      <c r="DK9" s="99">
        <v>20.399999999999999</v>
      </c>
      <c r="DL9" s="99">
        <v>19.8</v>
      </c>
      <c r="DM9" s="99">
        <v>19.399999999999999</v>
      </c>
      <c r="DN9" s="99">
        <v>21.7</v>
      </c>
      <c r="DO9" s="99">
        <v>22.8</v>
      </c>
      <c r="DP9" s="99">
        <v>18.8</v>
      </c>
      <c r="DQ9" s="99">
        <v>18.7</v>
      </c>
      <c r="DR9" s="99">
        <v>18.5</v>
      </c>
      <c r="DS9" s="99">
        <v>18.3</v>
      </c>
      <c r="DT9" s="99">
        <v>21.2</v>
      </c>
      <c r="DU9" s="99">
        <v>19.2</v>
      </c>
      <c r="DV9" s="99">
        <v>20.399999999999999</v>
      </c>
      <c r="DW9" s="99">
        <v>19.3</v>
      </c>
      <c r="DX9" s="99">
        <v>22</v>
      </c>
      <c r="DY9" s="99">
        <v>20.3</v>
      </c>
      <c r="DZ9" s="99">
        <v>20.5</v>
      </c>
      <c r="EA9" s="99">
        <v>17.3</v>
      </c>
      <c r="EB9" s="99">
        <v>18.8</v>
      </c>
      <c r="EC9" s="99">
        <v>21.4</v>
      </c>
      <c r="ED9" s="99">
        <v>15.7</v>
      </c>
      <c r="EE9" s="99">
        <v>16.2</v>
      </c>
      <c r="EF9" s="99">
        <v>18</v>
      </c>
      <c r="EG9" s="99">
        <v>14.3</v>
      </c>
      <c r="EH9" s="99">
        <v>19.2</v>
      </c>
      <c r="EI9" s="99">
        <v>19.600000000000001</v>
      </c>
      <c r="EJ9" s="99">
        <v>23</v>
      </c>
      <c r="EK9" s="99">
        <v>18.399999999999999</v>
      </c>
      <c r="EL9" s="99">
        <v>15.6</v>
      </c>
      <c r="EM9" s="99">
        <v>18.100000000000001</v>
      </c>
      <c r="EN9" s="99">
        <v>17.399999999999999</v>
      </c>
      <c r="EO9" s="99">
        <v>17.100000000000001</v>
      </c>
      <c r="EP9" s="99">
        <v>13.3</v>
      </c>
      <c r="EQ9" s="99">
        <v>17.8</v>
      </c>
      <c r="ER9" s="99">
        <v>14</v>
      </c>
      <c r="ES9" s="99">
        <v>14.4</v>
      </c>
      <c r="ET9" s="99">
        <v>13.4</v>
      </c>
      <c r="EU9" s="99">
        <v>15.6</v>
      </c>
      <c r="EV9" s="99">
        <v>11.8</v>
      </c>
      <c r="EW9" s="99">
        <v>13.8</v>
      </c>
      <c r="EX9" s="99">
        <v>15.6</v>
      </c>
      <c r="EY9" s="99">
        <v>14.6</v>
      </c>
      <c r="EZ9" s="99">
        <v>17.8</v>
      </c>
      <c r="FA9" s="99">
        <v>15.4</v>
      </c>
      <c r="FB9" s="99">
        <v>21.5</v>
      </c>
      <c r="FC9" s="99">
        <v>19.600000000000001</v>
      </c>
      <c r="FD9" s="99">
        <v>15.3</v>
      </c>
      <c r="FE9" s="99">
        <v>19.399999999999999</v>
      </c>
      <c r="FF9" s="99">
        <v>17</v>
      </c>
      <c r="FG9" s="99">
        <v>15.6</v>
      </c>
      <c r="FH9" s="99">
        <v>13.1</v>
      </c>
      <c r="FI9" s="99">
        <v>41.3</v>
      </c>
      <c r="FJ9" s="99">
        <v>24.3</v>
      </c>
      <c r="FK9" s="99">
        <v>23.3</v>
      </c>
      <c r="FL9" s="99">
        <v>27</v>
      </c>
      <c r="FM9" s="99">
        <v>50</v>
      </c>
      <c r="FN9" s="99">
        <v>50</v>
      </c>
      <c r="FO9" s="99">
        <v>50</v>
      </c>
      <c r="FP9" s="99">
        <v>22.7</v>
      </c>
      <c r="FQ9" s="99">
        <v>25</v>
      </c>
      <c r="FR9" s="99">
        <v>50</v>
      </c>
      <c r="FS9" s="99">
        <v>23.8</v>
      </c>
      <c r="FT9" s="99">
        <v>23.8</v>
      </c>
      <c r="FU9" s="99">
        <v>22.3</v>
      </c>
      <c r="FV9" s="99">
        <v>17.399999999999999</v>
      </c>
      <c r="FW9" s="99">
        <v>19.100000000000001</v>
      </c>
      <c r="FX9" s="99">
        <v>23.1</v>
      </c>
      <c r="FY9" s="99">
        <v>23.6</v>
      </c>
      <c r="FZ9" s="99">
        <v>22.6</v>
      </c>
      <c r="GA9" s="99">
        <v>29.4</v>
      </c>
      <c r="GB9" s="99">
        <v>23.2</v>
      </c>
      <c r="GC9" s="99">
        <v>24.6</v>
      </c>
      <c r="GD9" s="99">
        <v>29.9</v>
      </c>
      <c r="GE9" s="99">
        <v>37.200000000000003</v>
      </c>
      <c r="GF9" s="99">
        <v>39.799999999999997</v>
      </c>
      <c r="GG9" s="99">
        <v>36.200000000000003</v>
      </c>
      <c r="GH9" s="99">
        <v>37.9</v>
      </c>
      <c r="GI9" s="99">
        <v>32.5</v>
      </c>
      <c r="GJ9" s="99">
        <v>26.4</v>
      </c>
      <c r="GK9" s="99">
        <v>29.6</v>
      </c>
      <c r="GL9" s="99">
        <v>50</v>
      </c>
      <c r="GM9" s="99">
        <v>32</v>
      </c>
      <c r="GN9" s="99">
        <v>29.8</v>
      </c>
      <c r="GO9" s="99">
        <v>34.9</v>
      </c>
      <c r="GP9" s="99">
        <v>37</v>
      </c>
      <c r="GQ9" s="99">
        <v>30.5</v>
      </c>
      <c r="GR9" s="99">
        <v>36.4</v>
      </c>
      <c r="GS9" s="99">
        <v>31.1</v>
      </c>
      <c r="GT9" s="99">
        <v>29.1</v>
      </c>
      <c r="GU9" s="99">
        <v>50</v>
      </c>
      <c r="GV9" s="99">
        <v>33.299999999999997</v>
      </c>
      <c r="GW9" s="99">
        <v>30.3</v>
      </c>
      <c r="GX9" s="99">
        <v>34.6</v>
      </c>
      <c r="GY9" s="99">
        <v>34.9</v>
      </c>
      <c r="GZ9" s="99">
        <v>32.9</v>
      </c>
      <c r="HA9" s="99">
        <v>24.1</v>
      </c>
      <c r="HB9" s="99">
        <v>42.3</v>
      </c>
      <c r="HC9" s="99">
        <v>48.5</v>
      </c>
      <c r="HD9" s="99">
        <v>50</v>
      </c>
      <c r="HE9" s="99">
        <v>22.6</v>
      </c>
      <c r="HF9" s="99">
        <v>24.4</v>
      </c>
      <c r="HG9" s="99">
        <v>22.5</v>
      </c>
      <c r="HH9" s="99">
        <v>24.4</v>
      </c>
      <c r="HI9" s="99">
        <v>20</v>
      </c>
      <c r="HJ9" s="99">
        <v>21.7</v>
      </c>
      <c r="HK9" s="99">
        <v>19.3</v>
      </c>
      <c r="HL9" s="99">
        <v>22.4</v>
      </c>
      <c r="HM9" s="99">
        <v>28.1</v>
      </c>
      <c r="HN9" s="99">
        <v>23.7</v>
      </c>
      <c r="HO9" s="99">
        <v>25</v>
      </c>
      <c r="HP9" s="99">
        <v>23.3</v>
      </c>
      <c r="HQ9" s="99">
        <v>28.7</v>
      </c>
      <c r="HR9" s="99">
        <v>21.5</v>
      </c>
      <c r="HS9" s="99">
        <v>23</v>
      </c>
      <c r="HT9" s="99">
        <v>26.7</v>
      </c>
      <c r="HU9" s="99">
        <v>21.7</v>
      </c>
      <c r="HV9" s="99">
        <v>27.5</v>
      </c>
      <c r="HW9" s="99">
        <v>30.1</v>
      </c>
      <c r="HX9" s="99">
        <v>44.8</v>
      </c>
      <c r="HY9" s="99">
        <v>50</v>
      </c>
      <c r="HZ9" s="99">
        <v>37.6</v>
      </c>
      <c r="IA9" s="99">
        <v>31.6</v>
      </c>
      <c r="IB9" s="99">
        <v>46.7</v>
      </c>
      <c r="IC9" s="99">
        <v>31.5</v>
      </c>
      <c r="ID9" s="99">
        <v>24.3</v>
      </c>
      <c r="IE9" s="99">
        <v>31.7</v>
      </c>
      <c r="IF9" s="99">
        <v>41.7</v>
      </c>
      <c r="IG9" s="99">
        <v>48.3</v>
      </c>
      <c r="IH9" s="99">
        <v>29</v>
      </c>
      <c r="II9" s="99">
        <v>24</v>
      </c>
      <c r="IJ9" s="99">
        <v>25.1</v>
      </c>
      <c r="IK9" s="99">
        <v>31.5</v>
      </c>
      <c r="IL9" s="99">
        <v>23.7</v>
      </c>
      <c r="IM9" s="99">
        <v>23.3</v>
      </c>
      <c r="IN9" s="99">
        <v>22</v>
      </c>
      <c r="IO9" s="99">
        <v>20.100000000000001</v>
      </c>
      <c r="IP9" s="99">
        <v>22.2</v>
      </c>
      <c r="IQ9" s="99">
        <v>23.7</v>
      </c>
      <c r="IR9" s="99">
        <v>17.600000000000001</v>
      </c>
      <c r="IS9" s="99">
        <v>18.5</v>
      </c>
      <c r="IT9" s="99">
        <v>24.3</v>
      </c>
      <c r="IU9" s="99">
        <v>20.5</v>
      </c>
      <c r="IV9" s="99">
        <v>24.5</v>
      </c>
      <c r="IW9" s="99">
        <v>26.2</v>
      </c>
      <c r="IX9" s="99">
        <v>24.4</v>
      </c>
      <c r="IY9" s="99">
        <v>24.8</v>
      </c>
      <c r="IZ9" s="99">
        <v>29.6</v>
      </c>
      <c r="JA9" s="99">
        <v>42.8</v>
      </c>
      <c r="JB9" s="99">
        <v>21.9</v>
      </c>
      <c r="JC9" s="99">
        <v>20.9</v>
      </c>
      <c r="JD9" s="99">
        <v>44</v>
      </c>
      <c r="JE9" s="99">
        <v>50</v>
      </c>
      <c r="JF9" s="99">
        <v>36</v>
      </c>
      <c r="JG9" s="99">
        <v>30.1</v>
      </c>
      <c r="JH9" s="99">
        <v>33.799999999999997</v>
      </c>
      <c r="JI9" s="99">
        <v>43.1</v>
      </c>
      <c r="JJ9" s="99">
        <v>48.8</v>
      </c>
      <c r="JK9" s="99">
        <v>31</v>
      </c>
      <c r="JL9" s="99">
        <v>36.5</v>
      </c>
      <c r="JM9" s="99">
        <v>22.8</v>
      </c>
      <c r="JN9" s="99">
        <v>30.7</v>
      </c>
      <c r="JO9" s="99">
        <v>50</v>
      </c>
      <c r="JP9" s="99">
        <v>43.5</v>
      </c>
      <c r="JQ9" s="99">
        <v>20.7</v>
      </c>
      <c r="JR9" s="99">
        <v>21.1</v>
      </c>
      <c r="JS9" s="99">
        <v>25.2</v>
      </c>
      <c r="JT9" s="99">
        <v>24.4</v>
      </c>
      <c r="JU9" s="99">
        <v>35.200000000000003</v>
      </c>
      <c r="JV9" s="99">
        <v>32.4</v>
      </c>
      <c r="JW9" s="99">
        <v>32</v>
      </c>
      <c r="JX9" s="99">
        <v>33.200000000000003</v>
      </c>
      <c r="JY9" s="99">
        <v>33.1</v>
      </c>
      <c r="JZ9" s="99">
        <v>29.1</v>
      </c>
      <c r="KA9" s="99">
        <v>35.1</v>
      </c>
      <c r="KB9" s="99">
        <v>45.4</v>
      </c>
      <c r="KC9" s="99">
        <v>35.4</v>
      </c>
      <c r="KD9" s="99">
        <v>46</v>
      </c>
      <c r="KE9" s="99">
        <v>50</v>
      </c>
      <c r="KF9" s="99">
        <v>32.200000000000003</v>
      </c>
      <c r="KG9" s="99">
        <v>22</v>
      </c>
      <c r="KH9" s="99">
        <v>20.100000000000001</v>
      </c>
      <c r="KI9" s="99">
        <v>23.2</v>
      </c>
      <c r="KJ9" s="99">
        <v>22.3</v>
      </c>
      <c r="KK9" s="99">
        <v>24.8</v>
      </c>
      <c r="KL9" s="99">
        <v>28.5</v>
      </c>
      <c r="KM9" s="99">
        <v>37.299999999999997</v>
      </c>
      <c r="KN9" s="99">
        <v>27.9</v>
      </c>
      <c r="KO9" s="99">
        <v>23.9</v>
      </c>
      <c r="KP9" s="99">
        <v>21.7</v>
      </c>
      <c r="KQ9" s="99">
        <v>28.6</v>
      </c>
      <c r="KR9" s="99">
        <v>27.1</v>
      </c>
      <c r="KS9" s="99">
        <v>20.3</v>
      </c>
      <c r="KT9" s="99">
        <v>22.5</v>
      </c>
      <c r="KU9" s="99">
        <v>29</v>
      </c>
      <c r="KV9" s="99">
        <v>24.8</v>
      </c>
      <c r="KW9" s="99">
        <v>22</v>
      </c>
      <c r="KX9" s="99">
        <v>26.4</v>
      </c>
      <c r="KY9" s="99">
        <v>33.1</v>
      </c>
      <c r="KZ9" s="99">
        <v>36.1</v>
      </c>
      <c r="LA9" s="99">
        <v>28.4</v>
      </c>
      <c r="LB9" s="99">
        <v>33.4</v>
      </c>
      <c r="LC9" s="99">
        <v>28.2</v>
      </c>
      <c r="LD9" s="99">
        <v>22.8</v>
      </c>
      <c r="LE9" s="99">
        <v>20.3</v>
      </c>
      <c r="LF9" s="99">
        <v>16.100000000000001</v>
      </c>
      <c r="LG9" s="99">
        <v>22.1</v>
      </c>
      <c r="LH9" s="99">
        <v>19.399999999999999</v>
      </c>
      <c r="LI9" s="99">
        <v>21.6</v>
      </c>
      <c r="LJ9" s="99">
        <v>23.8</v>
      </c>
      <c r="LK9" s="99">
        <v>16.2</v>
      </c>
      <c r="LL9" s="99">
        <v>17.8</v>
      </c>
      <c r="LM9" s="99">
        <v>19.8</v>
      </c>
      <c r="LN9" s="99">
        <v>23.1</v>
      </c>
      <c r="LO9" s="99">
        <v>21</v>
      </c>
      <c r="LP9" s="99">
        <v>23.8</v>
      </c>
      <c r="LQ9" s="99">
        <v>23.1</v>
      </c>
      <c r="LR9" s="99">
        <v>20.399999999999999</v>
      </c>
      <c r="LS9" s="99">
        <v>18.5</v>
      </c>
      <c r="LT9" s="99">
        <v>25</v>
      </c>
      <c r="LU9" s="99">
        <v>24.6</v>
      </c>
      <c r="LV9" s="99">
        <v>23</v>
      </c>
      <c r="LW9" s="99">
        <v>22.2</v>
      </c>
      <c r="LX9" s="99">
        <v>19.3</v>
      </c>
      <c r="LY9" s="99">
        <v>22.6</v>
      </c>
      <c r="LZ9" s="99">
        <v>19.8</v>
      </c>
      <c r="MA9" s="99">
        <v>17.100000000000001</v>
      </c>
      <c r="MB9" s="99">
        <v>19.399999999999999</v>
      </c>
      <c r="MC9" s="99">
        <v>22.2</v>
      </c>
      <c r="MD9" s="99">
        <v>20.7</v>
      </c>
      <c r="ME9" s="99">
        <v>21.1</v>
      </c>
      <c r="MF9" s="99">
        <v>19.5</v>
      </c>
      <c r="MG9" s="99">
        <v>18.5</v>
      </c>
      <c r="MH9" s="99">
        <v>20.6</v>
      </c>
      <c r="MI9" s="99">
        <v>19</v>
      </c>
      <c r="MJ9" s="99">
        <v>18.7</v>
      </c>
      <c r="MK9" s="99">
        <v>32.700000000000003</v>
      </c>
      <c r="ML9" s="99">
        <v>16.5</v>
      </c>
      <c r="MM9" s="99">
        <v>23.9</v>
      </c>
      <c r="MN9" s="99">
        <v>31.2</v>
      </c>
      <c r="MO9" s="99">
        <v>17.5</v>
      </c>
      <c r="MP9" s="99">
        <v>17.2</v>
      </c>
      <c r="MQ9" s="99">
        <v>23.1</v>
      </c>
      <c r="MR9" s="99">
        <v>24.5</v>
      </c>
      <c r="MS9" s="99">
        <v>26.6</v>
      </c>
      <c r="MT9" s="99">
        <v>22.9</v>
      </c>
      <c r="MU9" s="99">
        <v>24.1</v>
      </c>
      <c r="MV9" s="99">
        <v>18.600000000000001</v>
      </c>
      <c r="MW9" s="99">
        <v>30.1</v>
      </c>
      <c r="MX9" s="99">
        <v>18.2</v>
      </c>
      <c r="MY9" s="99">
        <v>20.6</v>
      </c>
      <c r="MZ9" s="99">
        <v>17.8</v>
      </c>
      <c r="NA9" s="99">
        <v>21.7</v>
      </c>
      <c r="NB9" s="99">
        <v>22.7</v>
      </c>
      <c r="NC9" s="99">
        <v>22.6</v>
      </c>
      <c r="ND9" s="99">
        <v>25</v>
      </c>
      <c r="NE9" s="99">
        <v>19.899999999999999</v>
      </c>
      <c r="NF9" s="99">
        <v>20.8</v>
      </c>
      <c r="NG9" s="99">
        <v>16.8</v>
      </c>
      <c r="NH9" s="99">
        <v>21.9</v>
      </c>
      <c r="NI9" s="99">
        <v>27.5</v>
      </c>
      <c r="NJ9" s="99">
        <v>21.9</v>
      </c>
      <c r="NK9" s="99">
        <v>23.1</v>
      </c>
      <c r="NL9" s="99">
        <v>50</v>
      </c>
      <c r="NM9" s="99">
        <v>50</v>
      </c>
      <c r="NN9" s="99">
        <v>50</v>
      </c>
      <c r="NO9" s="99">
        <v>50</v>
      </c>
      <c r="NP9" s="99">
        <v>50</v>
      </c>
      <c r="NQ9" s="99">
        <v>13.8</v>
      </c>
      <c r="NR9" s="99">
        <v>13.8</v>
      </c>
      <c r="NS9" s="99">
        <v>15</v>
      </c>
      <c r="NT9" s="99">
        <v>13.9</v>
      </c>
      <c r="NU9" s="99">
        <v>13.3</v>
      </c>
      <c r="NV9" s="99">
        <v>13.1</v>
      </c>
      <c r="NW9" s="99">
        <v>10.199999999999999</v>
      </c>
      <c r="NX9" s="99">
        <v>10.4</v>
      </c>
      <c r="NY9" s="99">
        <v>10.9</v>
      </c>
      <c r="NZ9" s="99">
        <v>11.3</v>
      </c>
      <c r="OA9" s="99">
        <v>12.3</v>
      </c>
      <c r="OB9" s="99">
        <v>8.8000000000000007</v>
      </c>
      <c r="OC9" s="99">
        <v>7.2</v>
      </c>
      <c r="OD9" s="99">
        <v>10.5</v>
      </c>
      <c r="OE9" s="99">
        <v>7.4</v>
      </c>
      <c r="OF9" s="99">
        <v>10.199999999999999</v>
      </c>
      <c r="OG9" s="99">
        <v>11.5</v>
      </c>
      <c r="OH9" s="99">
        <v>15.1</v>
      </c>
      <c r="OI9" s="99">
        <v>23.2</v>
      </c>
      <c r="OJ9" s="99">
        <v>9.6999999999999993</v>
      </c>
      <c r="OK9" s="99">
        <v>13.8</v>
      </c>
      <c r="OL9" s="99">
        <v>12.7</v>
      </c>
      <c r="OM9" s="99">
        <v>13.1</v>
      </c>
      <c r="ON9" s="99">
        <v>12.5</v>
      </c>
      <c r="OO9" s="99">
        <v>8.5</v>
      </c>
      <c r="OP9" s="99">
        <v>5</v>
      </c>
      <c r="OQ9" s="99">
        <v>6.3</v>
      </c>
      <c r="OR9" s="99">
        <v>5.6</v>
      </c>
      <c r="OS9" s="99">
        <v>7.2</v>
      </c>
      <c r="OT9" s="99">
        <v>12.1</v>
      </c>
      <c r="OU9" s="99">
        <v>8.3000000000000007</v>
      </c>
      <c r="OV9" s="99">
        <v>8.5</v>
      </c>
      <c r="OW9" s="99">
        <v>5</v>
      </c>
      <c r="OX9" s="99">
        <v>11.9</v>
      </c>
      <c r="OY9" s="99">
        <v>27.9</v>
      </c>
      <c r="OZ9" s="99">
        <v>17.2</v>
      </c>
      <c r="PA9" s="99">
        <v>27.5</v>
      </c>
      <c r="PB9" s="99">
        <v>15</v>
      </c>
      <c r="PC9" s="99">
        <v>17.2</v>
      </c>
      <c r="PD9" s="99">
        <v>17.899999999999999</v>
      </c>
      <c r="PE9" s="99">
        <v>16.3</v>
      </c>
      <c r="PF9" s="99">
        <v>7</v>
      </c>
      <c r="PG9" s="99">
        <v>7.2</v>
      </c>
      <c r="PH9" s="99">
        <v>7.5</v>
      </c>
      <c r="PI9" s="99">
        <v>10.4</v>
      </c>
      <c r="PJ9" s="99">
        <v>8.8000000000000007</v>
      </c>
      <c r="PK9" s="99">
        <v>8.4</v>
      </c>
      <c r="PL9" s="99">
        <v>16.7</v>
      </c>
      <c r="PM9" s="99">
        <v>14.2</v>
      </c>
      <c r="PN9" s="99">
        <v>20.8</v>
      </c>
      <c r="PO9" s="99">
        <v>13.4</v>
      </c>
      <c r="PP9" s="99">
        <v>11.7</v>
      </c>
      <c r="PQ9" s="99">
        <v>8.3000000000000007</v>
      </c>
      <c r="PR9" s="99">
        <v>10.199999999999999</v>
      </c>
      <c r="PS9" s="99">
        <v>10.9</v>
      </c>
      <c r="PT9" s="99">
        <v>11</v>
      </c>
      <c r="PU9" s="99">
        <v>9.5</v>
      </c>
      <c r="PV9" s="99">
        <v>14.5</v>
      </c>
      <c r="PW9" s="99">
        <v>14.1</v>
      </c>
      <c r="PX9" s="99">
        <v>16.100000000000001</v>
      </c>
      <c r="PY9" s="99">
        <v>14.3</v>
      </c>
      <c r="PZ9" s="99">
        <v>11.7</v>
      </c>
      <c r="QA9" s="99">
        <v>13.4</v>
      </c>
      <c r="QB9" s="99">
        <v>9.6</v>
      </c>
      <c r="QC9" s="99">
        <v>8.6999999999999993</v>
      </c>
      <c r="QD9" s="99">
        <v>8.4</v>
      </c>
      <c r="QE9" s="99">
        <v>12.8</v>
      </c>
      <c r="QF9" s="99">
        <v>10.5</v>
      </c>
      <c r="QG9" s="99">
        <v>17.100000000000001</v>
      </c>
      <c r="QH9" s="99">
        <v>18.399999999999999</v>
      </c>
      <c r="QI9" s="99">
        <v>15.4</v>
      </c>
      <c r="QJ9" s="99">
        <v>10.8</v>
      </c>
      <c r="QK9" s="99">
        <v>11.8</v>
      </c>
      <c r="QL9" s="99">
        <v>14.9</v>
      </c>
      <c r="QM9" s="99">
        <v>12.6</v>
      </c>
      <c r="QN9" s="99">
        <v>14.1</v>
      </c>
      <c r="QO9" s="99">
        <v>13</v>
      </c>
      <c r="QP9" s="99">
        <v>13.4</v>
      </c>
      <c r="QQ9" s="99">
        <v>15.2</v>
      </c>
      <c r="QR9" s="99">
        <v>16.100000000000001</v>
      </c>
      <c r="QS9" s="99">
        <v>17.8</v>
      </c>
      <c r="QT9" s="99">
        <v>14.9</v>
      </c>
      <c r="QU9" s="99">
        <v>14.1</v>
      </c>
      <c r="QV9" s="99">
        <v>12.7</v>
      </c>
      <c r="QW9" s="99">
        <v>13.5</v>
      </c>
      <c r="QX9" s="99">
        <v>14.9</v>
      </c>
      <c r="QY9" s="99">
        <v>20</v>
      </c>
      <c r="QZ9" s="99">
        <v>16.399999999999999</v>
      </c>
      <c r="RA9" s="99">
        <v>17.7</v>
      </c>
      <c r="RB9" s="99">
        <v>19.5</v>
      </c>
      <c r="RC9" s="99">
        <v>20.2</v>
      </c>
      <c r="RD9" s="99">
        <v>21.4</v>
      </c>
      <c r="RE9" s="99">
        <v>19.899999999999999</v>
      </c>
      <c r="RF9" s="99">
        <v>19</v>
      </c>
      <c r="RG9" s="99">
        <v>19.100000000000001</v>
      </c>
      <c r="RH9" s="99">
        <v>19.100000000000001</v>
      </c>
      <c r="RI9" s="99">
        <v>20.100000000000001</v>
      </c>
      <c r="RJ9" s="99">
        <v>19.899999999999999</v>
      </c>
      <c r="RK9" s="99">
        <v>19.600000000000001</v>
      </c>
      <c r="RL9" s="99">
        <v>23.2</v>
      </c>
      <c r="RM9" s="99">
        <v>29.8</v>
      </c>
      <c r="RN9" s="99">
        <v>13.8</v>
      </c>
      <c r="RO9" s="99">
        <v>13.3</v>
      </c>
      <c r="RP9" s="99">
        <v>16.7</v>
      </c>
      <c r="RQ9" s="99">
        <v>12</v>
      </c>
      <c r="RR9" s="99">
        <v>14.6</v>
      </c>
      <c r="RS9" s="99">
        <v>21.4</v>
      </c>
      <c r="RT9" s="99">
        <v>23</v>
      </c>
      <c r="RU9" s="99">
        <v>23.7</v>
      </c>
      <c r="RV9" s="99">
        <v>25</v>
      </c>
      <c r="RW9" s="99">
        <v>21.8</v>
      </c>
      <c r="RX9" s="99">
        <v>20.6</v>
      </c>
      <c r="RY9" s="99">
        <v>21.2</v>
      </c>
      <c r="RZ9" s="99">
        <v>19.100000000000001</v>
      </c>
      <c r="SA9" s="99">
        <v>20.6</v>
      </c>
      <c r="SB9" s="99">
        <v>15.2</v>
      </c>
      <c r="SC9" s="99">
        <v>7</v>
      </c>
      <c r="SD9" s="99">
        <v>8.1</v>
      </c>
      <c r="SE9" s="99">
        <v>13.6</v>
      </c>
      <c r="SF9" s="99">
        <v>20.100000000000001</v>
      </c>
      <c r="SG9" s="99">
        <v>21.8</v>
      </c>
      <c r="SH9" s="99">
        <v>24.5</v>
      </c>
      <c r="SI9" s="99">
        <v>23.1</v>
      </c>
      <c r="SJ9" s="99">
        <v>19.7</v>
      </c>
      <c r="SK9" s="99">
        <v>18.3</v>
      </c>
      <c r="SL9" s="99">
        <v>21.2</v>
      </c>
      <c r="SM9" s="99">
        <v>17.5</v>
      </c>
      <c r="SN9" s="99">
        <v>16.8</v>
      </c>
      <c r="SO9" s="99">
        <v>22.4</v>
      </c>
      <c r="SP9" s="99">
        <v>20.6</v>
      </c>
      <c r="SQ9" s="99">
        <v>23.9</v>
      </c>
      <c r="SR9" s="99">
        <v>22</v>
      </c>
      <c r="SS9" s="99">
        <v>11.9</v>
      </c>
    </row>
    <row r="10" spans="1:513">
      <c r="A10">
        <v>1</v>
      </c>
      <c r="B10">
        <v>6.43</v>
      </c>
      <c r="C10">
        <v>18.7</v>
      </c>
      <c r="D10">
        <v>5.21</v>
      </c>
      <c r="E10">
        <v>28.7</v>
      </c>
      <c r="F10" s="99">
        <f t="shared" si="0"/>
        <v>27.217648757009648</v>
      </c>
      <c r="G10" s="92"/>
      <c r="H10" s="128" t="s">
        <v>578</v>
      </c>
      <c r="I10" s="128"/>
      <c r="J10" s="128"/>
      <c r="K10" s="128"/>
    </row>
    <row r="11" spans="1:513">
      <c r="A11">
        <v>1</v>
      </c>
      <c r="B11">
        <v>6.0119999999999996</v>
      </c>
      <c r="C11">
        <v>15.2</v>
      </c>
      <c r="D11">
        <v>12.43</v>
      </c>
      <c r="E11">
        <v>22.9</v>
      </c>
      <c r="F11" s="99">
        <f t="shared" si="0"/>
        <v>24.459294679484948</v>
      </c>
      <c r="G11" s="92"/>
      <c r="H11" s="99">
        <f t="array" ref="H11:K14">MMULT(H5:SS8,A5:D510)</f>
        <v>506</v>
      </c>
      <c r="I11" s="99">
        <v>3180.0250000000042</v>
      </c>
      <c r="J11" s="99">
        <v>9338.5000000000109</v>
      </c>
      <c r="K11" s="99">
        <v>6402.4500000000016</v>
      </c>
    </row>
    <row r="12" spans="1:513">
      <c r="A12">
        <v>1</v>
      </c>
      <c r="B12">
        <v>6.1719999999999997</v>
      </c>
      <c r="C12">
        <v>15.2</v>
      </c>
      <c r="D12">
        <v>19.149999999999999</v>
      </c>
      <c r="E12">
        <v>27.1</v>
      </c>
      <c r="F12" s="99">
        <f t="shared" si="0"/>
        <v>21.339227807997538</v>
      </c>
      <c r="G12" s="92"/>
      <c r="H12" s="99">
        <v>3180.0250000000042</v>
      </c>
      <c r="I12" s="99">
        <v>20234.598247000024</v>
      </c>
      <c r="J12" s="99">
        <v>58415.972799999894</v>
      </c>
      <c r="K12" s="99">
        <v>38681.788020000015</v>
      </c>
    </row>
    <row r="13" spans="1:513">
      <c r="A13">
        <v>1</v>
      </c>
      <c r="B13">
        <v>5.6310000000000002</v>
      </c>
      <c r="C13">
        <v>15.2</v>
      </c>
      <c r="D13">
        <v>29.93</v>
      </c>
      <c r="E13">
        <v>16.5</v>
      </c>
      <c r="F13" s="99">
        <f t="shared" si="0"/>
        <v>12.732319762105877</v>
      </c>
      <c r="G13" s="92"/>
      <c r="H13" s="99">
        <v>9338.5000000000109</v>
      </c>
      <c r="I13" s="99">
        <v>58415.972799999894</v>
      </c>
      <c r="J13" s="99">
        <v>174713.93000000028</v>
      </c>
      <c r="K13" s="99">
        <v>121080.90899999997</v>
      </c>
    </row>
    <row r="14" spans="1:513">
      <c r="A14">
        <v>1</v>
      </c>
      <c r="B14">
        <v>6.0039999999999996</v>
      </c>
      <c r="C14">
        <v>15.2</v>
      </c>
      <c r="D14">
        <v>17.100000000000001</v>
      </c>
      <c r="E14">
        <v>18.899999999999999</v>
      </c>
      <c r="F14" s="99">
        <f t="shared" si="0"/>
        <v>21.752838749568987</v>
      </c>
      <c r="G14" s="92"/>
      <c r="H14" s="99">
        <v>6402.4500000000016</v>
      </c>
      <c r="I14" s="99">
        <v>38681.788020000015</v>
      </c>
      <c r="J14" s="99">
        <v>121080.90899999997</v>
      </c>
      <c r="K14" s="99">
        <v>106762.9582999999</v>
      </c>
    </row>
    <row r="15" spans="1:513">
      <c r="A15">
        <v>1</v>
      </c>
      <c r="B15">
        <v>6.3769999999999998</v>
      </c>
      <c r="C15">
        <v>15.2</v>
      </c>
      <c r="D15">
        <v>20.45</v>
      </c>
      <c r="E15">
        <v>15</v>
      </c>
      <c r="F15" s="99">
        <f t="shared" si="0"/>
        <v>21.521541707253128</v>
      </c>
      <c r="G15" s="92"/>
    </row>
    <row r="16" spans="1:513">
      <c r="A16">
        <v>1</v>
      </c>
      <c r="B16">
        <v>6.0090000000000003</v>
      </c>
      <c r="C16">
        <v>15.2</v>
      </c>
      <c r="D16">
        <v>13.27</v>
      </c>
      <c r="E16">
        <v>18.899999999999999</v>
      </c>
      <c r="F16" s="99">
        <f t="shared" si="0"/>
        <v>23.965431638840393</v>
      </c>
      <c r="G16" s="92"/>
      <c r="H16" s="128" t="s">
        <v>577</v>
      </c>
      <c r="I16" s="128"/>
      <c r="J16" s="128"/>
      <c r="K16" s="128"/>
    </row>
    <row r="17" spans="1:11">
      <c r="A17">
        <v>1</v>
      </c>
      <c r="B17">
        <v>5.8890000000000002</v>
      </c>
      <c r="C17">
        <v>15.2</v>
      </c>
      <c r="D17">
        <v>15.71</v>
      </c>
      <c r="E17">
        <v>21.7</v>
      </c>
      <c r="F17" s="99">
        <f t="shared" si="0"/>
        <v>22.028375247168757</v>
      </c>
      <c r="G17" s="92"/>
      <c r="H17" s="99">
        <f t="array" ref="H17:K20">MINVERSE(H11:K14)</f>
        <v>0.55996562022448859</v>
      </c>
      <c r="I17" s="99">
        <v>-5.211178178128572E-2</v>
      </c>
      <c r="J17" s="99">
        <v>-1.0836642170333591E-2</v>
      </c>
      <c r="K17" s="99">
        <v>-2.4096794300459351E-3</v>
      </c>
    </row>
    <row r="18" spans="1:11">
      <c r="A18">
        <v>1</v>
      </c>
      <c r="B18">
        <v>5.9489999999999998</v>
      </c>
      <c r="C18">
        <v>21</v>
      </c>
      <c r="D18">
        <v>8.26</v>
      </c>
      <c r="E18">
        <v>20.399999999999999</v>
      </c>
      <c r="F18" s="99">
        <f t="shared" si="0"/>
        <v>21.161062057882603</v>
      </c>
      <c r="G18" s="92"/>
      <c r="H18" s="99">
        <v>-5.211178178128608E-2</v>
      </c>
      <c r="I18" s="99">
        <v>6.6321470789482634E-3</v>
      </c>
      <c r="J18" s="99">
        <v>3.1509521738820395E-4</v>
      </c>
      <c r="K18" s="99">
        <v>3.6480587572234669E-4</v>
      </c>
    </row>
    <row r="19" spans="1:11">
      <c r="A19">
        <v>1</v>
      </c>
      <c r="B19">
        <v>6.0960000000000001</v>
      </c>
      <c r="C19">
        <v>21</v>
      </c>
      <c r="D19">
        <v>10.26</v>
      </c>
      <c r="E19">
        <v>18.2</v>
      </c>
      <c r="F19" s="99">
        <f t="shared" si="0"/>
        <v>20.681217560883859</v>
      </c>
      <c r="G19" s="92"/>
      <c r="H19" s="99">
        <v>-1.0836642170333421E-2</v>
      </c>
      <c r="I19" s="99">
        <v>3.1509521738818085E-4</v>
      </c>
      <c r="J19" s="99">
        <v>5.0618382715853058E-4</v>
      </c>
      <c r="K19" s="99">
        <v>-3.8370842475315341E-5</v>
      </c>
    </row>
    <row r="20" spans="1:11">
      <c r="A20">
        <v>1</v>
      </c>
      <c r="B20">
        <v>5.8339999999999996</v>
      </c>
      <c r="C20">
        <v>21</v>
      </c>
      <c r="D20">
        <v>8.4700000000000006</v>
      </c>
      <c r="E20">
        <v>19.899999999999999</v>
      </c>
      <c r="F20" s="99">
        <f t="shared" si="0"/>
        <v>20.521709454886182</v>
      </c>
      <c r="G20" s="92"/>
      <c r="H20" s="99">
        <v>-2.4096794300459941E-3</v>
      </c>
      <c r="I20" s="99">
        <v>3.648058757223507E-4</v>
      </c>
      <c r="J20" s="99">
        <v>-3.8370842475313504E-5</v>
      </c>
      <c r="K20" s="99">
        <v>6.5214425589425764E-5</v>
      </c>
    </row>
    <row r="21" spans="1:11">
      <c r="A21">
        <v>1</v>
      </c>
      <c r="B21">
        <v>5.9349999999999996</v>
      </c>
      <c r="C21">
        <v>21</v>
      </c>
      <c r="D21">
        <v>6.58</v>
      </c>
      <c r="E21">
        <v>23.1</v>
      </c>
      <c r="F21" s="99">
        <f t="shared" si="0"/>
        <v>22.058479720294653</v>
      </c>
      <c r="G21" s="92"/>
    </row>
    <row r="22" spans="1:11">
      <c r="A22">
        <v>1</v>
      </c>
      <c r="B22">
        <v>5.99</v>
      </c>
      <c r="C22">
        <v>21</v>
      </c>
      <c r="D22">
        <v>14.67</v>
      </c>
      <c r="E22">
        <v>17.5</v>
      </c>
      <c r="F22" s="99">
        <f t="shared" si="0"/>
        <v>17.680919857317122</v>
      </c>
      <c r="G22" s="92"/>
      <c r="H22" s="97" t="s">
        <v>568</v>
      </c>
      <c r="J22" s="120" t="s">
        <v>267</v>
      </c>
      <c r="K22" s="120"/>
    </row>
    <row r="23" spans="1:11">
      <c r="A23">
        <v>1</v>
      </c>
      <c r="B23">
        <v>5.4560000000000004</v>
      </c>
      <c r="C23">
        <v>21</v>
      </c>
      <c r="D23">
        <v>11.69</v>
      </c>
      <c r="E23">
        <v>20.2</v>
      </c>
      <c r="F23" s="99">
        <f t="shared" si="0"/>
        <v>16.973666023159673</v>
      </c>
      <c r="G23" s="92"/>
      <c r="H23" s="99">
        <f t="array" ref="H23:H26">MMULT(H5:SS8,E5:E510)</f>
        <v>11401.600000000013</v>
      </c>
      <c r="J23" s="99">
        <f t="array" ref="J23:J26">MMULT(H17:K20,H23:H26)</f>
        <v>18.567111505403659</v>
      </c>
    </row>
    <row r="24" spans="1:11">
      <c r="A24">
        <v>1</v>
      </c>
      <c r="B24">
        <v>5.7270000000000003</v>
      </c>
      <c r="C24">
        <v>21</v>
      </c>
      <c r="D24">
        <v>11.28</v>
      </c>
      <c r="E24">
        <v>18.2</v>
      </c>
      <c r="F24" s="99">
        <f t="shared" si="0"/>
        <v>18.431785430971786</v>
      </c>
      <c r="G24" s="92"/>
      <c r="H24" s="99">
        <v>73924.077600000019</v>
      </c>
      <c r="J24" s="99">
        <v>4.5154209438536554</v>
      </c>
    </row>
    <row r="25" spans="1:11">
      <c r="A25">
        <v>1</v>
      </c>
      <c r="B25">
        <v>5.57</v>
      </c>
      <c r="C25">
        <v>21</v>
      </c>
      <c r="D25">
        <v>21.02</v>
      </c>
      <c r="E25">
        <v>13.6</v>
      </c>
      <c r="F25" s="99">
        <f t="shared" si="0"/>
        <v>12.153476942907451</v>
      </c>
      <c r="G25" s="92"/>
      <c r="H25" s="99">
        <v>205316.73000000016</v>
      </c>
      <c r="J25" s="99">
        <v>-0.93072255527041037</v>
      </c>
    </row>
    <row r="26" spans="1:11">
      <c r="A26">
        <v>1</v>
      </c>
      <c r="B26">
        <v>5.9649999999999999</v>
      </c>
      <c r="C26">
        <v>21</v>
      </c>
      <c r="D26">
        <v>13.83</v>
      </c>
      <c r="E26">
        <v>19.600000000000001</v>
      </c>
      <c r="F26" s="99">
        <f t="shared" si="0"/>
        <v>18.048351111533773</v>
      </c>
      <c r="G26" s="92"/>
      <c r="H26" s="99">
        <v>119799.15899999997</v>
      </c>
      <c r="J26" s="99">
        <v>-0.57180568787261876</v>
      </c>
    </row>
    <row r="27" spans="1:11">
      <c r="A27">
        <v>1</v>
      </c>
      <c r="B27">
        <v>6.1420000000000003</v>
      </c>
      <c r="C27">
        <v>21</v>
      </c>
      <c r="D27">
        <v>18.72</v>
      </c>
      <c r="E27">
        <v>15.2</v>
      </c>
      <c r="F27" s="99">
        <f t="shared" si="0"/>
        <v>16.051450804898778</v>
      </c>
      <c r="G27" s="92"/>
    </row>
    <row r="28" spans="1:11">
      <c r="A28">
        <v>1</v>
      </c>
      <c r="B28">
        <v>5.8129999999999997</v>
      </c>
      <c r="C28">
        <v>21</v>
      </c>
      <c r="D28">
        <v>19.88</v>
      </c>
      <c r="E28">
        <v>14.5</v>
      </c>
      <c r="F28" s="99">
        <f t="shared" si="0"/>
        <v>13.902582716438683</v>
      </c>
      <c r="G28" s="92"/>
    </row>
    <row r="29" spans="1:11">
      <c r="A29">
        <v>1</v>
      </c>
      <c r="B29">
        <v>5.9240000000000004</v>
      </c>
      <c r="C29">
        <v>21</v>
      </c>
      <c r="D29">
        <v>16.3</v>
      </c>
      <c r="E29">
        <v>15.6</v>
      </c>
      <c r="F29" s="99">
        <f t="shared" si="0"/>
        <v>16.450858803790414</v>
      </c>
      <c r="G29" s="92"/>
    </row>
    <row r="30" spans="1:11">
      <c r="A30">
        <v>1</v>
      </c>
      <c r="B30">
        <v>5.5990000000000002</v>
      </c>
      <c r="C30">
        <v>21</v>
      </c>
      <c r="D30">
        <v>16.510000000000002</v>
      </c>
      <c r="E30">
        <v>13.9</v>
      </c>
      <c r="F30" s="99">
        <f t="shared" si="0"/>
        <v>14.863267802584723</v>
      </c>
      <c r="G30" s="92"/>
    </row>
    <row r="31" spans="1:11">
      <c r="A31">
        <v>1</v>
      </c>
      <c r="B31">
        <v>5.8129999999999997</v>
      </c>
      <c r="C31">
        <v>21</v>
      </c>
      <c r="D31">
        <v>14.81</v>
      </c>
      <c r="E31">
        <v>16.600000000000001</v>
      </c>
      <c r="F31" s="99">
        <f t="shared" si="0"/>
        <v>16.801637553952858</v>
      </c>
      <c r="G31" s="92"/>
    </row>
    <row r="32" spans="1:11">
      <c r="A32">
        <v>1</v>
      </c>
      <c r="B32">
        <v>6.0469999999999997</v>
      </c>
      <c r="C32">
        <v>21</v>
      </c>
      <c r="D32">
        <v>17.28</v>
      </c>
      <c r="E32">
        <v>14.8</v>
      </c>
      <c r="F32" s="99">
        <f t="shared" si="0"/>
        <v>16.445886005769239</v>
      </c>
      <c r="G32" s="92"/>
    </row>
    <row r="33" spans="1:11">
      <c r="A33">
        <v>1</v>
      </c>
      <c r="B33">
        <v>6.4950000000000001</v>
      </c>
      <c r="C33">
        <v>21</v>
      </c>
      <c r="D33">
        <v>12.8</v>
      </c>
      <c r="E33">
        <v>18.399999999999999</v>
      </c>
      <c r="F33" s="99">
        <f t="shared" si="0"/>
        <v>21.030484070285013</v>
      </c>
      <c r="G33" s="92"/>
    </row>
    <row r="34" spans="1:11">
      <c r="A34">
        <v>1</v>
      </c>
      <c r="B34">
        <v>6.6740000000000004</v>
      </c>
      <c r="C34">
        <v>21</v>
      </c>
      <c r="D34">
        <v>11.98</v>
      </c>
      <c r="E34">
        <v>21</v>
      </c>
      <c r="F34" s="99">
        <f t="shared" si="0"/>
        <v>22.307625083290368</v>
      </c>
      <c r="G34" s="92"/>
    </row>
    <row r="35" spans="1:11">
      <c r="A35">
        <v>1</v>
      </c>
      <c r="B35">
        <v>5.7130000000000001</v>
      </c>
      <c r="C35">
        <v>21</v>
      </c>
      <c r="D35">
        <v>22.6</v>
      </c>
      <c r="E35">
        <v>12.7</v>
      </c>
      <c r="F35" s="99">
        <f t="shared" si="0"/>
        <v>11.895729151039792</v>
      </c>
      <c r="G35" s="92"/>
    </row>
    <row r="36" spans="1:11">
      <c r="A36">
        <v>1</v>
      </c>
      <c r="B36">
        <v>6.0720000000000001</v>
      </c>
      <c r="C36">
        <v>21</v>
      </c>
      <c r="D36">
        <v>13.04</v>
      </c>
      <c r="E36">
        <v>14.5</v>
      </c>
      <c r="F36" s="99">
        <f t="shared" si="0"/>
        <v>18.983227645945483</v>
      </c>
      <c r="G36" s="92"/>
    </row>
    <row r="37" spans="1:11">
      <c r="A37">
        <v>1</v>
      </c>
      <c r="B37">
        <v>5.95</v>
      </c>
      <c r="C37">
        <v>21</v>
      </c>
      <c r="D37">
        <v>27.71</v>
      </c>
      <c r="E37">
        <v>13.2</v>
      </c>
      <c r="F37" s="99">
        <f t="shared" si="0"/>
        <v>10.043956849704028</v>
      </c>
      <c r="G37" s="92"/>
    </row>
    <row r="38" spans="1:11">
      <c r="A38">
        <v>1</v>
      </c>
      <c r="B38">
        <v>5.7009999999999996</v>
      </c>
      <c r="C38">
        <v>21</v>
      </c>
      <c r="D38">
        <v>18.350000000000001</v>
      </c>
      <c r="E38">
        <v>13.1</v>
      </c>
      <c r="F38" s="99">
        <f t="shared" si="0"/>
        <v>14.271718273172171</v>
      </c>
      <c r="G38" s="92"/>
    </row>
    <row r="39" spans="1:11">
      <c r="A39">
        <v>1</v>
      </c>
      <c r="B39">
        <v>6.0960000000000001</v>
      </c>
      <c r="C39">
        <v>21</v>
      </c>
      <c r="D39">
        <v>20.34</v>
      </c>
      <c r="E39">
        <v>13.5</v>
      </c>
      <c r="F39" s="99">
        <f t="shared" si="0"/>
        <v>14.917416227127861</v>
      </c>
      <c r="G39" s="92"/>
    </row>
    <row r="40" spans="1:11">
      <c r="A40">
        <v>1</v>
      </c>
      <c r="B40">
        <v>5.9329999999999998</v>
      </c>
      <c r="C40">
        <v>19.2</v>
      </c>
      <c r="D40">
        <v>9.68</v>
      </c>
      <c r="E40">
        <v>18.899999999999999</v>
      </c>
      <c r="F40" s="99">
        <f t="shared" si="0"/>
        <v>21.952151845488565</v>
      </c>
      <c r="G40" s="92"/>
    </row>
    <row r="41" spans="1:11">
      <c r="A41">
        <v>1</v>
      </c>
      <c r="B41">
        <v>5.8410000000000002</v>
      </c>
      <c r="C41">
        <v>19.2</v>
      </c>
      <c r="D41">
        <v>11.41</v>
      </c>
      <c r="E41">
        <v>20</v>
      </c>
      <c r="F41" s="99">
        <f t="shared" si="0"/>
        <v>20.547509278634404</v>
      </c>
      <c r="G41" s="92"/>
    </row>
    <row r="42" spans="1:11">
      <c r="A42">
        <v>1</v>
      </c>
      <c r="B42">
        <v>5.85</v>
      </c>
      <c r="C42">
        <v>19.2</v>
      </c>
      <c r="D42">
        <v>8.77</v>
      </c>
      <c r="E42">
        <v>21</v>
      </c>
      <c r="F42" s="99">
        <f t="shared" si="0"/>
        <v>22.097715083112792</v>
      </c>
      <c r="G42" s="92"/>
    </row>
    <row r="43" spans="1:11">
      <c r="A43">
        <v>1</v>
      </c>
      <c r="B43">
        <v>5.9660000000000002</v>
      </c>
      <c r="C43">
        <v>19.2</v>
      </c>
      <c r="D43">
        <v>10.130000000000001</v>
      </c>
      <c r="E43">
        <v>24.7</v>
      </c>
      <c r="F43" s="99">
        <f t="shared" si="0"/>
        <v>21.843848177093061</v>
      </c>
      <c r="G43" s="92"/>
    </row>
    <row r="44" spans="1:11">
      <c r="A44">
        <v>1</v>
      </c>
      <c r="B44">
        <v>6.5949999999999998</v>
      </c>
      <c r="C44">
        <v>18.3</v>
      </c>
      <c r="D44">
        <v>4.32</v>
      </c>
      <c r="E44">
        <v>30.8</v>
      </c>
      <c r="F44" s="99">
        <f t="shared" si="0"/>
        <v>28.843889297060297</v>
      </c>
      <c r="G44" s="92"/>
    </row>
    <row r="45" spans="1:11">
      <c r="A45">
        <v>1</v>
      </c>
      <c r="B45">
        <v>7.024</v>
      </c>
      <c r="C45">
        <v>18.3</v>
      </c>
      <c r="D45">
        <v>1.98</v>
      </c>
      <c r="E45">
        <v>34.9</v>
      </c>
      <c r="F45" s="99">
        <f t="shared" si="0"/>
        <v>32.119030191595442</v>
      </c>
      <c r="G45" s="92"/>
    </row>
    <row r="46" spans="1:11">
      <c r="A46">
        <v>1</v>
      </c>
      <c r="B46">
        <v>6.77</v>
      </c>
      <c r="C46">
        <v>17.899999999999999</v>
      </c>
      <c r="D46">
        <v>4.84</v>
      </c>
      <c r="E46">
        <v>26.6</v>
      </c>
      <c r="F46" s="99">
        <f t="shared" si="0"/>
        <v>29.709038026649086</v>
      </c>
      <c r="G46" s="92"/>
      <c r="H46" s="97" t="s">
        <v>568</v>
      </c>
      <c r="J46" s="120" t="s">
        <v>267</v>
      </c>
      <c r="K46" s="120"/>
    </row>
    <row r="47" spans="1:11">
      <c r="A47">
        <v>1</v>
      </c>
      <c r="B47">
        <v>6.1689999999999996</v>
      </c>
      <c r="C47">
        <v>17.899999999999999</v>
      </c>
      <c r="D47">
        <v>5.81</v>
      </c>
      <c r="E47">
        <v>25.3</v>
      </c>
      <c r="F47" s="99">
        <f t="shared" si="0"/>
        <v>26.440618522156598</v>
      </c>
      <c r="G47" s="92"/>
      <c r="H47" s="59" t="e">
        <f t="array" ref="H47:H58">MMULT(H5:SS16,E5:E510)</f>
        <v>#VALUE!</v>
      </c>
      <c r="J47" t="e">
        <f t="array" ref="J47:J58">MMULT(H33:S44,H47:H58)</f>
        <v>#VALUE!</v>
      </c>
    </row>
    <row r="48" spans="1:11">
      <c r="A48">
        <v>1</v>
      </c>
      <c r="B48">
        <v>6.2110000000000003</v>
      </c>
      <c r="C48">
        <v>17.899999999999999</v>
      </c>
      <c r="D48">
        <v>7.44</v>
      </c>
      <c r="E48">
        <v>24.7</v>
      </c>
      <c r="F48" s="99">
        <f t="shared" si="0"/>
        <v>25.698222930566086</v>
      </c>
      <c r="G48" s="92"/>
      <c r="H48" s="59" t="e">
        <v>#VALUE!</v>
      </c>
      <c r="J48" t="e">
        <v>#VALUE!</v>
      </c>
    </row>
    <row r="49" spans="1:10">
      <c r="A49">
        <v>1</v>
      </c>
      <c r="B49">
        <v>6.069</v>
      </c>
      <c r="C49">
        <v>17.899999999999999</v>
      </c>
      <c r="D49">
        <v>9.5500000000000007</v>
      </c>
      <c r="E49">
        <v>21.2</v>
      </c>
      <c r="F49" s="99">
        <f t="shared" si="0"/>
        <v>23.85052315512764</v>
      </c>
      <c r="G49" s="92"/>
      <c r="H49" s="59" t="e">
        <v>#VALUE!</v>
      </c>
      <c r="J49" t="e">
        <v>#VALUE!</v>
      </c>
    </row>
    <row r="50" spans="1:10">
      <c r="A50">
        <v>1</v>
      </c>
      <c r="B50">
        <v>5.6820000000000004</v>
      </c>
      <c r="C50">
        <v>17.899999999999999</v>
      </c>
      <c r="D50">
        <v>10.210000000000001</v>
      </c>
      <c r="E50">
        <v>19.3</v>
      </c>
      <c r="F50" s="99">
        <f t="shared" si="0"/>
        <v>21.725663495860349</v>
      </c>
      <c r="G50" s="92"/>
      <c r="H50" s="59" t="e">
        <v>#VALUE!</v>
      </c>
      <c r="J50" t="e">
        <v>#VALUE!</v>
      </c>
    </row>
    <row r="51" spans="1:10">
      <c r="A51">
        <v>1</v>
      </c>
      <c r="B51">
        <v>5.7859999999999996</v>
      </c>
      <c r="C51">
        <v>17.899999999999999</v>
      </c>
      <c r="D51">
        <v>14.15</v>
      </c>
      <c r="E51">
        <v>20</v>
      </c>
      <c r="F51" s="99">
        <f t="shared" si="0"/>
        <v>19.942352863803006</v>
      </c>
      <c r="G51" s="92"/>
      <c r="H51" s="59" t="e">
        <v>#VALUE!</v>
      </c>
      <c r="J51" t="e">
        <v>#VALUE!</v>
      </c>
    </row>
    <row r="52" spans="1:10">
      <c r="A52">
        <v>1</v>
      </c>
      <c r="B52">
        <v>6.03</v>
      </c>
      <c r="C52">
        <v>17.899999999999999</v>
      </c>
      <c r="D52">
        <v>18.8</v>
      </c>
      <c r="E52">
        <v>16.600000000000001</v>
      </c>
      <c r="F52" s="99">
        <f t="shared" si="0"/>
        <v>18.38521912549562</v>
      </c>
      <c r="G52" s="92"/>
      <c r="H52" s="59" t="e">
        <v>#VALUE!</v>
      </c>
      <c r="J52" t="e">
        <v>#VALUE!</v>
      </c>
    </row>
    <row r="53" spans="1:10">
      <c r="A53">
        <v>1</v>
      </c>
      <c r="B53">
        <v>5.399</v>
      </c>
      <c r="C53">
        <v>17.899999999999999</v>
      </c>
      <c r="D53">
        <v>30.81</v>
      </c>
      <c r="E53">
        <v>14.4</v>
      </c>
      <c r="F53" s="99">
        <f t="shared" si="0"/>
        <v>8.6686021985738151</v>
      </c>
      <c r="G53" s="92"/>
      <c r="H53" s="59" t="e">
        <v>#VALUE!</v>
      </c>
      <c r="J53" t="e">
        <v>#VALUE!</v>
      </c>
    </row>
    <row r="54" spans="1:10">
      <c r="A54">
        <v>1</v>
      </c>
      <c r="B54">
        <v>5.6020000000000003</v>
      </c>
      <c r="C54">
        <v>17.899999999999999</v>
      </c>
      <c r="D54">
        <v>16.2</v>
      </c>
      <c r="E54">
        <v>19.399999999999999</v>
      </c>
      <c r="F54" s="99">
        <f t="shared" si="0"/>
        <v>17.939313749995069</v>
      </c>
      <c r="G54" s="92"/>
      <c r="H54" s="59" t="e">
        <v>#VALUE!</v>
      </c>
      <c r="J54" t="e">
        <v>#VALUE!</v>
      </c>
    </row>
    <row r="55" spans="1:10">
      <c r="A55">
        <v>1</v>
      </c>
      <c r="B55">
        <v>5.9630000000000001</v>
      </c>
      <c r="C55">
        <v>16.8</v>
      </c>
      <c r="D55">
        <v>13.45</v>
      </c>
      <c r="E55">
        <v>19.7</v>
      </c>
      <c r="F55" s="99">
        <f t="shared" si="0"/>
        <v>22.16564116317339</v>
      </c>
      <c r="G55" s="92"/>
      <c r="H55" s="59" t="e">
        <v>#VALUE!</v>
      </c>
      <c r="J55" t="e">
        <v>#VALUE!</v>
      </c>
    </row>
    <row r="56" spans="1:10">
      <c r="A56">
        <v>1</v>
      </c>
      <c r="B56">
        <v>6.1150000000000002</v>
      </c>
      <c r="C56">
        <v>16.8</v>
      </c>
      <c r="D56">
        <v>9.43</v>
      </c>
      <c r="E56">
        <v>20.5</v>
      </c>
      <c r="F56" s="99">
        <f t="shared" si="0"/>
        <v>25.150644011887074</v>
      </c>
      <c r="G56" s="92"/>
      <c r="H56" s="59" t="e">
        <v>#VALUE!</v>
      </c>
      <c r="J56" t="e">
        <v>#VALUE!</v>
      </c>
    </row>
    <row r="57" spans="1:10">
      <c r="A57">
        <v>1</v>
      </c>
      <c r="B57">
        <v>6.5110000000000001</v>
      </c>
      <c r="C57">
        <v>16.8</v>
      </c>
      <c r="D57">
        <v>5.28</v>
      </c>
      <c r="E57">
        <v>25</v>
      </c>
      <c r="F57" s="99">
        <f t="shared" si="0"/>
        <v>29.311744310324485</v>
      </c>
      <c r="G57" s="92"/>
      <c r="H57" s="59" t="e">
        <v>#VALUE!</v>
      </c>
      <c r="J57" t="e">
        <v>#VALUE!</v>
      </c>
    </row>
    <row r="58" spans="1:10">
      <c r="A58">
        <v>1</v>
      </c>
      <c r="B58">
        <v>5.9980000000000002</v>
      </c>
      <c r="C58">
        <v>16.8</v>
      </c>
      <c r="D58">
        <v>8.43</v>
      </c>
      <c r="E58">
        <v>23.4</v>
      </c>
      <c r="F58" s="99">
        <f t="shared" si="0"/>
        <v>25.194145449328815</v>
      </c>
      <c r="G58" s="92"/>
      <c r="H58" s="59" t="e">
        <v>#VALUE!</v>
      </c>
      <c r="J58" t="e">
        <v>#VALUE!</v>
      </c>
    </row>
    <row r="59" spans="1:10">
      <c r="A59">
        <v>1</v>
      </c>
      <c r="B59">
        <v>5.8879999999999999</v>
      </c>
      <c r="C59">
        <v>21.1</v>
      </c>
      <c r="D59">
        <v>14.8</v>
      </c>
      <c r="E59">
        <v>18.899999999999999</v>
      </c>
      <c r="F59" s="99">
        <f t="shared" si="0"/>
        <v>17.052939926093565</v>
      </c>
      <c r="G59" s="92"/>
    </row>
    <row r="60" spans="1:10">
      <c r="A60">
        <v>1</v>
      </c>
      <c r="B60">
        <v>7.2489999999999997</v>
      </c>
      <c r="C60">
        <v>17.899999999999999</v>
      </c>
      <c r="D60">
        <v>4.8099999999999996</v>
      </c>
      <c r="E60">
        <v>35.4</v>
      </c>
      <c r="F60" s="99">
        <f t="shared" si="0"/>
        <v>31.889078829391167</v>
      </c>
      <c r="G60" s="92"/>
    </row>
    <row r="61" spans="1:10">
      <c r="A61">
        <v>1</v>
      </c>
      <c r="B61">
        <v>6.383</v>
      </c>
      <c r="C61">
        <v>17.3</v>
      </c>
      <c r="D61">
        <v>5.77</v>
      </c>
      <c r="E61">
        <v>24.7</v>
      </c>
      <c r="F61" s="99">
        <f t="shared" si="0"/>
        <v>27.988224364818432</v>
      </c>
      <c r="G61" s="92"/>
    </row>
    <row r="62" spans="1:10">
      <c r="A62">
        <v>1</v>
      </c>
      <c r="B62">
        <v>6.8159999999999998</v>
      </c>
      <c r="C62">
        <v>15.1</v>
      </c>
      <c r="D62">
        <v>3.95</v>
      </c>
      <c r="E62">
        <v>31.6</v>
      </c>
      <c r="F62" s="99">
        <f t="shared" si="0"/>
        <v>33.031677607030133</v>
      </c>
      <c r="G62" s="92"/>
    </row>
    <row r="63" spans="1:10">
      <c r="A63">
        <v>1</v>
      </c>
      <c r="B63">
        <v>6.1449999999999996</v>
      </c>
      <c r="C63">
        <v>19.7</v>
      </c>
      <c r="D63">
        <v>6.86</v>
      </c>
      <c r="E63">
        <v>23.3</v>
      </c>
      <c r="F63" s="99">
        <f t="shared" si="0"/>
        <v>24.05655184775112</v>
      </c>
      <c r="G63" s="92"/>
    </row>
    <row r="64" spans="1:10">
      <c r="A64">
        <v>1</v>
      </c>
      <c r="B64">
        <v>5.9269999999999996</v>
      </c>
      <c r="C64">
        <v>19.7</v>
      </c>
      <c r="D64">
        <v>9.2200000000000006</v>
      </c>
      <c r="E64">
        <v>19.600000000000001</v>
      </c>
      <c r="F64" s="99">
        <f t="shared" si="0"/>
        <v>21.722728658611643</v>
      </c>
      <c r="G64" s="92"/>
    </row>
    <row r="65" spans="1:7">
      <c r="A65">
        <v>1</v>
      </c>
      <c r="B65">
        <v>5.7409999999999997</v>
      </c>
      <c r="C65">
        <v>19.7</v>
      </c>
      <c r="D65">
        <v>13.15</v>
      </c>
      <c r="E65">
        <v>18.7</v>
      </c>
      <c r="F65" s="99">
        <f t="shared" si="0"/>
        <v>18.635664009715466</v>
      </c>
      <c r="G65" s="92"/>
    </row>
    <row r="66" spans="1:7">
      <c r="A66">
        <v>1</v>
      </c>
      <c r="B66">
        <v>5.9660000000000002</v>
      </c>
      <c r="C66">
        <v>19.7</v>
      </c>
      <c r="D66">
        <v>14.44</v>
      </c>
      <c r="E66">
        <v>16</v>
      </c>
      <c r="F66" s="99">
        <f t="shared" si="0"/>
        <v>18.914004384726869</v>
      </c>
      <c r="G66" s="92"/>
    </row>
    <row r="67" spans="1:7">
      <c r="A67">
        <v>1</v>
      </c>
      <c r="B67">
        <v>6.4560000000000004</v>
      </c>
      <c r="C67">
        <v>19.7</v>
      </c>
      <c r="D67">
        <v>6.73</v>
      </c>
      <c r="E67">
        <v>22.2</v>
      </c>
      <c r="F67" s="99">
        <f t="shared" si="0"/>
        <v>25.535182500713052</v>
      </c>
      <c r="G67" s="92"/>
    </row>
    <row r="68" spans="1:7">
      <c r="A68">
        <v>1</v>
      </c>
      <c r="B68">
        <v>6.7619999999999996</v>
      </c>
      <c r="C68">
        <v>19.7</v>
      </c>
      <c r="D68">
        <v>9.5</v>
      </c>
      <c r="E68">
        <v>25</v>
      </c>
      <c r="F68" s="99">
        <f t="shared" si="0"/>
        <v>25.332999554125113</v>
      </c>
      <c r="G68" s="92"/>
    </row>
    <row r="69" spans="1:7">
      <c r="A69">
        <v>1</v>
      </c>
      <c r="B69">
        <v>7.1040000000000001</v>
      </c>
      <c r="C69">
        <v>18.600000000000001</v>
      </c>
      <c r="D69">
        <v>8.0500000000000007</v>
      </c>
      <c r="E69">
        <v>33</v>
      </c>
      <c r="F69" s="99">
        <f t="shared" ref="F69:F132" si="1">SUMPRODUCT($A$2:$D$2,A69:D69)</f>
        <v>28.730186575135818</v>
      </c>
      <c r="G69" s="92"/>
    </row>
    <row r="70" spans="1:7">
      <c r="A70">
        <v>1</v>
      </c>
      <c r="B70">
        <v>6.29</v>
      </c>
      <c r="C70">
        <v>16.100000000000001</v>
      </c>
      <c r="D70">
        <v>4.67</v>
      </c>
      <c r="E70">
        <v>23.5</v>
      </c>
      <c r="F70" s="99">
        <f t="shared" si="1"/>
        <v>29.314143540024414</v>
      </c>
      <c r="G70" s="92"/>
    </row>
    <row r="71" spans="1:7">
      <c r="A71">
        <v>1</v>
      </c>
      <c r="B71">
        <v>5.7869999999999999</v>
      </c>
      <c r="C71">
        <v>16.100000000000001</v>
      </c>
      <c r="D71">
        <v>10.24</v>
      </c>
      <c r="E71">
        <v>19.399999999999999</v>
      </c>
      <c r="F71" s="99">
        <f t="shared" si="1"/>
        <v>23.857929123815538</v>
      </c>
      <c r="G71" s="92"/>
    </row>
    <row r="72" spans="1:7">
      <c r="A72">
        <v>1</v>
      </c>
      <c r="B72">
        <v>5.8780000000000001</v>
      </c>
      <c r="C72">
        <v>18.899999999999999</v>
      </c>
      <c r="D72">
        <v>8.1</v>
      </c>
      <c r="E72">
        <v>22</v>
      </c>
      <c r="F72" s="99">
        <f t="shared" si="1"/>
        <v>22.886473446996476</v>
      </c>
      <c r="G72" s="92"/>
    </row>
    <row r="73" spans="1:7">
      <c r="A73">
        <v>1</v>
      </c>
      <c r="B73">
        <v>5.5940000000000003</v>
      </c>
      <c r="C73">
        <v>18.899999999999999</v>
      </c>
      <c r="D73">
        <v>13.09</v>
      </c>
      <c r="E73">
        <v>17.399999999999999</v>
      </c>
      <c r="F73" s="99">
        <f t="shared" si="1"/>
        <v>18.750783516457673</v>
      </c>
      <c r="G73" s="92"/>
    </row>
    <row r="74" spans="1:7">
      <c r="A74">
        <v>1</v>
      </c>
      <c r="B74">
        <v>5.8849999999999998</v>
      </c>
      <c r="C74">
        <v>18.899999999999999</v>
      </c>
      <c r="D74">
        <v>8.7899999999999991</v>
      </c>
      <c r="E74">
        <v>20.9</v>
      </c>
      <c r="F74" s="99">
        <f t="shared" si="1"/>
        <v>22.523535468971346</v>
      </c>
      <c r="G74" s="92"/>
    </row>
    <row r="75" spans="1:7">
      <c r="A75">
        <v>1</v>
      </c>
      <c r="B75">
        <v>6.4169999999999998</v>
      </c>
      <c r="C75">
        <v>19.2</v>
      </c>
      <c r="D75">
        <v>6.72</v>
      </c>
      <c r="E75">
        <v>24.2</v>
      </c>
      <c r="F75" s="99">
        <f t="shared" si="1"/>
        <v>25.830160418416689</v>
      </c>
      <c r="G75" s="92"/>
    </row>
    <row r="76" spans="1:7">
      <c r="A76">
        <v>1</v>
      </c>
      <c r="B76">
        <v>5.9610000000000003</v>
      </c>
      <c r="C76">
        <v>19.2</v>
      </c>
      <c r="D76">
        <v>9.8800000000000008</v>
      </c>
      <c r="E76">
        <v>21.7</v>
      </c>
      <c r="F76" s="99">
        <f t="shared" si="1"/>
        <v>21.96422249434195</v>
      </c>
      <c r="G76" s="92"/>
    </row>
    <row r="77" spans="1:7">
      <c r="A77">
        <v>1</v>
      </c>
      <c r="B77">
        <v>6.0650000000000004</v>
      </c>
      <c r="C77">
        <v>19.2</v>
      </c>
      <c r="D77">
        <v>5.52</v>
      </c>
      <c r="E77">
        <v>22.8</v>
      </c>
      <c r="F77" s="99">
        <f t="shared" si="1"/>
        <v>24.92689907162735</v>
      </c>
      <c r="G77" s="92"/>
    </row>
    <row r="78" spans="1:7">
      <c r="A78">
        <v>1</v>
      </c>
      <c r="B78">
        <v>6.2450000000000001</v>
      </c>
      <c r="C78">
        <v>19.2</v>
      </c>
      <c r="D78">
        <v>7.54</v>
      </c>
      <c r="E78">
        <v>23.4</v>
      </c>
      <c r="F78" s="99">
        <f t="shared" si="1"/>
        <v>24.584627352018313</v>
      </c>
      <c r="G78" s="92"/>
    </row>
    <row r="79" spans="1:7">
      <c r="A79">
        <v>1</v>
      </c>
      <c r="B79">
        <v>6.2729999999999997</v>
      </c>
      <c r="C79">
        <v>18.7</v>
      </c>
      <c r="D79">
        <v>6.78</v>
      </c>
      <c r="E79">
        <v>24.1</v>
      </c>
      <c r="F79" s="99">
        <f t="shared" si="1"/>
        <v>25.61099273886461</v>
      </c>
      <c r="G79" s="92"/>
    </row>
    <row r="80" spans="1:7">
      <c r="A80">
        <v>1</v>
      </c>
      <c r="B80">
        <v>6.2859999999999996</v>
      </c>
      <c r="C80">
        <v>18.7</v>
      </c>
      <c r="D80">
        <v>8.94</v>
      </c>
      <c r="E80">
        <v>21.4</v>
      </c>
      <c r="F80" s="99">
        <f t="shared" si="1"/>
        <v>24.434592925329849</v>
      </c>
      <c r="G80" s="92"/>
    </row>
    <row r="81" spans="1:7">
      <c r="A81">
        <v>1</v>
      </c>
      <c r="B81">
        <v>6.2789999999999999</v>
      </c>
      <c r="C81">
        <v>18.7</v>
      </c>
      <c r="D81">
        <v>11.97</v>
      </c>
      <c r="E81">
        <v>20</v>
      </c>
      <c r="F81" s="99">
        <f t="shared" si="1"/>
        <v>22.670413744468839</v>
      </c>
      <c r="G81" s="92"/>
    </row>
    <row r="82" spans="1:7">
      <c r="A82">
        <v>1</v>
      </c>
      <c r="B82">
        <v>6.14</v>
      </c>
      <c r="C82">
        <v>18.7</v>
      </c>
      <c r="D82">
        <v>10.27</v>
      </c>
      <c r="E82">
        <v>20.8</v>
      </c>
      <c r="F82" s="99">
        <f t="shared" si="1"/>
        <v>23.014839902656632</v>
      </c>
      <c r="G82" s="92"/>
    </row>
    <row r="83" spans="1:7">
      <c r="A83">
        <v>1</v>
      </c>
      <c r="B83">
        <v>6.2320000000000002</v>
      </c>
      <c r="C83">
        <v>18.7</v>
      </c>
      <c r="D83">
        <v>12.34</v>
      </c>
      <c r="E83">
        <v>21.2</v>
      </c>
      <c r="F83" s="99">
        <f t="shared" si="1"/>
        <v>22.246620855594848</v>
      </c>
      <c r="G83" s="92"/>
    </row>
    <row r="84" spans="1:7">
      <c r="A84">
        <v>1</v>
      </c>
      <c r="B84">
        <v>5.8739999999999997</v>
      </c>
      <c r="C84">
        <v>18.7</v>
      </c>
      <c r="D84">
        <v>9.1</v>
      </c>
      <c r="E84">
        <v>20.3</v>
      </c>
      <c r="F84" s="99">
        <f t="shared" si="1"/>
        <v>22.482750586402524</v>
      </c>
      <c r="G84" s="92"/>
    </row>
    <row r="85" spans="1:7">
      <c r="A85">
        <v>1</v>
      </c>
      <c r="B85">
        <v>6.7270000000000003</v>
      </c>
      <c r="C85">
        <v>19</v>
      </c>
      <c r="D85">
        <v>5.29</v>
      </c>
      <c r="E85">
        <v>28</v>
      </c>
      <c r="F85" s="99">
        <f t="shared" si="1"/>
        <v>28.233767555723251</v>
      </c>
      <c r="G85" s="92"/>
    </row>
    <row r="86" spans="1:7">
      <c r="A86">
        <v>1</v>
      </c>
      <c r="B86">
        <v>6.6189999999999998</v>
      </c>
      <c r="C86">
        <v>19</v>
      </c>
      <c r="D86">
        <v>7.22</v>
      </c>
      <c r="E86">
        <v>23.9</v>
      </c>
      <c r="F86" s="99">
        <f t="shared" si="1"/>
        <v>26.642517116192899</v>
      </c>
      <c r="G86" s="92"/>
    </row>
    <row r="87" spans="1:7">
      <c r="A87">
        <v>1</v>
      </c>
      <c r="B87">
        <v>6.3019999999999996</v>
      </c>
      <c r="C87">
        <v>19</v>
      </c>
      <c r="D87">
        <v>6.72</v>
      </c>
      <c r="E87">
        <v>24.8</v>
      </c>
      <c r="F87" s="99">
        <f t="shared" si="1"/>
        <v>25.4970315209276</v>
      </c>
      <c r="G87" s="92"/>
    </row>
    <row r="88" spans="1:7">
      <c r="A88">
        <v>1</v>
      </c>
      <c r="B88">
        <v>6.1669999999999998</v>
      </c>
      <c r="C88">
        <v>19</v>
      </c>
      <c r="D88">
        <v>7.51</v>
      </c>
      <c r="E88">
        <v>22.9</v>
      </c>
      <c r="F88" s="99">
        <f t="shared" si="1"/>
        <v>24.435723200087985</v>
      </c>
      <c r="G88" s="92"/>
    </row>
    <row r="89" spans="1:7">
      <c r="A89">
        <v>1</v>
      </c>
      <c r="B89">
        <v>6.3890000000000002</v>
      </c>
      <c r="C89">
        <v>18.5</v>
      </c>
      <c r="D89">
        <v>9.6199999999999992</v>
      </c>
      <c r="E89">
        <v>23.9</v>
      </c>
      <c r="F89" s="99">
        <f t="shared" si="1"/>
        <v>24.69699792584748</v>
      </c>
      <c r="G89" s="92"/>
    </row>
    <row r="90" spans="1:7">
      <c r="A90">
        <v>1</v>
      </c>
      <c r="B90">
        <v>6.63</v>
      </c>
      <c r="C90">
        <v>18.5</v>
      </c>
      <c r="D90">
        <v>6.53</v>
      </c>
      <c r="E90">
        <v>26.6</v>
      </c>
      <c r="F90" s="99">
        <f t="shared" si="1"/>
        <v>27.552093948842604</v>
      </c>
      <c r="G90" s="92"/>
    </row>
    <row r="91" spans="1:7">
      <c r="A91">
        <v>1</v>
      </c>
      <c r="B91">
        <v>6.0149999999999997</v>
      </c>
      <c r="C91">
        <v>18.5</v>
      </c>
      <c r="D91">
        <v>12.86</v>
      </c>
      <c r="E91">
        <v>22.5</v>
      </c>
      <c r="F91" s="99">
        <f t="shared" si="1"/>
        <v>21.155580064138928</v>
      </c>
      <c r="G91" s="92"/>
    </row>
    <row r="92" spans="1:7">
      <c r="A92">
        <v>1</v>
      </c>
      <c r="B92">
        <v>6.1210000000000004</v>
      </c>
      <c r="C92">
        <v>18.5</v>
      </c>
      <c r="D92">
        <v>8.44</v>
      </c>
      <c r="E92">
        <v>22.2</v>
      </c>
      <c r="F92" s="99">
        <f t="shared" si="1"/>
        <v>24.161595824584392</v>
      </c>
      <c r="G92" s="92"/>
    </row>
    <row r="93" spans="1:7">
      <c r="A93">
        <v>1</v>
      </c>
      <c r="B93">
        <v>7.0069999999999997</v>
      </c>
      <c r="C93">
        <v>17.8</v>
      </c>
      <c r="D93">
        <v>5.5</v>
      </c>
      <c r="E93">
        <v>23.6</v>
      </c>
      <c r="F93" s="99">
        <f t="shared" si="1"/>
        <v>30.494873291873514</v>
      </c>
      <c r="G93" s="92"/>
    </row>
    <row r="94" spans="1:7">
      <c r="A94">
        <v>1</v>
      </c>
      <c r="B94">
        <v>7.0789999999999997</v>
      </c>
      <c r="C94">
        <v>17.8</v>
      </c>
      <c r="D94">
        <v>5.7</v>
      </c>
      <c r="E94">
        <v>28.7</v>
      </c>
      <c r="F94" s="99">
        <f t="shared" si="1"/>
        <v>30.705622462256457</v>
      </c>
      <c r="G94" s="92"/>
    </row>
    <row r="95" spans="1:7">
      <c r="A95">
        <v>1</v>
      </c>
      <c r="B95">
        <v>6.4169999999999998</v>
      </c>
      <c r="C95">
        <v>17.8</v>
      </c>
      <c r="D95">
        <v>8.81</v>
      </c>
      <c r="E95">
        <v>22.6</v>
      </c>
      <c r="F95" s="99">
        <f t="shared" si="1"/>
        <v>25.938098108141489</v>
      </c>
      <c r="G95" s="92"/>
    </row>
    <row r="96" spans="1:7">
      <c r="A96">
        <v>1</v>
      </c>
      <c r="B96">
        <v>6.4050000000000002</v>
      </c>
      <c r="C96">
        <v>17.8</v>
      </c>
      <c r="D96">
        <v>8.1999999999999993</v>
      </c>
      <c r="E96">
        <v>22</v>
      </c>
      <c r="F96" s="99">
        <f t="shared" si="1"/>
        <v>26.232714526417542</v>
      </c>
      <c r="G96" s="92"/>
    </row>
    <row r="97" spans="1:7">
      <c r="A97">
        <v>1</v>
      </c>
      <c r="B97">
        <v>6.4420000000000002</v>
      </c>
      <c r="C97">
        <v>18.2</v>
      </c>
      <c r="D97">
        <v>8.16</v>
      </c>
      <c r="E97">
        <v>22.9</v>
      </c>
      <c r="F97" s="99">
        <f t="shared" si="1"/>
        <v>26.050368306746876</v>
      </c>
      <c r="G97" s="92"/>
    </row>
    <row r="98" spans="1:7">
      <c r="A98">
        <v>1</v>
      </c>
      <c r="B98">
        <v>6.2110000000000003</v>
      </c>
      <c r="C98">
        <v>18.2</v>
      </c>
      <c r="D98">
        <v>6.21</v>
      </c>
      <c r="E98">
        <v>25</v>
      </c>
      <c r="F98" s="99">
        <f t="shared" si="1"/>
        <v>26.122327160068284</v>
      </c>
      <c r="G98" s="92"/>
    </row>
    <row r="99" spans="1:7">
      <c r="A99">
        <v>1</v>
      </c>
      <c r="B99">
        <v>6.2489999999999997</v>
      </c>
      <c r="C99">
        <v>18.2</v>
      </c>
      <c r="D99">
        <v>10.59</v>
      </c>
      <c r="E99">
        <v>20.6</v>
      </c>
      <c r="F99" s="99">
        <f t="shared" si="1"/>
        <v>23.789404243052651</v>
      </c>
      <c r="G99" s="92"/>
    </row>
    <row r="100" spans="1:7">
      <c r="A100">
        <v>1</v>
      </c>
      <c r="B100">
        <v>6.625</v>
      </c>
      <c r="C100">
        <v>18</v>
      </c>
      <c r="D100">
        <v>6.65</v>
      </c>
      <c r="E100">
        <v>28.4</v>
      </c>
      <c r="F100" s="99">
        <f t="shared" si="1"/>
        <v>27.926261439213825</v>
      </c>
      <c r="G100" s="92"/>
    </row>
    <row r="101" spans="1:7">
      <c r="A101">
        <v>1</v>
      </c>
      <c r="B101">
        <v>6.1630000000000003</v>
      </c>
      <c r="C101">
        <v>18</v>
      </c>
      <c r="D101">
        <v>11.34</v>
      </c>
      <c r="E101">
        <v>21.4</v>
      </c>
      <c r="F101" s="99">
        <f t="shared" si="1"/>
        <v>23.158368287030854</v>
      </c>
      <c r="G101" s="92"/>
    </row>
    <row r="102" spans="1:7">
      <c r="A102">
        <v>1</v>
      </c>
      <c r="B102">
        <v>8.0690000000000008</v>
      </c>
      <c r="C102">
        <v>18</v>
      </c>
      <c r="D102">
        <v>4.21</v>
      </c>
      <c r="E102">
        <v>38.700000000000003</v>
      </c>
      <c r="F102" s="99">
        <f t="shared" si="1"/>
        <v>35.841735160547699</v>
      </c>
      <c r="G102" s="92"/>
    </row>
    <row r="103" spans="1:7">
      <c r="A103">
        <v>1</v>
      </c>
      <c r="B103">
        <v>7.82</v>
      </c>
      <c r="C103">
        <v>18</v>
      </c>
      <c r="D103">
        <v>3.57</v>
      </c>
      <c r="E103">
        <v>43.8</v>
      </c>
      <c r="F103" s="99">
        <f t="shared" si="1"/>
        <v>35.083350985766614</v>
      </c>
      <c r="G103" s="92"/>
    </row>
    <row r="104" spans="1:7">
      <c r="A104">
        <v>1</v>
      </c>
      <c r="B104">
        <v>7.4160000000000004</v>
      </c>
      <c r="C104">
        <v>18</v>
      </c>
      <c r="D104">
        <v>6.19</v>
      </c>
      <c r="E104">
        <v>33.200000000000003</v>
      </c>
      <c r="F104" s="99">
        <f t="shared" si="1"/>
        <v>31.760990022223474</v>
      </c>
      <c r="G104" s="92"/>
    </row>
    <row r="105" spans="1:7">
      <c r="A105">
        <v>1</v>
      </c>
      <c r="B105">
        <v>6.7270000000000003</v>
      </c>
      <c r="C105">
        <v>20.9</v>
      </c>
      <c r="D105">
        <v>9.42</v>
      </c>
      <c r="E105">
        <v>27.5</v>
      </c>
      <c r="F105" s="99">
        <f t="shared" si="1"/>
        <v>24.103837209795554</v>
      </c>
      <c r="G105" s="92"/>
    </row>
    <row r="106" spans="1:7">
      <c r="A106">
        <v>1</v>
      </c>
      <c r="B106">
        <v>6.7809999999999997</v>
      </c>
      <c r="C106">
        <v>20.9</v>
      </c>
      <c r="D106">
        <v>7.67</v>
      </c>
      <c r="E106">
        <v>26.5</v>
      </c>
      <c r="F106" s="99">
        <f t="shared" si="1"/>
        <v>25.348329894540733</v>
      </c>
      <c r="G106" s="92"/>
    </row>
    <row r="107" spans="1:7">
      <c r="A107">
        <v>1</v>
      </c>
      <c r="B107">
        <v>6.4050000000000002</v>
      </c>
      <c r="C107">
        <v>20.9</v>
      </c>
      <c r="D107">
        <v>10.63</v>
      </c>
      <c r="E107">
        <v>18.600000000000001</v>
      </c>
      <c r="F107" s="99">
        <f t="shared" si="1"/>
        <v>21.957986783548805</v>
      </c>
      <c r="G107" s="92"/>
    </row>
    <row r="108" spans="1:7">
      <c r="A108">
        <v>1</v>
      </c>
      <c r="B108">
        <v>6.1369999999999996</v>
      </c>
      <c r="C108">
        <v>20.9</v>
      </c>
      <c r="D108">
        <v>13.44</v>
      </c>
      <c r="E108">
        <v>19.3</v>
      </c>
      <c r="F108" s="99">
        <f t="shared" si="1"/>
        <v>19.141079987673969</v>
      </c>
      <c r="G108" s="92"/>
    </row>
    <row r="109" spans="1:7">
      <c r="A109">
        <v>1</v>
      </c>
      <c r="B109">
        <v>6.1669999999999998</v>
      </c>
      <c r="C109">
        <v>20.9</v>
      </c>
      <c r="D109">
        <v>12.33</v>
      </c>
      <c r="E109">
        <v>20.100000000000001</v>
      </c>
      <c r="F109" s="99">
        <f t="shared" si="1"/>
        <v>19.911246929528183</v>
      </c>
      <c r="G109" s="92"/>
    </row>
    <row r="110" spans="1:7">
      <c r="A110">
        <v>1</v>
      </c>
      <c r="B110">
        <v>5.851</v>
      </c>
      <c r="C110">
        <v>20.9</v>
      </c>
      <c r="D110">
        <v>16.47</v>
      </c>
      <c r="E110">
        <v>19.5</v>
      </c>
      <c r="F110" s="99">
        <f t="shared" si="1"/>
        <v>16.11709836347779</v>
      </c>
      <c r="G110" s="92"/>
    </row>
    <row r="111" spans="1:7">
      <c r="A111">
        <v>1</v>
      </c>
      <c r="B111">
        <v>5.8360000000000003</v>
      </c>
      <c r="C111">
        <v>20.9</v>
      </c>
      <c r="D111">
        <v>18.66</v>
      </c>
      <c r="E111">
        <v>19.5</v>
      </c>
      <c r="F111" s="99">
        <f t="shared" si="1"/>
        <v>14.797112592878952</v>
      </c>
      <c r="G111" s="92"/>
    </row>
    <row r="112" spans="1:7">
      <c r="A112">
        <v>1</v>
      </c>
      <c r="B112">
        <v>6.1269999999999998</v>
      </c>
      <c r="C112">
        <v>20.9</v>
      </c>
      <c r="D112">
        <v>14.09</v>
      </c>
      <c r="E112">
        <v>20.399999999999999</v>
      </c>
      <c r="F112" s="99">
        <f t="shared" si="1"/>
        <v>18.72425208111823</v>
      </c>
      <c r="G112" s="92"/>
    </row>
    <row r="113" spans="1:7">
      <c r="A113">
        <v>1</v>
      </c>
      <c r="B113">
        <v>6.4740000000000002</v>
      </c>
      <c r="C113">
        <v>20.9</v>
      </c>
      <c r="D113">
        <v>12.27</v>
      </c>
      <c r="E113">
        <v>19.8</v>
      </c>
      <c r="F113" s="99">
        <f t="shared" si="1"/>
        <v>21.331789500563616</v>
      </c>
      <c r="G113" s="92"/>
    </row>
    <row r="114" spans="1:7">
      <c r="A114">
        <v>1</v>
      </c>
      <c r="B114">
        <v>6.2290000000000001</v>
      </c>
      <c r="C114">
        <v>20.9</v>
      </c>
      <c r="D114">
        <v>15.55</v>
      </c>
      <c r="E114">
        <v>19.399999999999999</v>
      </c>
      <c r="F114" s="99">
        <f t="shared" si="1"/>
        <v>18.349988713097282</v>
      </c>
      <c r="G114" s="92"/>
    </row>
    <row r="115" spans="1:7">
      <c r="A115">
        <v>1</v>
      </c>
      <c r="B115">
        <v>6.1950000000000003</v>
      </c>
      <c r="C115">
        <v>20.9</v>
      </c>
      <c r="D115">
        <v>13</v>
      </c>
      <c r="E115">
        <v>21.7</v>
      </c>
      <c r="F115" s="99">
        <f t="shared" si="1"/>
        <v>19.65456890508143</v>
      </c>
      <c r="G115" s="92"/>
    </row>
    <row r="116" spans="1:7">
      <c r="A116">
        <v>1</v>
      </c>
      <c r="B116">
        <v>6.7149999999999999</v>
      </c>
      <c r="C116">
        <v>17.8</v>
      </c>
      <c r="D116">
        <v>10.16</v>
      </c>
      <c r="E116">
        <v>22.8</v>
      </c>
      <c r="F116" s="99">
        <f t="shared" si="1"/>
        <v>26.51175587078184</v>
      </c>
      <c r="G116" s="92"/>
    </row>
    <row r="117" spans="1:7">
      <c r="A117">
        <v>1</v>
      </c>
      <c r="B117">
        <v>5.9130000000000003</v>
      </c>
      <c r="C117">
        <v>17.8</v>
      </c>
      <c r="D117">
        <v>16.21</v>
      </c>
      <c r="E117">
        <v>18.8</v>
      </c>
      <c r="F117" s="99">
        <f t="shared" si="1"/>
        <v>19.430963862181866</v>
      </c>
      <c r="G117" s="92"/>
    </row>
    <row r="118" spans="1:7">
      <c r="A118">
        <v>1</v>
      </c>
      <c r="B118">
        <v>6.0919999999999996</v>
      </c>
      <c r="C118">
        <v>17.8</v>
      </c>
      <c r="D118">
        <v>17.09</v>
      </c>
      <c r="E118">
        <v>18.7</v>
      </c>
      <c r="F118" s="99">
        <f t="shared" si="1"/>
        <v>19.736035205803763</v>
      </c>
      <c r="G118" s="92"/>
    </row>
    <row r="119" spans="1:7">
      <c r="A119">
        <v>1</v>
      </c>
      <c r="B119">
        <v>6.2539999999999996</v>
      </c>
      <c r="C119">
        <v>17.8</v>
      </c>
      <c r="D119">
        <v>10.45</v>
      </c>
      <c r="E119">
        <v>18.5</v>
      </c>
      <c r="F119" s="99">
        <f t="shared" si="1"/>
        <v>24.264323166182251</v>
      </c>
      <c r="G119" s="92"/>
    </row>
    <row r="120" spans="1:7">
      <c r="A120">
        <v>1</v>
      </c>
      <c r="B120">
        <v>5.9279999999999999</v>
      </c>
      <c r="C120">
        <v>17.8</v>
      </c>
      <c r="D120">
        <v>15.76</v>
      </c>
      <c r="E120">
        <v>18.3</v>
      </c>
      <c r="F120" s="99">
        <f t="shared" si="1"/>
        <v>19.756007735882356</v>
      </c>
      <c r="G120" s="92"/>
    </row>
    <row r="121" spans="1:7">
      <c r="A121">
        <v>1</v>
      </c>
      <c r="B121">
        <v>6.1760000000000002</v>
      </c>
      <c r="C121">
        <v>17.8</v>
      </c>
      <c r="D121">
        <v>12.04</v>
      </c>
      <c r="E121">
        <v>21.2</v>
      </c>
      <c r="F121" s="99">
        <f t="shared" si="1"/>
        <v>23.002949288844206</v>
      </c>
      <c r="G121" s="92"/>
    </row>
    <row r="122" spans="1:7">
      <c r="A122">
        <v>1</v>
      </c>
      <c r="B122">
        <v>6.0209999999999999</v>
      </c>
      <c r="C122">
        <v>17.8</v>
      </c>
      <c r="D122">
        <v>10.3</v>
      </c>
      <c r="E122">
        <v>19.2</v>
      </c>
      <c r="F122" s="99">
        <f t="shared" si="1"/>
        <v>23.298000939445238</v>
      </c>
      <c r="G122" s="92"/>
    </row>
    <row r="123" spans="1:7">
      <c r="A123">
        <v>1</v>
      </c>
      <c r="B123">
        <v>5.8719999999999999</v>
      </c>
      <c r="C123">
        <v>17.8</v>
      </c>
      <c r="D123">
        <v>15.37</v>
      </c>
      <c r="E123">
        <v>20.399999999999999</v>
      </c>
      <c r="F123" s="99">
        <f t="shared" si="1"/>
        <v>19.726148381296866</v>
      </c>
      <c r="G123" s="92"/>
    </row>
    <row r="124" spans="1:7">
      <c r="A124">
        <v>1</v>
      </c>
      <c r="B124">
        <v>5.7309999999999999</v>
      </c>
      <c r="C124">
        <v>17.8</v>
      </c>
      <c r="D124">
        <v>13.61</v>
      </c>
      <c r="E124">
        <v>19.3</v>
      </c>
      <c r="F124" s="99">
        <f t="shared" si="1"/>
        <v>20.095852038869314</v>
      </c>
      <c r="G124" s="92"/>
    </row>
    <row r="125" spans="1:7">
      <c r="A125">
        <v>1</v>
      </c>
      <c r="B125">
        <v>5.87</v>
      </c>
      <c r="C125">
        <v>19.100000000000001</v>
      </c>
      <c r="D125">
        <v>14.37</v>
      </c>
      <c r="E125">
        <v>22</v>
      </c>
      <c r="F125" s="99">
        <f t="shared" si="1"/>
        <v>19.078983905430249</v>
      </c>
      <c r="G125" s="92"/>
    </row>
    <row r="126" spans="1:7">
      <c r="A126">
        <v>1</v>
      </c>
      <c r="B126">
        <v>6.0039999999999996</v>
      </c>
      <c r="C126">
        <v>19.100000000000001</v>
      </c>
      <c r="D126">
        <v>14.27</v>
      </c>
      <c r="E126">
        <v>20.3</v>
      </c>
      <c r="F126" s="99">
        <f t="shared" si="1"/>
        <v>19.741230880693898</v>
      </c>
      <c r="G126" s="92"/>
    </row>
    <row r="127" spans="1:7">
      <c r="A127">
        <v>1</v>
      </c>
      <c r="B127">
        <v>5.9610000000000003</v>
      </c>
      <c r="C127">
        <v>19.100000000000001</v>
      </c>
      <c r="D127">
        <v>17.93</v>
      </c>
      <c r="E127">
        <v>20.5</v>
      </c>
      <c r="F127" s="99">
        <f t="shared" si="1"/>
        <v>17.454258962494407</v>
      </c>
      <c r="G127" s="92"/>
    </row>
    <row r="128" spans="1:7">
      <c r="A128">
        <v>1</v>
      </c>
      <c r="B128">
        <v>5.8559999999999999</v>
      </c>
      <c r="C128">
        <v>19.100000000000001</v>
      </c>
      <c r="D128">
        <v>25.41</v>
      </c>
      <c r="E128">
        <v>17.3</v>
      </c>
      <c r="F128" s="99">
        <f t="shared" si="1"/>
        <v>12.703033218102586</v>
      </c>
      <c r="G128" s="92"/>
    </row>
    <row r="129" spans="1:7">
      <c r="A129">
        <v>1</v>
      </c>
      <c r="B129">
        <v>5.8789999999999996</v>
      </c>
      <c r="C129">
        <v>19.100000000000001</v>
      </c>
      <c r="D129">
        <v>17.579999999999998</v>
      </c>
      <c r="E129">
        <v>18.8</v>
      </c>
      <c r="F129" s="99">
        <f t="shared" si="1"/>
        <v>17.284126435853825</v>
      </c>
      <c r="G129" s="92"/>
    </row>
    <row r="130" spans="1:7">
      <c r="A130">
        <v>1</v>
      </c>
      <c r="B130">
        <v>5.9859999999999998</v>
      </c>
      <c r="C130">
        <v>19.100000000000001</v>
      </c>
      <c r="D130">
        <v>14.81</v>
      </c>
      <c r="E130">
        <v>21.4</v>
      </c>
      <c r="F130" s="99">
        <f t="shared" si="1"/>
        <v>19.351178232253318</v>
      </c>
      <c r="G130" s="92"/>
    </row>
    <row r="131" spans="1:7">
      <c r="A131">
        <v>1</v>
      </c>
      <c r="B131">
        <v>5.6130000000000004</v>
      </c>
      <c r="C131">
        <v>19.100000000000001</v>
      </c>
      <c r="D131">
        <v>27.26</v>
      </c>
      <c r="E131">
        <v>15.7</v>
      </c>
      <c r="F131" s="99">
        <f t="shared" si="1"/>
        <v>10.547945406181801</v>
      </c>
      <c r="G131" s="92"/>
    </row>
    <row r="132" spans="1:7">
      <c r="A132">
        <v>1</v>
      </c>
      <c r="B132">
        <v>5.6929999999999996</v>
      </c>
      <c r="C132">
        <v>21.2</v>
      </c>
      <c r="D132">
        <v>17.190000000000001</v>
      </c>
      <c r="E132">
        <v>16.2</v>
      </c>
      <c r="F132" s="99">
        <f t="shared" si="1"/>
        <v>14.7127449924995</v>
      </c>
      <c r="G132" s="92"/>
    </row>
    <row r="133" spans="1:7">
      <c r="A133">
        <v>1</v>
      </c>
      <c r="B133">
        <v>6.431</v>
      </c>
      <c r="C133">
        <v>21.2</v>
      </c>
      <c r="D133">
        <v>15.39</v>
      </c>
      <c r="E133">
        <v>18</v>
      </c>
      <c r="F133" s="99">
        <f t="shared" ref="F133:F196" si="2">SUMPRODUCT($A$2:$D$2,A133:D133)</f>
        <v>19.074375887234211</v>
      </c>
      <c r="G133" s="92"/>
    </row>
    <row r="134" spans="1:7">
      <c r="A134">
        <v>1</v>
      </c>
      <c r="B134">
        <v>5.6369999999999996</v>
      </c>
      <c r="C134">
        <v>21.2</v>
      </c>
      <c r="D134">
        <v>18.34</v>
      </c>
      <c r="E134">
        <v>14.3</v>
      </c>
      <c r="F134" s="99">
        <f t="shared" si="2"/>
        <v>13.802304878590187</v>
      </c>
      <c r="G134" s="92"/>
    </row>
    <row r="135" spans="1:7">
      <c r="A135">
        <v>1</v>
      </c>
      <c r="B135">
        <v>6.4580000000000002</v>
      </c>
      <c r="C135">
        <v>21.2</v>
      </c>
      <c r="D135">
        <v>12.6</v>
      </c>
      <c r="E135">
        <v>19.2</v>
      </c>
      <c r="F135" s="99">
        <f t="shared" si="2"/>
        <v>20.791630121882875</v>
      </c>
      <c r="G135" s="92"/>
    </row>
    <row r="136" spans="1:7">
      <c r="A136">
        <v>1</v>
      </c>
      <c r="B136">
        <v>6.3259999999999996</v>
      </c>
      <c r="C136">
        <v>21.2</v>
      </c>
      <c r="D136">
        <v>12.26</v>
      </c>
      <c r="E136">
        <v>19.600000000000001</v>
      </c>
      <c r="F136" s="99">
        <f t="shared" si="2"/>
        <v>20.390008491170875</v>
      </c>
      <c r="G136" s="92"/>
    </row>
    <row r="137" spans="1:7">
      <c r="A137">
        <v>1</v>
      </c>
      <c r="B137">
        <v>6.3719999999999999</v>
      </c>
      <c r="C137">
        <v>21.2</v>
      </c>
      <c r="D137">
        <v>11.12</v>
      </c>
      <c r="E137">
        <v>23</v>
      </c>
      <c r="F137" s="99">
        <f t="shared" si="2"/>
        <v>21.249576338762932</v>
      </c>
      <c r="G137" s="92"/>
    </row>
    <row r="138" spans="1:7">
      <c r="A138">
        <v>1</v>
      </c>
      <c r="B138">
        <v>5.8220000000000001</v>
      </c>
      <c r="C138">
        <v>21.2</v>
      </c>
      <c r="D138">
        <v>15.03</v>
      </c>
      <c r="E138">
        <v>18.399999999999999</v>
      </c>
      <c r="F138" s="99">
        <f t="shared" si="2"/>
        <v>16.530334580061478</v>
      </c>
      <c r="G138" s="92"/>
    </row>
    <row r="139" spans="1:7">
      <c r="A139">
        <v>1</v>
      </c>
      <c r="B139">
        <v>5.7569999999999997</v>
      </c>
      <c r="C139">
        <v>21.2</v>
      </c>
      <c r="D139">
        <v>17.309999999999999</v>
      </c>
      <c r="E139">
        <v>15.6</v>
      </c>
      <c r="F139" s="99">
        <f t="shared" si="2"/>
        <v>14.933115250361423</v>
      </c>
      <c r="G139" s="92"/>
    </row>
    <row r="140" spans="1:7">
      <c r="A140">
        <v>1</v>
      </c>
      <c r="B140">
        <v>6.335</v>
      </c>
      <c r="C140">
        <v>21.2</v>
      </c>
      <c r="D140">
        <v>16.96</v>
      </c>
      <c r="E140">
        <v>18.100000000000001</v>
      </c>
      <c r="F140" s="99">
        <f t="shared" si="2"/>
        <v>17.743160546664257</v>
      </c>
      <c r="G140" s="92"/>
    </row>
    <row r="141" spans="1:7">
      <c r="A141">
        <v>1</v>
      </c>
      <c r="B141">
        <v>5.9420000000000002</v>
      </c>
      <c r="C141">
        <v>21.2</v>
      </c>
      <c r="D141">
        <v>16.899999999999999</v>
      </c>
      <c r="E141">
        <v>17.399999999999999</v>
      </c>
      <c r="F141" s="99">
        <f t="shared" si="2"/>
        <v>16.002908457002128</v>
      </c>
      <c r="G141" s="92"/>
    </row>
    <row r="142" spans="1:7">
      <c r="A142">
        <v>1</v>
      </c>
      <c r="B142">
        <v>6.4539999999999997</v>
      </c>
      <c r="C142">
        <v>21.2</v>
      </c>
      <c r="D142">
        <v>14.59</v>
      </c>
      <c r="E142">
        <v>17.100000000000001</v>
      </c>
      <c r="F142" s="99">
        <f t="shared" si="2"/>
        <v>19.635675119240947</v>
      </c>
      <c r="G142" s="92"/>
    </row>
    <row r="143" spans="1:7">
      <c r="A143">
        <v>1</v>
      </c>
      <c r="B143">
        <v>5.8570000000000002</v>
      </c>
      <c r="C143">
        <v>21.2</v>
      </c>
      <c r="D143">
        <v>21.32</v>
      </c>
      <c r="E143">
        <v>13.3</v>
      </c>
      <c r="F143" s="99">
        <f t="shared" si="2"/>
        <v>13.091716536377589</v>
      </c>
      <c r="G143" s="92"/>
    </row>
    <row r="144" spans="1:7">
      <c r="A144">
        <v>1</v>
      </c>
      <c r="B144">
        <v>6.1509999999999998</v>
      </c>
      <c r="C144">
        <v>21.2</v>
      </c>
      <c r="D144">
        <v>18.46</v>
      </c>
      <c r="E144">
        <v>17.8</v>
      </c>
      <c r="F144" s="99">
        <f t="shared" si="2"/>
        <v>16.054614561186249</v>
      </c>
      <c r="G144" s="92"/>
    </row>
    <row r="145" spans="1:7">
      <c r="A145">
        <v>1</v>
      </c>
      <c r="B145">
        <v>6.1740000000000004</v>
      </c>
      <c r="C145">
        <v>21.2</v>
      </c>
      <c r="D145">
        <v>24.16</v>
      </c>
      <c r="E145">
        <v>14</v>
      </c>
      <c r="F145" s="99">
        <f t="shared" si="2"/>
        <v>12.899176822020964</v>
      </c>
      <c r="G145" s="92"/>
    </row>
    <row r="146" spans="1:7">
      <c r="A146">
        <v>1</v>
      </c>
      <c r="B146">
        <v>5.0190000000000001</v>
      </c>
      <c r="C146">
        <v>21.2</v>
      </c>
      <c r="D146">
        <v>34.409999999999997</v>
      </c>
      <c r="E146">
        <v>14.4</v>
      </c>
      <c r="F146" s="99">
        <f t="shared" si="2"/>
        <v>1.8228573311756442</v>
      </c>
      <c r="G146" s="92"/>
    </row>
    <row r="147" spans="1:7">
      <c r="A147">
        <v>1</v>
      </c>
      <c r="B147">
        <v>5.4029999999999996</v>
      </c>
      <c r="C147">
        <v>14.7</v>
      </c>
      <c r="D147">
        <v>26.82</v>
      </c>
      <c r="E147">
        <v>13.4</v>
      </c>
      <c r="F147" s="99">
        <f t="shared" si="2"/>
        <v>13.946480753826293</v>
      </c>
      <c r="G147" s="92"/>
    </row>
    <row r="148" spans="1:7">
      <c r="A148">
        <v>1</v>
      </c>
      <c r="B148">
        <v>5.468</v>
      </c>
      <c r="C148">
        <v>14.7</v>
      </c>
      <c r="D148">
        <v>26.42</v>
      </c>
      <c r="E148">
        <v>15.6</v>
      </c>
      <c r="F148" s="99">
        <f t="shared" si="2"/>
        <v>14.46870539032583</v>
      </c>
      <c r="G148" s="92"/>
    </row>
    <row r="149" spans="1:7">
      <c r="A149">
        <v>1</v>
      </c>
      <c r="B149">
        <v>4.9029999999999996</v>
      </c>
      <c r="C149">
        <v>14.7</v>
      </c>
      <c r="D149">
        <v>29.29</v>
      </c>
      <c r="E149">
        <v>11.8</v>
      </c>
      <c r="F149" s="99">
        <f t="shared" si="2"/>
        <v>10.276410232854097</v>
      </c>
      <c r="G149" s="92"/>
    </row>
    <row r="150" spans="1:7">
      <c r="A150">
        <v>1</v>
      </c>
      <c r="B150">
        <v>6.13</v>
      </c>
      <c r="C150">
        <v>14.7</v>
      </c>
      <c r="D150">
        <v>27.8</v>
      </c>
      <c r="E150">
        <v>13.8</v>
      </c>
      <c r="F150" s="99">
        <f t="shared" si="2"/>
        <v>16.668822205892734</v>
      </c>
      <c r="G150" s="92"/>
    </row>
    <row r="151" spans="1:7">
      <c r="A151">
        <v>1</v>
      </c>
      <c r="B151">
        <v>5.6280000000000001</v>
      </c>
      <c r="C151">
        <v>14.7</v>
      </c>
      <c r="D151">
        <v>16.649999999999999</v>
      </c>
      <c r="E151">
        <v>15.6</v>
      </c>
      <c r="F151" s="99">
        <f t="shared" si="2"/>
        <v>20.777714311857899</v>
      </c>
      <c r="G151" s="92"/>
    </row>
    <row r="152" spans="1:7">
      <c r="A152">
        <v>1</v>
      </c>
      <c r="B152">
        <v>4.9260000000000002</v>
      </c>
      <c r="C152">
        <v>14.7</v>
      </c>
      <c r="D152">
        <v>29.53</v>
      </c>
      <c r="E152">
        <v>14.6</v>
      </c>
      <c r="F152" s="99">
        <f t="shared" si="2"/>
        <v>10.243031549473308</v>
      </c>
      <c r="G152" s="92"/>
    </row>
    <row r="153" spans="1:7">
      <c r="A153">
        <v>1</v>
      </c>
      <c r="B153">
        <v>5.1859999999999999</v>
      </c>
      <c r="C153">
        <v>14.7</v>
      </c>
      <c r="D153">
        <v>28.32</v>
      </c>
      <c r="E153">
        <v>17.8</v>
      </c>
      <c r="F153" s="99">
        <f t="shared" si="2"/>
        <v>12.108925877201127</v>
      </c>
      <c r="G153" s="92"/>
    </row>
    <row r="154" spans="1:7">
      <c r="A154">
        <v>1</v>
      </c>
      <c r="B154">
        <v>5.5970000000000004</v>
      </c>
      <c r="C154">
        <v>14.7</v>
      </c>
      <c r="D154">
        <v>21.45</v>
      </c>
      <c r="E154">
        <v>15.4</v>
      </c>
      <c r="F154" s="99">
        <f t="shared" si="2"/>
        <v>17.89306896080987</v>
      </c>
      <c r="G154" s="92"/>
    </row>
    <row r="155" spans="1:7">
      <c r="A155">
        <v>1</v>
      </c>
      <c r="B155">
        <v>6.1219999999999999</v>
      </c>
      <c r="C155">
        <v>14.7</v>
      </c>
      <c r="D155">
        <v>14.1</v>
      </c>
      <c r="E155">
        <v>21.5</v>
      </c>
      <c r="F155" s="99">
        <f t="shared" si="2"/>
        <v>24.466436762196786</v>
      </c>
      <c r="G155" s="92"/>
    </row>
    <row r="156" spans="1:7">
      <c r="A156">
        <v>1</v>
      </c>
      <c r="B156">
        <v>5.4039999999999999</v>
      </c>
      <c r="C156">
        <v>14.7</v>
      </c>
      <c r="D156">
        <v>13.28</v>
      </c>
      <c r="E156">
        <v>19.600000000000001</v>
      </c>
      <c r="F156" s="99">
        <f t="shared" si="2"/>
        <v>21.693245188565406</v>
      </c>
      <c r="G156" s="92"/>
    </row>
    <row r="157" spans="1:7">
      <c r="A157">
        <v>1</v>
      </c>
      <c r="B157">
        <v>5.0119999999999996</v>
      </c>
      <c r="C157">
        <v>14.7</v>
      </c>
      <c r="D157">
        <v>12.12</v>
      </c>
      <c r="E157">
        <v>15.3</v>
      </c>
      <c r="F157" s="99">
        <f t="shared" si="2"/>
        <v>20.58649477650701</v>
      </c>
      <c r="G157" s="92"/>
    </row>
    <row r="158" spans="1:7">
      <c r="A158">
        <v>1</v>
      </c>
      <c r="B158">
        <v>5.7089999999999996</v>
      </c>
      <c r="C158">
        <v>14.7</v>
      </c>
      <c r="D158">
        <v>15.79</v>
      </c>
      <c r="E158">
        <v>19.399999999999999</v>
      </c>
      <c r="F158" s="99">
        <f t="shared" si="2"/>
        <v>21.635216299880494</v>
      </c>
      <c r="G158" s="92"/>
    </row>
    <row r="159" spans="1:7">
      <c r="A159">
        <v>1</v>
      </c>
      <c r="B159">
        <v>6.1289999999999996</v>
      </c>
      <c r="C159">
        <v>14.7</v>
      </c>
      <c r="D159">
        <v>15.12</v>
      </c>
      <c r="E159">
        <v>17</v>
      </c>
      <c r="F159" s="99">
        <f t="shared" si="2"/>
        <v>23.914802907173687</v>
      </c>
      <c r="G159" s="92"/>
    </row>
    <row r="160" spans="1:7">
      <c r="A160">
        <v>1</v>
      </c>
      <c r="B160">
        <v>6.1520000000000001</v>
      </c>
      <c r="C160">
        <v>14.7</v>
      </c>
      <c r="D160">
        <v>15.02</v>
      </c>
      <c r="E160">
        <v>15.6</v>
      </c>
      <c r="F160" s="99">
        <f t="shared" si="2"/>
        <v>24.075838157669587</v>
      </c>
      <c r="G160" s="92"/>
    </row>
    <row r="161" spans="1:7">
      <c r="A161">
        <v>1</v>
      </c>
      <c r="B161">
        <v>5.2720000000000002</v>
      </c>
      <c r="C161">
        <v>14.7</v>
      </c>
      <c r="D161">
        <v>16.14</v>
      </c>
      <c r="E161">
        <v>13.1</v>
      </c>
      <c r="F161" s="99">
        <f t="shared" si="2"/>
        <v>19.46184535666103</v>
      </c>
      <c r="G161" s="92"/>
    </row>
    <row r="162" spans="1:7">
      <c r="A162">
        <v>1</v>
      </c>
      <c r="B162">
        <v>6.9429999999999996</v>
      </c>
      <c r="C162">
        <v>14.7</v>
      </c>
      <c r="D162">
        <v>4.59</v>
      </c>
      <c r="E162">
        <v>41.3</v>
      </c>
      <c r="F162" s="99">
        <f t="shared" si="2"/>
        <v>33.611469448769235</v>
      </c>
      <c r="G162" s="92"/>
    </row>
    <row r="163" spans="1:7">
      <c r="A163">
        <v>1</v>
      </c>
      <c r="B163">
        <v>6.0659999999999998</v>
      </c>
      <c r="C163">
        <v>14.7</v>
      </c>
      <c r="D163">
        <v>6.43</v>
      </c>
      <c r="E163">
        <v>24.3</v>
      </c>
      <c r="F163" s="99">
        <f t="shared" si="2"/>
        <v>28.599322815323962</v>
      </c>
      <c r="G163" s="92"/>
    </row>
    <row r="164" spans="1:7">
      <c r="A164">
        <v>1</v>
      </c>
      <c r="B164">
        <v>6.51</v>
      </c>
      <c r="C164">
        <v>14.7</v>
      </c>
      <c r="D164">
        <v>7.39</v>
      </c>
      <c r="E164">
        <v>23.3</v>
      </c>
      <c r="F164" s="99">
        <f t="shared" si="2"/>
        <v>30.055236254037272</v>
      </c>
      <c r="G164" s="92"/>
    </row>
    <row r="165" spans="1:7">
      <c r="A165">
        <v>1</v>
      </c>
      <c r="B165">
        <v>6.25</v>
      </c>
      <c r="C165">
        <v>14.7</v>
      </c>
      <c r="D165">
        <v>5.5</v>
      </c>
      <c r="E165">
        <v>27</v>
      </c>
      <c r="F165" s="99">
        <f t="shared" si="2"/>
        <v>29.961939558714572</v>
      </c>
      <c r="G165" s="92"/>
    </row>
    <row r="166" spans="1:7">
      <c r="A166">
        <v>1</v>
      </c>
      <c r="B166">
        <v>7.4889999999999999</v>
      </c>
      <c r="C166">
        <v>14.7</v>
      </c>
      <c r="D166">
        <v>1.73</v>
      </c>
      <c r="E166">
        <v>50</v>
      </c>
      <c r="F166" s="99">
        <f t="shared" si="2"/>
        <v>37.712253551429022</v>
      </c>
      <c r="G166" s="92"/>
    </row>
    <row r="167" spans="1:7">
      <c r="A167">
        <v>1</v>
      </c>
      <c r="B167">
        <v>7.8019999999999996</v>
      </c>
      <c r="C167">
        <v>14.7</v>
      </c>
      <c r="D167">
        <v>1.92</v>
      </c>
      <c r="E167">
        <v>50</v>
      </c>
      <c r="F167" s="99">
        <f t="shared" si="2"/>
        <v>39.016937226159421</v>
      </c>
      <c r="G167" s="92"/>
    </row>
    <row r="168" spans="1:7">
      <c r="A168">
        <v>1</v>
      </c>
      <c r="B168">
        <v>8.375</v>
      </c>
      <c r="C168">
        <v>14.7</v>
      </c>
      <c r="D168">
        <v>3.32</v>
      </c>
      <c r="E168">
        <v>50</v>
      </c>
      <c r="F168" s="99">
        <f t="shared" si="2"/>
        <v>40.803745463965896</v>
      </c>
      <c r="G168" s="92"/>
    </row>
    <row r="169" spans="1:7">
      <c r="A169">
        <v>1</v>
      </c>
      <c r="B169">
        <v>5.8540000000000001</v>
      </c>
      <c r="C169">
        <v>14.7</v>
      </c>
      <c r="D169">
        <v>11.64</v>
      </c>
      <c r="E169">
        <v>22.7</v>
      </c>
      <c r="F169" s="99">
        <f t="shared" si="2"/>
        <v>24.662945941410648</v>
      </c>
      <c r="G169" s="92"/>
    </row>
    <row r="170" spans="1:7">
      <c r="A170">
        <v>1</v>
      </c>
      <c r="B170">
        <v>6.101</v>
      </c>
      <c r="C170">
        <v>14.7</v>
      </c>
      <c r="D170">
        <v>9.81</v>
      </c>
      <c r="E170">
        <v>25</v>
      </c>
      <c r="F170" s="99">
        <f t="shared" si="2"/>
        <v>26.824659323349394</v>
      </c>
      <c r="G170" s="92"/>
    </row>
    <row r="171" spans="1:7">
      <c r="A171">
        <v>1</v>
      </c>
      <c r="B171">
        <v>7.9290000000000003</v>
      </c>
      <c r="C171">
        <v>14.7</v>
      </c>
      <c r="D171">
        <v>3.7</v>
      </c>
      <c r="E171">
        <v>50</v>
      </c>
      <c r="F171" s="99">
        <f t="shared" si="2"/>
        <v>38.572581561615578</v>
      </c>
      <c r="G171" s="92"/>
    </row>
    <row r="172" spans="1:7">
      <c r="A172">
        <v>1</v>
      </c>
      <c r="B172">
        <v>5.8769999999999998</v>
      </c>
      <c r="C172">
        <v>14.7</v>
      </c>
      <c r="D172">
        <v>12.14</v>
      </c>
      <c r="E172">
        <v>23.8</v>
      </c>
      <c r="F172" s="99">
        <f t="shared" si="2"/>
        <v>24.480897779182971</v>
      </c>
      <c r="G172" s="92"/>
    </row>
    <row r="173" spans="1:7">
      <c r="A173">
        <v>1</v>
      </c>
      <c r="B173">
        <v>6.319</v>
      </c>
      <c r="C173">
        <v>14.7</v>
      </c>
      <c r="D173">
        <v>11.1</v>
      </c>
      <c r="E173">
        <v>23.8</v>
      </c>
      <c r="F173" s="99">
        <f t="shared" si="2"/>
        <v>27.071391751753815</v>
      </c>
      <c r="G173" s="92"/>
    </row>
    <row r="174" spans="1:7">
      <c r="A174">
        <v>1</v>
      </c>
      <c r="B174">
        <v>6.4020000000000001</v>
      </c>
      <c r="C174">
        <v>14.7</v>
      </c>
      <c r="D174">
        <v>11.32</v>
      </c>
      <c r="E174">
        <v>22.3</v>
      </c>
      <c r="F174" s="99">
        <f t="shared" si="2"/>
        <v>27.320374438761693</v>
      </c>
      <c r="G174" s="92"/>
    </row>
    <row r="175" spans="1:7">
      <c r="A175">
        <v>1</v>
      </c>
      <c r="B175">
        <v>5.875</v>
      </c>
      <c r="C175">
        <v>14.7</v>
      </c>
      <c r="D175">
        <v>14.43</v>
      </c>
      <c r="E175">
        <v>17.399999999999999</v>
      </c>
      <c r="F175" s="99">
        <f t="shared" si="2"/>
        <v>23.162431912066964</v>
      </c>
      <c r="G175" s="92"/>
    </row>
    <row r="176" spans="1:7">
      <c r="A176">
        <v>1</v>
      </c>
      <c r="B176">
        <v>5.88</v>
      </c>
      <c r="C176">
        <v>14.7</v>
      </c>
      <c r="D176">
        <v>12.03</v>
      </c>
      <c r="E176">
        <v>19.100000000000001</v>
      </c>
      <c r="F176" s="99">
        <f t="shared" si="2"/>
        <v>24.557342667680519</v>
      </c>
      <c r="G176" s="92"/>
    </row>
    <row r="177" spans="1:7">
      <c r="A177">
        <v>1</v>
      </c>
      <c r="B177">
        <v>5.5720000000000001</v>
      </c>
      <c r="C177">
        <v>16.600000000000001</v>
      </c>
      <c r="D177">
        <v>14.69</v>
      </c>
      <c r="E177">
        <v>23.1</v>
      </c>
      <c r="F177" s="99">
        <f t="shared" si="2"/>
        <v>19.877217032218638</v>
      </c>
      <c r="G177" s="92"/>
    </row>
    <row r="178" spans="1:7">
      <c r="A178">
        <v>1</v>
      </c>
      <c r="B178">
        <v>6.4160000000000004</v>
      </c>
      <c r="C178">
        <v>16.600000000000001</v>
      </c>
      <c r="D178">
        <v>9.0399999999999991</v>
      </c>
      <c r="E178">
        <v>23.6</v>
      </c>
      <c r="F178" s="99">
        <f t="shared" si="2"/>
        <v>26.918934445311436</v>
      </c>
      <c r="G178" s="92"/>
    </row>
    <row r="179" spans="1:7">
      <c r="A179">
        <v>1</v>
      </c>
      <c r="B179">
        <v>5.859</v>
      </c>
      <c r="C179">
        <v>16.600000000000001</v>
      </c>
      <c r="D179">
        <v>9.64</v>
      </c>
      <c r="E179">
        <v>22.6</v>
      </c>
      <c r="F179" s="99">
        <f t="shared" si="2"/>
        <v>24.06076156686137</v>
      </c>
      <c r="G179" s="92"/>
    </row>
    <row r="180" spans="1:7">
      <c r="A180">
        <v>1</v>
      </c>
      <c r="B180">
        <v>6.5460000000000003</v>
      </c>
      <c r="C180">
        <v>16.600000000000001</v>
      </c>
      <c r="D180">
        <v>5.33</v>
      </c>
      <c r="E180">
        <v>29.4</v>
      </c>
      <c r="F180" s="99">
        <f t="shared" si="2"/>
        <v>29.627338270019816</v>
      </c>
      <c r="G180" s="92"/>
    </row>
    <row r="181" spans="1:7">
      <c r="A181">
        <v>1</v>
      </c>
      <c r="B181">
        <v>6.02</v>
      </c>
      <c r="C181">
        <v>16.600000000000001</v>
      </c>
      <c r="D181">
        <v>10.11</v>
      </c>
      <c r="E181">
        <v>23.2</v>
      </c>
      <c r="F181" s="99">
        <f t="shared" si="2"/>
        <v>24.518995665521675</v>
      </c>
      <c r="G181" s="92"/>
    </row>
    <row r="182" spans="1:7">
      <c r="A182">
        <v>1</v>
      </c>
      <c r="B182">
        <v>6.3150000000000004</v>
      </c>
      <c r="C182">
        <v>16.600000000000001</v>
      </c>
      <c r="D182">
        <v>6.29</v>
      </c>
      <c r="E182">
        <v>24.6</v>
      </c>
      <c r="F182" s="99">
        <f t="shared" si="2"/>
        <v>28.035342571631912</v>
      </c>
      <c r="G182" s="92"/>
    </row>
    <row r="183" spans="1:7">
      <c r="A183">
        <v>1</v>
      </c>
      <c r="B183">
        <v>6.86</v>
      </c>
      <c r="C183">
        <v>16.600000000000001</v>
      </c>
      <c r="D183">
        <v>6.92</v>
      </c>
      <c r="E183">
        <v>29.9</v>
      </c>
      <c r="F183" s="99">
        <f t="shared" si="2"/>
        <v>30.136009402672396</v>
      </c>
      <c r="G183" s="92"/>
    </row>
    <row r="184" spans="1:7">
      <c r="A184">
        <v>1</v>
      </c>
      <c r="B184">
        <v>6.98</v>
      </c>
      <c r="C184">
        <v>17.8</v>
      </c>
      <c r="D184">
        <v>5.04</v>
      </c>
      <c r="E184">
        <v>37.200000000000003</v>
      </c>
      <c r="F184" s="99">
        <f t="shared" si="2"/>
        <v>30.63598754281087</v>
      </c>
      <c r="G184" s="92"/>
    </row>
    <row r="185" spans="1:7">
      <c r="A185">
        <v>1</v>
      </c>
      <c r="B185">
        <v>7.7649999999999997</v>
      </c>
      <c r="C185">
        <v>17.8</v>
      </c>
      <c r="D185">
        <v>7.56</v>
      </c>
      <c r="E185">
        <v>39.799999999999997</v>
      </c>
      <c r="F185" s="99">
        <f t="shared" si="2"/>
        <v>32.739642650296986</v>
      </c>
      <c r="G185" s="92"/>
    </row>
    <row r="186" spans="1:7">
      <c r="A186">
        <v>1</v>
      </c>
      <c r="B186">
        <v>6.1440000000000001</v>
      </c>
      <c r="C186">
        <v>17.8</v>
      </c>
      <c r="D186">
        <v>9.4499999999999993</v>
      </c>
      <c r="E186">
        <v>36.200000000000003</v>
      </c>
      <c r="F186" s="99">
        <f t="shared" si="2"/>
        <v>24.339432550230967</v>
      </c>
      <c r="G186" s="92"/>
    </row>
    <row r="187" spans="1:7">
      <c r="A187">
        <v>1</v>
      </c>
      <c r="B187">
        <v>7.1550000000000002</v>
      </c>
      <c r="C187">
        <v>17.8</v>
      </c>
      <c r="D187">
        <v>4.82</v>
      </c>
      <c r="E187">
        <v>37.9</v>
      </c>
      <c r="F187" s="99">
        <f t="shared" si="2"/>
        <v>31.551983459317235</v>
      </c>
      <c r="G187" s="92"/>
    </row>
    <row r="188" spans="1:7">
      <c r="A188">
        <v>1</v>
      </c>
      <c r="B188">
        <v>6.5629999999999997</v>
      </c>
      <c r="C188">
        <v>17.8</v>
      </c>
      <c r="D188">
        <v>5.68</v>
      </c>
      <c r="E188">
        <v>32.5</v>
      </c>
      <c r="F188" s="99">
        <f t="shared" si="2"/>
        <v>28.387101368985423</v>
      </c>
      <c r="G188" s="92"/>
    </row>
    <row r="189" spans="1:7">
      <c r="A189">
        <v>1</v>
      </c>
      <c r="B189">
        <v>5.6040000000000001</v>
      </c>
      <c r="C189">
        <v>17.8</v>
      </c>
      <c r="D189">
        <v>13.98</v>
      </c>
      <c r="E189">
        <v>26.4</v>
      </c>
      <c r="F189" s="99">
        <f t="shared" si="2"/>
        <v>19.310825474487029</v>
      </c>
      <c r="G189" s="92"/>
    </row>
    <row r="190" spans="1:7">
      <c r="A190">
        <v>1</v>
      </c>
      <c r="B190">
        <v>6.1529999999999996</v>
      </c>
      <c r="C190">
        <v>17.8</v>
      </c>
      <c r="D190">
        <v>13.15</v>
      </c>
      <c r="E190">
        <v>29.6</v>
      </c>
      <c r="F190" s="99">
        <f t="shared" si="2"/>
        <v>22.264390293596957</v>
      </c>
      <c r="G190" s="92"/>
    </row>
    <row r="191" spans="1:7">
      <c r="A191">
        <v>1</v>
      </c>
      <c r="B191">
        <v>7.8310000000000004</v>
      </c>
      <c r="C191">
        <v>17.8</v>
      </c>
      <c r="D191">
        <v>4.45</v>
      </c>
      <c r="E191">
        <v>50</v>
      </c>
      <c r="F191" s="99">
        <f t="shared" si="2"/>
        <v>34.815976121875181</v>
      </c>
      <c r="G191" s="92"/>
    </row>
    <row r="192" spans="1:7">
      <c r="A192">
        <v>1</v>
      </c>
      <c r="B192">
        <v>6.782</v>
      </c>
      <c r="C192">
        <v>15.2</v>
      </c>
      <c r="D192">
        <v>6.68</v>
      </c>
      <c r="E192">
        <v>32</v>
      </c>
      <c r="F192" s="99">
        <f t="shared" si="2"/>
        <v>31.224051511519814</v>
      </c>
      <c r="G192" s="92"/>
    </row>
    <row r="193" spans="1:7">
      <c r="A193">
        <v>1</v>
      </c>
      <c r="B193">
        <v>6.556</v>
      </c>
      <c r="C193">
        <v>15.2</v>
      </c>
      <c r="D193">
        <v>4.5599999999999996</v>
      </c>
      <c r="E193">
        <v>29.8</v>
      </c>
      <c r="F193" s="99">
        <f t="shared" si="2"/>
        <v>31.415794436498839</v>
      </c>
      <c r="G193" s="92"/>
    </row>
    <row r="194" spans="1:7">
      <c r="A194">
        <v>1</v>
      </c>
      <c r="B194">
        <v>7.1849999999999996</v>
      </c>
      <c r="C194">
        <v>15.2</v>
      </c>
      <c r="D194">
        <v>5.39</v>
      </c>
      <c r="E194">
        <v>34.9</v>
      </c>
      <c r="F194" s="99">
        <f t="shared" si="2"/>
        <v>33.781395489248517</v>
      </c>
      <c r="G194" s="92"/>
    </row>
    <row r="195" spans="1:7">
      <c r="A195">
        <v>1</v>
      </c>
      <c r="B195">
        <v>6.9509999999999996</v>
      </c>
      <c r="C195">
        <v>15.2</v>
      </c>
      <c r="D195">
        <v>5.0999999999999996</v>
      </c>
      <c r="E195">
        <v>37</v>
      </c>
      <c r="F195" s="99">
        <f t="shared" si="2"/>
        <v>32.89061063786982</v>
      </c>
      <c r="G195" s="92"/>
    </row>
    <row r="196" spans="1:7">
      <c r="A196">
        <v>1</v>
      </c>
      <c r="B196">
        <v>6.7389999999999999</v>
      </c>
      <c r="C196">
        <v>15.2</v>
      </c>
      <c r="D196">
        <v>4.6900000000000004</v>
      </c>
      <c r="E196">
        <v>30.5</v>
      </c>
      <c r="F196" s="99">
        <f t="shared" si="2"/>
        <v>32.16778172980063</v>
      </c>
      <c r="G196" s="92"/>
    </row>
    <row r="197" spans="1:7">
      <c r="A197">
        <v>1</v>
      </c>
      <c r="B197">
        <v>7.1779999999999999</v>
      </c>
      <c r="C197">
        <v>15.2</v>
      </c>
      <c r="D197">
        <v>2.87</v>
      </c>
      <c r="E197">
        <v>36.4</v>
      </c>
      <c r="F197" s="99">
        <f t="shared" ref="F197:F260" si="3">SUMPRODUCT($A$2:$D$2,A197:D197)</f>
        <v>35.190737876080547</v>
      </c>
      <c r="G197" s="92"/>
    </row>
    <row r="198" spans="1:7">
      <c r="A198">
        <v>1</v>
      </c>
      <c r="B198">
        <v>6.8</v>
      </c>
      <c r="C198">
        <v>15.6</v>
      </c>
      <c r="D198">
        <v>5.03</v>
      </c>
      <c r="E198">
        <v>31.1</v>
      </c>
      <c r="F198" s="99">
        <f t="shared" si="3"/>
        <v>31.876519451390838</v>
      </c>
      <c r="G198" s="92"/>
    </row>
    <row r="199" spans="1:7">
      <c r="A199">
        <v>1</v>
      </c>
      <c r="B199">
        <v>6.6040000000000001</v>
      </c>
      <c r="C199">
        <v>15.6</v>
      </c>
      <c r="D199">
        <v>4.38</v>
      </c>
      <c r="E199">
        <v>29.1</v>
      </c>
      <c r="F199" s="99">
        <f t="shared" si="3"/>
        <v>31.363170643512728</v>
      </c>
      <c r="G199" s="92"/>
    </row>
    <row r="200" spans="1:7">
      <c r="A200">
        <v>1</v>
      </c>
      <c r="B200">
        <v>7.875</v>
      </c>
      <c r="C200">
        <v>14.4</v>
      </c>
      <c r="D200">
        <v>2.97</v>
      </c>
      <c r="E200">
        <v>50</v>
      </c>
      <c r="F200" s="99">
        <f t="shared" si="3"/>
        <v>39.025383749375607</v>
      </c>
      <c r="G200" s="92"/>
    </row>
    <row r="201" spans="1:7">
      <c r="A201">
        <v>1</v>
      </c>
      <c r="B201">
        <v>7.2869999999999999</v>
      </c>
      <c r="C201">
        <v>12.6</v>
      </c>
      <c r="D201">
        <v>4.08</v>
      </c>
      <c r="E201">
        <v>33.299999999999997</v>
      </c>
      <c r="F201" s="99">
        <f t="shared" si="3"/>
        <v>37.410912520337789</v>
      </c>
      <c r="G201" s="92"/>
    </row>
    <row r="202" spans="1:7">
      <c r="A202">
        <v>1</v>
      </c>
      <c r="B202">
        <v>7.1070000000000002</v>
      </c>
      <c r="C202">
        <v>12.6</v>
      </c>
      <c r="D202">
        <v>8.61</v>
      </c>
      <c r="E202">
        <v>30.3</v>
      </c>
      <c r="F202" s="99">
        <f t="shared" si="3"/>
        <v>34.007856984381171</v>
      </c>
      <c r="G202" s="92"/>
    </row>
    <row r="203" spans="1:7">
      <c r="A203">
        <v>1</v>
      </c>
      <c r="B203">
        <v>7.274</v>
      </c>
      <c r="C203">
        <v>12.6</v>
      </c>
      <c r="D203">
        <v>6.62</v>
      </c>
      <c r="E203">
        <v>34.6</v>
      </c>
      <c r="F203" s="99">
        <f t="shared" si="3"/>
        <v>35.899825600871246</v>
      </c>
      <c r="G203" s="92"/>
    </row>
    <row r="204" spans="1:7">
      <c r="A204">
        <v>1</v>
      </c>
      <c r="B204">
        <v>6.9749999999999996</v>
      </c>
      <c r="C204">
        <v>17</v>
      </c>
      <c r="D204">
        <v>4.5599999999999996</v>
      </c>
      <c r="E204">
        <v>34.9</v>
      </c>
      <c r="F204" s="99">
        <f t="shared" si="3"/>
        <v>31.632455212486786</v>
      </c>
      <c r="G204" s="92"/>
    </row>
    <row r="205" spans="1:7">
      <c r="A205">
        <v>1</v>
      </c>
      <c r="B205">
        <v>7.1349999999999998</v>
      </c>
      <c r="C205">
        <v>17</v>
      </c>
      <c r="D205">
        <v>4.45</v>
      </c>
      <c r="E205">
        <v>32.9</v>
      </c>
      <c r="F205" s="99">
        <f t="shared" si="3"/>
        <v>32.417821189169366</v>
      </c>
      <c r="G205" s="92"/>
    </row>
    <row r="206" spans="1:7">
      <c r="A206">
        <v>1</v>
      </c>
      <c r="B206">
        <v>6.1619999999999999</v>
      </c>
      <c r="C206">
        <v>14.7</v>
      </c>
      <c r="D206">
        <v>7.43</v>
      </c>
      <c r="E206">
        <v>24.1</v>
      </c>
      <c r="F206" s="99">
        <f t="shared" si="3"/>
        <v>28.460997538061296</v>
      </c>
      <c r="G206" s="92"/>
    </row>
    <row r="207" spans="1:7">
      <c r="A207">
        <v>1</v>
      </c>
      <c r="B207">
        <v>7.61</v>
      </c>
      <c r="C207">
        <v>14.7</v>
      </c>
      <c r="D207">
        <v>3.11</v>
      </c>
      <c r="E207">
        <v>42.3</v>
      </c>
      <c r="F207" s="99">
        <f t="shared" si="3"/>
        <v>37.469527636371105</v>
      </c>
      <c r="G207" s="92"/>
    </row>
    <row r="208" spans="1:7">
      <c r="A208">
        <v>1</v>
      </c>
      <c r="B208">
        <v>7.8529999999999998</v>
      </c>
      <c r="C208">
        <v>14.7</v>
      </c>
      <c r="D208">
        <v>3.81</v>
      </c>
      <c r="E208">
        <v>48.5</v>
      </c>
      <c r="F208" s="99">
        <f t="shared" si="3"/>
        <v>38.166510944216711</v>
      </c>
      <c r="G208" s="92"/>
    </row>
    <row r="209" spans="1:7">
      <c r="A209">
        <v>1</v>
      </c>
      <c r="B209">
        <v>8.0340000000000007</v>
      </c>
      <c r="C209">
        <v>14.7</v>
      </c>
      <c r="D209">
        <v>2.88</v>
      </c>
      <c r="E209">
        <v>50</v>
      </c>
      <c r="F209" s="99">
        <f t="shared" si="3"/>
        <v>39.51558142477576</v>
      </c>
      <c r="G209" s="92"/>
    </row>
    <row r="210" spans="1:7">
      <c r="A210">
        <v>1</v>
      </c>
      <c r="B210">
        <v>5.891</v>
      </c>
      <c r="C210">
        <v>18.600000000000001</v>
      </c>
      <c r="D210">
        <v>10.87</v>
      </c>
      <c r="E210">
        <v>22.6</v>
      </c>
      <c r="F210" s="99">
        <f t="shared" si="3"/>
        <v>21.640488930440544</v>
      </c>
      <c r="G210" s="92"/>
    </row>
    <row r="211" spans="1:7">
      <c r="A211">
        <v>1</v>
      </c>
      <c r="B211">
        <v>6.3259999999999996</v>
      </c>
      <c r="C211">
        <v>18.600000000000001</v>
      </c>
      <c r="D211">
        <v>10.97</v>
      </c>
      <c r="E211">
        <v>24.4</v>
      </c>
      <c r="F211" s="99">
        <f t="shared" si="3"/>
        <v>23.547516472229617</v>
      </c>
      <c r="G211" s="92"/>
    </row>
    <row r="212" spans="1:7">
      <c r="A212">
        <v>1</v>
      </c>
      <c r="B212">
        <v>5.7830000000000004</v>
      </c>
      <c r="C212">
        <v>18.600000000000001</v>
      </c>
      <c r="D212">
        <v>18.059999999999999</v>
      </c>
      <c r="E212">
        <v>22.5</v>
      </c>
      <c r="F212" s="99">
        <f t="shared" si="3"/>
        <v>17.041540572700224</v>
      </c>
      <c r="G212" s="92"/>
    </row>
    <row r="213" spans="1:7">
      <c r="A213">
        <v>1</v>
      </c>
      <c r="B213">
        <v>6.0640000000000001</v>
      </c>
      <c r="C213">
        <v>18.600000000000001</v>
      </c>
      <c r="D213">
        <v>14.66</v>
      </c>
      <c r="E213">
        <v>24.4</v>
      </c>
      <c r="F213" s="99">
        <f t="shared" si="3"/>
        <v>20.254513196689999</v>
      </c>
      <c r="G213" s="92"/>
    </row>
    <row r="214" spans="1:7">
      <c r="A214">
        <v>1</v>
      </c>
      <c r="B214">
        <v>5.3440000000000003</v>
      </c>
      <c r="C214">
        <v>18.600000000000001</v>
      </c>
      <c r="D214">
        <v>23.09</v>
      </c>
      <c r="E214">
        <v>20</v>
      </c>
      <c r="F214" s="99">
        <f t="shared" si="3"/>
        <v>12.183088168349194</v>
      </c>
      <c r="G214" s="92"/>
    </row>
    <row r="215" spans="1:7">
      <c r="A215">
        <v>1</v>
      </c>
      <c r="B215">
        <v>5.96</v>
      </c>
      <c r="C215">
        <v>18.600000000000001</v>
      </c>
      <c r="D215">
        <v>17.27</v>
      </c>
      <c r="E215">
        <v>21.7</v>
      </c>
      <c r="F215" s="99">
        <f t="shared" si="3"/>
        <v>18.292496573181687</v>
      </c>
      <c r="G215" s="92"/>
    </row>
    <row r="216" spans="1:7">
      <c r="A216">
        <v>1</v>
      </c>
      <c r="B216">
        <v>5.4039999999999999</v>
      </c>
      <c r="C216">
        <v>18.600000000000001</v>
      </c>
      <c r="D216">
        <v>23.98</v>
      </c>
      <c r="E216">
        <v>19.3</v>
      </c>
      <c r="F216" s="99">
        <f t="shared" si="3"/>
        <v>11.94510636277378</v>
      </c>
      <c r="G216" s="92"/>
    </row>
    <row r="217" spans="1:7">
      <c r="A217">
        <v>1</v>
      </c>
      <c r="B217">
        <v>5.8070000000000004</v>
      </c>
      <c r="C217">
        <v>18.600000000000001</v>
      </c>
      <c r="D217">
        <v>16.03</v>
      </c>
      <c r="E217">
        <v>22.4</v>
      </c>
      <c r="F217" s="99">
        <f t="shared" si="3"/>
        <v>18.310676221734127</v>
      </c>
      <c r="G217" s="92"/>
    </row>
    <row r="218" spans="1:7">
      <c r="A218">
        <v>1</v>
      </c>
      <c r="B218">
        <v>6.375</v>
      </c>
      <c r="C218">
        <v>18.600000000000001</v>
      </c>
      <c r="D218">
        <v>9.3800000000000008</v>
      </c>
      <c r="E218">
        <v>28.1</v>
      </c>
      <c r="F218" s="99">
        <f t="shared" si="3"/>
        <v>24.677943142195915</v>
      </c>
      <c r="G218" s="92"/>
    </row>
    <row r="219" spans="1:7">
      <c r="A219">
        <v>1</v>
      </c>
      <c r="B219">
        <v>5.4119999999999999</v>
      </c>
      <c r="C219">
        <v>18.600000000000001</v>
      </c>
      <c r="D219">
        <v>29.55</v>
      </c>
      <c r="E219">
        <v>23.7</v>
      </c>
      <c r="F219" s="99">
        <f t="shared" si="3"/>
        <v>8.7962720488741226</v>
      </c>
      <c r="G219" s="92"/>
    </row>
    <row r="220" spans="1:7">
      <c r="A220">
        <v>1</v>
      </c>
      <c r="B220">
        <v>6.1820000000000004</v>
      </c>
      <c r="C220">
        <v>18.600000000000001</v>
      </c>
      <c r="D220">
        <v>9.4700000000000006</v>
      </c>
      <c r="E220">
        <v>25</v>
      </c>
      <c r="F220" s="99">
        <f t="shared" si="3"/>
        <v>23.755004388123627</v>
      </c>
      <c r="G220" s="92"/>
    </row>
    <row r="221" spans="1:7">
      <c r="A221">
        <v>1</v>
      </c>
      <c r="B221">
        <v>5.8879999999999999</v>
      </c>
      <c r="C221">
        <v>16.399999999999999</v>
      </c>
      <c r="D221">
        <v>13.51</v>
      </c>
      <c r="E221">
        <v>23.3</v>
      </c>
      <c r="F221" s="99">
        <f t="shared" si="3"/>
        <v>22.164965273220172</v>
      </c>
      <c r="G221" s="92"/>
    </row>
    <row r="222" spans="1:7">
      <c r="A222">
        <v>1</v>
      </c>
      <c r="B222">
        <v>6.6420000000000003</v>
      </c>
      <c r="C222">
        <v>16.399999999999999</v>
      </c>
      <c r="D222">
        <v>9.69</v>
      </c>
      <c r="E222">
        <v>28.7</v>
      </c>
      <c r="F222" s="99">
        <f t="shared" si="3"/>
        <v>27.753890392559242</v>
      </c>
      <c r="G222" s="92"/>
    </row>
    <row r="223" spans="1:7">
      <c r="A223">
        <v>1</v>
      </c>
      <c r="B223">
        <v>5.9509999999999996</v>
      </c>
      <c r="C223">
        <v>16.399999999999999</v>
      </c>
      <c r="D223">
        <v>17.920000000000002</v>
      </c>
      <c r="E223">
        <v>21.5</v>
      </c>
      <c r="F223" s="99">
        <f t="shared" si="3"/>
        <v>19.9277737091647</v>
      </c>
      <c r="G223" s="92"/>
    </row>
    <row r="224" spans="1:7">
      <c r="A224">
        <v>1</v>
      </c>
      <c r="B224">
        <v>6.3730000000000002</v>
      </c>
      <c r="C224">
        <v>16.399999999999999</v>
      </c>
      <c r="D224">
        <v>10.5</v>
      </c>
      <c r="E224">
        <v>23</v>
      </c>
      <c r="F224" s="99">
        <f t="shared" si="3"/>
        <v>26.07607955148578</v>
      </c>
      <c r="G224" s="92"/>
    </row>
    <row r="225" spans="1:7">
      <c r="A225">
        <v>1</v>
      </c>
      <c r="B225">
        <v>6.9509999999999996</v>
      </c>
      <c r="C225">
        <v>17.399999999999999</v>
      </c>
      <c r="D225">
        <v>9.7100000000000009</v>
      </c>
      <c r="E225">
        <v>26.7</v>
      </c>
      <c r="F225" s="99">
        <f t="shared" si="3"/>
        <v>28.20699679518215</v>
      </c>
      <c r="G225" s="92"/>
    </row>
    <row r="226" spans="1:7">
      <c r="A226">
        <v>1</v>
      </c>
      <c r="B226">
        <v>6.1639999999999997</v>
      </c>
      <c r="C226">
        <v>17.399999999999999</v>
      </c>
      <c r="D226">
        <v>21.46</v>
      </c>
      <c r="E226">
        <v>21.7</v>
      </c>
      <c r="F226" s="99">
        <f t="shared" si="3"/>
        <v>17.934643679866049</v>
      </c>
      <c r="G226" s="92"/>
    </row>
    <row r="227" spans="1:7">
      <c r="A227">
        <v>1</v>
      </c>
      <c r="B227">
        <v>6.8789999999999996</v>
      </c>
      <c r="C227">
        <v>17.399999999999999</v>
      </c>
      <c r="D227">
        <v>9.93</v>
      </c>
      <c r="E227">
        <v>27.5</v>
      </c>
      <c r="F227" s="99">
        <f t="shared" si="3"/>
        <v>27.756089235892716</v>
      </c>
      <c r="G227" s="92"/>
    </row>
    <row r="228" spans="1:7">
      <c r="A228">
        <v>1</v>
      </c>
      <c r="B228">
        <v>6.6180000000000003</v>
      </c>
      <c r="C228">
        <v>17.399999999999999</v>
      </c>
      <c r="D228">
        <v>7.6</v>
      </c>
      <c r="E228">
        <v>30.1</v>
      </c>
      <c r="F228" s="99">
        <f t="shared" si="3"/>
        <v>27.909871622290105</v>
      </c>
      <c r="G228" s="92"/>
    </row>
    <row r="229" spans="1:7">
      <c r="A229">
        <v>1</v>
      </c>
      <c r="B229">
        <v>8.266</v>
      </c>
      <c r="C229">
        <v>17.399999999999999</v>
      </c>
      <c r="D229">
        <v>4.1399999999999997</v>
      </c>
      <c r="E229">
        <v>44.8</v>
      </c>
      <c r="F229" s="99">
        <f t="shared" si="3"/>
        <v>37.329733017800194</v>
      </c>
      <c r="G229" s="92"/>
    </row>
    <row r="230" spans="1:7">
      <c r="A230">
        <v>1</v>
      </c>
      <c r="B230">
        <v>8.7249999999999996</v>
      </c>
      <c r="C230">
        <v>17.399999999999999</v>
      </c>
      <c r="D230">
        <v>4.63</v>
      </c>
      <c r="E230">
        <v>50</v>
      </c>
      <c r="F230" s="99">
        <f t="shared" si="3"/>
        <v>39.122126443971439</v>
      </c>
      <c r="G230" s="92"/>
    </row>
    <row r="231" spans="1:7">
      <c r="A231">
        <v>1</v>
      </c>
      <c r="B231">
        <v>8.0399999999999991</v>
      </c>
      <c r="C231">
        <v>17.399999999999999</v>
      </c>
      <c r="D231">
        <v>3.13</v>
      </c>
      <c r="E231">
        <v>37.6</v>
      </c>
      <c r="F231" s="99">
        <f t="shared" si="3"/>
        <v>36.886771629240613</v>
      </c>
      <c r="G231" s="92"/>
    </row>
    <row r="232" spans="1:7">
      <c r="A232">
        <v>1</v>
      </c>
      <c r="B232">
        <v>7.1630000000000003</v>
      </c>
      <c r="C232">
        <v>17.399999999999999</v>
      </c>
      <c r="D232">
        <v>6.36</v>
      </c>
      <c r="E232">
        <v>31.6</v>
      </c>
      <c r="F232" s="99">
        <f t="shared" si="3"/>
        <v>31.079815089652399</v>
      </c>
      <c r="G232" s="92"/>
    </row>
    <row r="233" spans="1:7">
      <c r="A233">
        <v>1</v>
      </c>
      <c r="B233">
        <v>7.6859999999999999</v>
      </c>
      <c r="C233">
        <v>17.399999999999999</v>
      </c>
      <c r="D233">
        <v>3.92</v>
      </c>
      <c r="E233">
        <v>46.7</v>
      </c>
      <c r="F233" s="99">
        <f t="shared" si="3"/>
        <v>34.836586121697046</v>
      </c>
      <c r="G233" s="92"/>
    </row>
    <row r="234" spans="1:7">
      <c r="A234">
        <v>1</v>
      </c>
      <c r="B234">
        <v>6.5519999999999996</v>
      </c>
      <c r="C234">
        <v>17.399999999999999</v>
      </c>
      <c r="D234">
        <v>3.76</v>
      </c>
      <c r="E234">
        <v>31.5</v>
      </c>
      <c r="F234" s="99">
        <f t="shared" si="3"/>
        <v>29.807587681426622</v>
      </c>
      <c r="G234" s="92"/>
    </row>
    <row r="235" spans="1:7">
      <c r="A235">
        <v>1</v>
      </c>
      <c r="B235">
        <v>5.9809999999999999</v>
      </c>
      <c r="C235">
        <v>17.399999999999999</v>
      </c>
      <c r="D235">
        <v>11.65</v>
      </c>
      <c r="E235">
        <v>24.3</v>
      </c>
      <c r="F235" s="99">
        <f t="shared" si="3"/>
        <v>22.717735445171225</v>
      </c>
      <c r="G235" s="92"/>
    </row>
    <row r="236" spans="1:7">
      <c r="A236">
        <v>1</v>
      </c>
      <c r="B236">
        <v>7.4119999999999999</v>
      </c>
      <c r="C236">
        <v>17.399999999999999</v>
      </c>
      <c r="D236">
        <v>5.25</v>
      </c>
      <c r="E236">
        <v>31.7</v>
      </c>
      <c r="F236" s="99">
        <f t="shared" si="3"/>
        <v>32.838859218210558</v>
      </c>
      <c r="G236" s="92"/>
    </row>
    <row r="237" spans="1:7">
      <c r="A237">
        <v>1</v>
      </c>
      <c r="B237">
        <v>8.3369999999999997</v>
      </c>
      <c r="C237">
        <v>17.399999999999999</v>
      </c>
      <c r="D237">
        <v>2.4700000000000002</v>
      </c>
      <c r="E237">
        <v>41.7</v>
      </c>
      <c r="F237" s="99">
        <f t="shared" si="3"/>
        <v>38.605243403561083</v>
      </c>
      <c r="G237" s="92"/>
    </row>
    <row r="238" spans="1:7">
      <c r="A238">
        <v>1</v>
      </c>
      <c r="B238">
        <v>8.2469999999999999</v>
      </c>
      <c r="C238">
        <v>17.399999999999999</v>
      </c>
      <c r="D238">
        <v>3.95</v>
      </c>
      <c r="E238">
        <v>48.3</v>
      </c>
      <c r="F238" s="99">
        <f t="shared" si="3"/>
        <v>37.352583100562768</v>
      </c>
      <c r="G238" s="92"/>
    </row>
    <row r="239" spans="1:7">
      <c r="A239">
        <v>1</v>
      </c>
      <c r="B239">
        <v>6.726</v>
      </c>
      <c r="C239">
        <v>17.399999999999999</v>
      </c>
      <c r="D239">
        <v>8.0500000000000007</v>
      </c>
      <c r="E239">
        <v>29</v>
      </c>
      <c r="F239" s="99">
        <f t="shared" si="3"/>
        <v>28.140224524683632</v>
      </c>
      <c r="G239" s="92"/>
    </row>
    <row r="240" spans="1:7">
      <c r="A240">
        <v>1</v>
      </c>
      <c r="B240">
        <v>6.0860000000000003</v>
      </c>
      <c r="C240">
        <v>17.399999999999999</v>
      </c>
      <c r="D240">
        <v>10.88</v>
      </c>
      <c r="E240">
        <v>24</v>
      </c>
      <c r="F240" s="99">
        <f t="shared" si="3"/>
        <v>23.632145023937777</v>
      </c>
      <c r="G240" s="92"/>
    </row>
    <row r="241" spans="1:7">
      <c r="A241">
        <v>1</v>
      </c>
      <c r="B241">
        <v>6.6310000000000002</v>
      </c>
      <c r="C241">
        <v>17.399999999999999</v>
      </c>
      <c r="D241">
        <v>9.5399999999999991</v>
      </c>
      <c r="E241">
        <v>25.1</v>
      </c>
      <c r="F241" s="99">
        <f t="shared" si="3"/>
        <v>26.859269060087328</v>
      </c>
      <c r="G241" s="92"/>
    </row>
    <row r="242" spans="1:7">
      <c r="A242">
        <v>1</v>
      </c>
      <c r="B242">
        <v>7.3579999999999997</v>
      </c>
      <c r="C242">
        <v>17.399999999999999</v>
      </c>
      <c r="D242">
        <v>4.7300000000000004</v>
      </c>
      <c r="E242">
        <v>31.5</v>
      </c>
      <c r="F242" s="99">
        <f t="shared" si="3"/>
        <v>32.892365444936225</v>
      </c>
      <c r="G242" s="92"/>
    </row>
    <row r="243" spans="1:7">
      <c r="A243">
        <v>1</v>
      </c>
      <c r="B243">
        <v>6.4809999999999999</v>
      </c>
      <c r="C243">
        <v>16.600000000000001</v>
      </c>
      <c r="D243">
        <v>6.36</v>
      </c>
      <c r="E243">
        <v>23.7</v>
      </c>
      <c r="F243" s="99">
        <f t="shared" si="3"/>
        <v>28.744876050160528</v>
      </c>
      <c r="G243" s="92"/>
    </row>
    <row r="244" spans="1:7">
      <c r="A244">
        <v>1</v>
      </c>
      <c r="B244">
        <v>6.6059999999999999</v>
      </c>
      <c r="C244">
        <v>16.600000000000001</v>
      </c>
      <c r="D244">
        <v>7.37</v>
      </c>
      <c r="E244">
        <v>23.3</v>
      </c>
      <c r="F244" s="99">
        <f t="shared" si="3"/>
        <v>28.731779923390889</v>
      </c>
      <c r="G244" s="92"/>
    </row>
    <row r="245" spans="1:7">
      <c r="A245">
        <v>1</v>
      </c>
      <c r="B245">
        <v>6.8970000000000002</v>
      </c>
      <c r="C245">
        <v>16.600000000000001</v>
      </c>
      <c r="D245">
        <v>11.38</v>
      </c>
      <c r="E245">
        <v>22</v>
      </c>
      <c r="F245" s="99">
        <f t="shared" si="3"/>
        <v>27.752826609683108</v>
      </c>
      <c r="G245" s="92"/>
    </row>
    <row r="246" spans="1:7">
      <c r="A246">
        <v>1</v>
      </c>
      <c r="B246">
        <v>6.0949999999999998</v>
      </c>
      <c r="C246">
        <v>16.600000000000001</v>
      </c>
      <c r="D246">
        <v>12.4</v>
      </c>
      <c r="E246">
        <v>20.100000000000001</v>
      </c>
      <c r="F246" s="99">
        <f t="shared" si="3"/>
        <v>23.548217211082402</v>
      </c>
      <c r="G246" s="92"/>
    </row>
    <row r="247" spans="1:7">
      <c r="A247">
        <v>1</v>
      </c>
      <c r="B247">
        <v>6.3579999999999997</v>
      </c>
      <c r="C247">
        <v>16.600000000000001</v>
      </c>
      <c r="D247">
        <v>11.22</v>
      </c>
      <c r="E247">
        <v>22.2</v>
      </c>
      <c r="F247" s="99">
        <f t="shared" si="3"/>
        <v>25.410503631005597</v>
      </c>
      <c r="G247" s="92"/>
    </row>
    <row r="248" spans="1:7">
      <c r="A248">
        <v>1</v>
      </c>
      <c r="B248">
        <v>6.3929999999999998</v>
      </c>
      <c r="C248">
        <v>16.600000000000001</v>
      </c>
      <c r="D248">
        <v>5.19</v>
      </c>
      <c r="E248">
        <v>23.7</v>
      </c>
      <c r="F248" s="99">
        <f t="shared" si="3"/>
        <v>29.016531661912371</v>
      </c>
      <c r="G248" s="92"/>
    </row>
    <row r="249" spans="1:7">
      <c r="A249">
        <v>1</v>
      </c>
      <c r="B249">
        <v>5.593</v>
      </c>
      <c r="C249">
        <v>19.100000000000001</v>
      </c>
      <c r="D249">
        <v>12.5</v>
      </c>
      <c r="E249">
        <v>17.600000000000001</v>
      </c>
      <c r="F249" s="99">
        <f t="shared" si="3"/>
        <v>18.897488940304584</v>
      </c>
      <c r="G249" s="92"/>
    </row>
    <row r="250" spans="1:7">
      <c r="A250">
        <v>1</v>
      </c>
      <c r="B250">
        <v>5.6050000000000004</v>
      </c>
      <c r="C250">
        <v>19.100000000000001</v>
      </c>
      <c r="D250">
        <v>18.46</v>
      </c>
      <c r="E250">
        <v>18.5</v>
      </c>
      <c r="F250" s="99">
        <f t="shared" si="3"/>
        <v>15.543712091910018</v>
      </c>
      <c r="G250" s="92"/>
    </row>
    <row r="251" spans="1:7">
      <c r="A251">
        <v>1</v>
      </c>
      <c r="B251">
        <v>6.1079999999999997</v>
      </c>
      <c r="C251">
        <v>19.100000000000001</v>
      </c>
      <c r="D251">
        <v>9.16</v>
      </c>
      <c r="E251">
        <v>24.3</v>
      </c>
      <c r="F251" s="99">
        <f t="shared" si="3"/>
        <v>23.132761723883753</v>
      </c>
      <c r="G251" s="92"/>
    </row>
    <row r="252" spans="1:7">
      <c r="A252">
        <v>1</v>
      </c>
      <c r="B252">
        <v>6.226</v>
      </c>
      <c r="C252">
        <v>19.100000000000001</v>
      </c>
      <c r="D252">
        <v>10.15</v>
      </c>
      <c r="E252">
        <v>20.5</v>
      </c>
      <c r="F252" s="99">
        <f t="shared" si="3"/>
        <v>23.099493764264601</v>
      </c>
      <c r="G252" s="92"/>
    </row>
    <row r="253" spans="1:7">
      <c r="A253">
        <v>1</v>
      </c>
      <c r="B253">
        <v>6.4329999999999998</v>
      </c>
      <c r="C253">
        <v>19.100000000000001</v>
      </c>
      <c r="D253">
        <v>9.52</v>
      </c>
      <c r="E253">
        <v>24.5</v>
      </c>
      <c r="F253" s="99">
        <f t="shared" si="3"/>
        <v>24.394423483002054</v>
      </c>
      <c r="G253" s="92"/>
    </row>
    <row r="254" spans="1:7">
      <c r="A254">
        <v>1</v>
      </c>
      <c r="B254">
        <v>6.718</v>
      </c>
      <c r="C254">
        <v>19.100000000000001</v>
      </c>
      <c r="D254">
        <v>6.56</v>
      </c>
      <c r="E254">
        <v>26.2</v>
      </c>
      <c r="F254" s="99">
        <f t="shared" si="3"/>
        <v>27.373863288103301</v>
      </c>
      <c r="G254" s="92"/>
    </row>
    <row r="255" spans="1:7">
      <c r="A255">
        <v>1</v>
      </c>
      <c r="B255">
        <v>6.4870000000000001</v>
      </c>
      <c r="C255">
        <v>19.100000000000001</v>
      </c>
      <c r="D255">
        <v>5.9</v>
      </c>
      <c r="E255">
        <v>24.4</v>
      </c>
      <c r="F255" s="99">
        <f t="shared" si="3"/>
        <v>26.708192804069036</v>
      </c>
      <c r="G255" s="92"/>
    </row>
    <row r="256" spans="1:7">
      <c r="A256">
        <v>1</v>
      </c>
      <c r="B256">
        <v>6.4379999999999997</v>
      </c>
      <c r="C256">
        <v>19.100000000000001</v>
      </c>
      <c r="D256">
        <v>3.59</v>
      </c>
      <c r="E256">
        <v>24.8</v>
      </c>
      <c r="F256" s="99">
        <f t="shared" si="3"/>
        <v>27.807808316805957</v>
      </c>
      <c r="G256" s="92"/>
    </row>
    <row r="257" spans="1:7">
      <c r="A257">
        <v>1</v>
      </c>
      <c r="B257">
        <v>6.9569999999999999</v>
      </c>
      <c r="C257">
        <v>19.100000000000001</v>
      </c>
      <c r="D257">
        <v>3.53</v>
      </c>
      <c r="E257">
        <v>29.6</v>
      </c>
      <c r="F257" s="99">
        <f t="shared" si="3"/>
        <v>30.185620127938357</v>
      </c>
      <c r="G257" s="92"/>
    </row>
    <row r="258" spans="1:7">
      <c r="A258">
        <v>1</v>
      </c>
      <c r="B258">
        <v>8.2590000000000003</v>
      </c>
      <c r="C258">
        <v>19.100000000000001</v>
      </c>
      <c r="D258">
        <v>3.54</v>
      </c>
      <c r="E258">
        <v>42.8</v>
      </c>
      <c r="F258" s="99">
        <f t="shared" si="3"/>
        <v>36.058980139957086</v>
      </c>
      <c r="G258" s="92"/>
    </row>
    <row r="259" spans="1:7">
      <c r="A259">
        <v>1</v>
      </c>
      <c r="B259">
        <v>6.1079999999999997</v>
      </c>
      <c r="C259">
        <v>16.399999999999999</v>
      </c>
      <c r="D259">
        <v>6.57</v>
      </c>
      <c r="E259">
        <v>21.9</v>
      </c>
      <c r="F259" s="99">
        <f t="shared" si="3"/>
        <v>27.126689354703945</v>
      </c>
      <c r="G259" s="92"/>
    </row>
    <row r="260" spans="1:7">
      <c r="A260">
        <v>1</v>
      </c>
      <c r="B260">
        <v>5.8760000000000003</v>
      </c>
      <c r="C260">
        <v>16.399999999999999</v>
      </c>
      <c r="D260">
        <v>9.25</v>
      </c>
      <c r="E260">
        <v>20.9</v>
      </c>
      <c r="F260" s="99">
        <f t="shared" si="3"/>
        <v>24.546672452231284</v>
      </c>
      <c r="G260" s="92"/>
    </row>
    <row r="261" spans="1:7">
      <c r="A261">
        <v>1</v>
      </c>
      <c r="B261">
        <v>7.4539999999999997</v>
      </c>
      <c r="C261">
        <v>15.9</v>
      </c>
      <c r="D261">
        <v>3.11</v>
      </c>
      <c r="E261">
        <v>44</v>
      </c>
      <c r="F261" s="99">
        <f t="shared" ref="F261:F324" si="4">SUMPRODUCT($A$2:$D$2,A261:D261)</f>
        <v>35.648254902805434</v>
      </c>
      <c r="G261" s="92"/>
    </row>
    <row r="262" spans="1:7">
      <c r="A262">
        <v>1</v>
      </c>
      <c r="B262">
        <v>8.7040000000000006</v>
      </c>
      <c r="C262">
        <v>13</v>
      </c>
      <c r="D262">
        <v>5.12</v>
      </c>
      <c r="E262">
        <v>50</v>
      </c>
      <c r="F262" s="99">
        <f t="shared" si="4"/>
        <v>42.842297060282739</v>
      </c>
      <c r="G262" s="92"/>
    </row>
    <row r="263" spans="1:7">
      <c r="A263">
        <v>1</v>
      </c>
      <c r="B263">
        <v>7.3330000000000002</v>
      </c>
      <c r="C263">
        <v>13</v>
      </c>
      <c r="D263">
        <v>7.79</v>
      </c>
      <c r="E263">
        <v>36</v>
      </c>
      <c r="F263" s="99">
        <f t="shared" si="4"/>
        <v>35.124933759639482</v>
      </c>
      <c r="G263" s="92"/>
    </row>
    <row r="264" spans="1:7">
      <c r="A264">
        <v>1</v>
      </c>
      <c r="B264">
        <v>6.8419999999999996</v>
      </c>
      <c r="C264">
        <v>13</v>
      </c>
      <c r="D264">
        <v>6.9</v>
      </c>
      <c r="E264">
        <v>30.1</v>
      </c>
      <c r="F264" s="99">
        <f t="shared" si="4"/>
        <v>33.416769138413962</v>
      </c>
      <c r="G264" s="92"/>
    </row>
    <row r="265" spans="1:7">
      <c r="A265">
        <v>1</v>
      </c>
      <c r="B265">
        <v>7.2030000000000003</v>
      </c>
      <c r="C265">
        <v>13</v>
      </c>
      <c r="D265">
        <v>9.59</v>
      </c>
      <c r="E265">
        <v>33.799999999999997</v>
      </c>
      <c r="F265" s="99">
        <f t="shared" si="4"/>
        <v>33.508678798767789</v>
      </c>
      <c r="G265" s="92"/>
    </row>
    <row r="266" spans="1:7">
      <c r="A266">
        <v>1</v>
      </c>
      <c r="B266">
        <v>7.52</v>
      </c>
      <c r="C266">
        <v>13</v>
      </c>
      <c r="D266">
        <v>7.26</v>
      </c>
      <c r="E266">
        <v>43.1</v>
      </c>
      <c r="F266" s="99">
        <f t="shared" si="4"/>
        <v>36.2723744907126</v>
      </c>
      <c r="G266" s="92"/>
    </row>
    <row r="267" spans="1:7">
      <c r="A267">
        <v>1</v>
      </c>
      <c r="B267">
        <v>8.3979999999999997</v>
      </c>
      <c r="C267">
        <v>13</v>
      </c>
      <c r="D267">
        <v>5.91</v>
      </c>
      <c r="E267">
        <v>48.8</v>
      </c>
      <c r="F267" s="99">
        <f t="shared" si="4"/>
        <v>41.008851758044138</v>
      </c>
      <c r="G267" s="92"/>
    </row>
    <row r="268" spans="1:7">
      <c r="A268">
        <v>1</v>
      </c>
      <c r="B268">
        <v>7.327</v>
      </c>
      <c r="C268">
        <v>13</v>
      </c>
      <c r="D268">
        <v>11.25</v>
      </c>
      <c r="E268">
        <v>31</v>
      </c>
      <c r="F268" s="99">
        <f t="shared" si="4"/>
        <v>33.119393553937101</v>
      </c>
      <c r="G268" s="92"/>
    </row>
    <row r="269" spans="1:7">
      <c r="A269">
        <v>1</v>
      </c>
      <c r="B269">
        <v>7.2060000000000004</v>
      </c>
      <c r="C269">
        <v>13</v>
      </c>
      <c r="D269">
        <v>8.1</v>
      </c>
      <c r="E269">
        <v>36.5</v>
      </c>
      <c r="F269" s="99">
        <f t="shared" si="4"/>
        <v>34.374215536529562</v>
      </c>
      <c r="G269" s="92"/>
    </row>
    <row r="270" spans="1:7">
      <c r="A270">
        <v>1</v>
      </c>
      <c r="B270">
        <v>5.56</v>
      </c>
      <c r="C270">
        <v>13</v>
      </c>
      <c r="D270">
        <v>10.45</v>
      </c>
      <c r="E270">
        <v>22.8</v>
      </c>
      <c r="F270" s="99">
        <f t="shared" si="4"/>
        <v>25.598089296445778</v>
      </c>
      <c r="G270" s="92"/>
    </row>
    <row r="271" spans="1:7">
      <c r="A271">
        <v>1</v>
      </c>
      <c r="B271">
        <v>7.0140000000000002</v>
      </c>
      <c r="C271">
        <v>13</v>
      </c>
      <c r="D271">
        <v>14.79</v>
      </c>
      <c r="E271">
        <v>30.7</v>
      </c>
      <c r="F271" s="99">
        <f t="shared" si="4"/>
        <v>29.681874663441835</v>
      </c>
      <c r="G271" s="92"/>
    </row>
    <row r="272" spans="1:7">
      <c r="A272">
        <v>1</v>
      </c>
      <c r="B272">
        <v>8.2970000000000006</v>
      </c>
      <c r="C272">
        <v>13</v>
      </c>
      <c r="D272">
        <v>7.44</v>
      </c>
      <c r="E272">
        <v>50</v>
      </c>
      <c r="F272" s="99">
        <f t="shared" si="4"/>
        <v>39.677931540269824</v>
      </c>
      <c r="G272" s="92"/>
    </row>
    <row r="273" spans="1:7">
      <c r="A273">
        <v>1</v>
      </c>
      <c r="B273">
        <v>7.47</v>
      </c>
      <c r="C273">
        <v>13</v>
      </c>
      <c r="D273">
        <v>3.16</v>
      </c>
      <c r="E273">
        <v>43.5</v>
      </c>
      <c r="F273" s="99">
        <f t="shared" si="4"/>
        <v>38.391006763797662</v>
      </c>
      <c r="G273" s="92"/>
    </row>
    <row r="274" spans="1:7">
      <c r="A274">
        <v>1</v>
      </c>
      <c r="B274">
        <v>5.92</v>
      </c>
      <c r="C274">
        <v>18.600000000000001</v>
      </c>
      <c r="D274">
        <v>13.65</v>
      </c>
      <c r="E274">
        <v>20.7</v>
      </c>
      <c r="F274" s="99">
        <f t="shared" si="4"/>
        <v>20.181816325526423</v>
      </c>
      <c r="G274" s="92"/>
    </row>
    <row r="275" spans="1:7">
      <c r="A275">
        <v>1</v>
      </c>
      <c r="B275">
        <v>5.8559999999999999</v>
      </c>
      <c r="C275">
        <v>18.600000000000001</v>
      </c>
      <c r="D275">
        <v>13</v>
      </c>
      <c r="E275">
        <v>21.1</v>
      </c>
      <c r="F275" s="99">
        <f t="shared" si="4"/>
        <v>20.264503082236988</v>
      </c>
      <c r="G275" s="92"/>
    </row>
    <row r="276" spans="1:7">
      <c r="A276">
        <v>1</v>
      </c>
      <c r="B276">
        <v>6.24</v>
      </c>
      <c r="C276">
        <v>18.600000000000001</v>
      </c>
      <c r="D276">
        <v>6.59</v>
      </c>
      <c r="E276">
        <v>25.2</v>
      </c>
      <c r="F276" s="99">
        <f t="shared" si="4"/>
        <v>25.663699183940277</v>
      </c>
      <c r="G276" s="92"/>
    </row>
    <row r="277" spans="1:7">
      <c r="A277">
        <v>1</v>
      </c>
      <c r="B277">
        <v>6.5380000000000003</v>
      </c>
      <c r="C277">
        <v>18.600000000000001</v>
      </c>
      <c r="D277">
        <v>7.73</v>
      </c>
      <c r="E277">
        <v>24.4</v>
      </c>
      <c r="F277" s="99">
        <f t="shared" si="4"/>
        <v>26.35743614103388</v>
      </c>
      <c r="G277" s="92"/>
    </row>
    <row r="278" spans="1:7">
      <c r="A278">
        <v>1</v>
      </c>
      <c r="B278">
        <v>7.6909999999999998</v>
      </c>
      <c r="C278">
        <v>18.600000000000001</v>
      </c>
      <c r="D278">
        <v>6.58</v>
      </c>
      <c r="E278">
        <v>35.200000000000003</v>
      </c>
      <c r="F278" s="99">
        <f t="shared" si="4"/>
        <v>32.221293030350651</v>
      </c>
      <c r="G278" s="92"/>
    </row>
    <row r="279" spans="1:7">
      <c r="A279">
        <v>1</v>
      </c>
      <c r="B279">
        <v>6.758</v>
      </c>
      <c r="C279">
        <v>17.600000000000001</v>
      </c>
      <c r="D279">
        <v>3.53</v>
      </c>
      <c r="E279">
        <v>32.4</v>
      </c>
      <c r="F279" s="99">
        <f t="shared" si="4"/>
        <v>30.683135193017094</v>
      </c>
      <c r="G279" s="92"/>
    </row>
    <row r="280" spans="1:7">
      <c r="A280">
        <v>1</v>
      </c>
      <c r="B280">
        <v>6.8540000000000001</v>
      </c>
      <c r="C280">
        <v>17.600000000000001</v>
      </c>
      <c r="D280">
        <v>2.98</v>
      </c>
      <c r="E280">
        <v>32</v>
      </c>
      <c r="F280" s="99">
        <f t="shared" si="4"/>
        <v>31.431108731956986</v>
      </c>
      <c r="G280" s="92"/>
    </row>
    <row r="281" spans="1:7">
      <c r="A281">
        <v>1</v>
      </c>
      <c r="B281">
        <v>7.2670000000000003</v>
      </c>
      <c r="C281">
        <v>17.600000000000001</v>
      </c>
      <c r="D281">
        <v>6.05</v>
      </c>
      <c r="E281">
        <v>33.200000000000003</v>
      </c>
      <c r="F281" s="99">
        <f t="shared" si="4"/>
        <v>31.540534119999606</v>
      </c>
      <c r="G281" s="92"/>
    </row>
    <row r="282" spans="1:7">
      <c r="A282">
        <v>1</v>
      </c>
      <c r="B282">
        <v>6.8259999999999996</v>
      </c>
      <c r="C282">
        <v>17.600000000000001</v>
      </c>
      <c r="D282">
        <v>4.16</v>
      </c>
      <c r="E282">
        <v>33.1</v>
      </c>
      <c r="F282" s="99">
        <f t="shared" si="4"/>
        <v>30.629946233839387</v>
      </c>
      <c r="G282" s="92"/>
    </row>
    <row r="283" spans="1:7">
      <c r="A283">
        <v>1</v>
      </c>
      <c r="B283">
        <v>6.4820000000000002</v>
      </c>
      <c r="C283">
        <v>17.600000000000001</v>
      </c>
      <c r="D283">
        <v>7.19</v>
      </c>
      <c r="E283">
        <v>29.1</v>
      </c>
      <c r="F283" s="99">
        <f t="shared" si="4"/>
        <v>27.3440701948997</v>
      </c>
      <c r="G283" s="92"/>
    </row>
    <row r="284" spans="1:7">
      <c r="A284">
        <v>1</v>
      </c>
      <c r="B284">
        <v>6.8120000000000003</v>
      </c>
      <c r="C284">
        <v>14.9</v>
      </c>
      <c r="D284">
        <v>4.8499999999999996</v>
      </c>
      <c r="E284">
        <v>35.1</v>
      </c>
      <c r="F284" s="99">
        <f t="shared" si="4"/>
        <v>32.685135315223448</v>
      </c>
      <c r="G284" s="92"/>
    </row>
    <row r="285" spans="1:7">
      <c r="A285">
        <v>1</v>
      </c>
      <c r="B285">
        <v>7.82</v>
      </c>
      <c r="C285">
        <v>14.9</v>
      </c>
      <c r="D285">
        <v>3.76</v>
      </c>
      <c r="E285">
        <v>45.4</v>
      </c>
      <c r="F285" s="99">
        <f t="shared" si="4"/>
        <v>37.859947826409083</v>
      </c>
      <c r="G285" s="92"/>
    </row>
    <row r="286" spans="1:7">
      <c r="A286">
        <v>1</v>
      </c>
      <c r="B286">
        <v>6.968</v>
      </c>
      <c r="C286">
        <v>14.9</v>
      </c>
      <c r="D286">
        <v>4.59</v>
      </c>
      <c r="E286">
        <v>35.4</v>
      </c>
      <c r="F286" s="99">
        <f t="shared" si="4"/>
        <v>33.5382104613115</v>
      </c>
      <c r="G286" s="92"/>
    </row>
    <row r="287" spans="1:7">
      <c r="A287">
        <v>1</v>
      </c>
      <c r="B287">
        <v>7.6449999999999996</v>
      </c>
      <c r="C287">
        <v>14.9</v>
      </c>
      <c r="D287">
        <v>3.01</v>
      </c>
      <c r="E287">
        <v>46</v>
      </c>
      <c r="F287" s="99">
        <f t="shared" si="4"/>
        <v>37.498603427139159</v>
      </c>
      <c r="G287" s="92"/>
    </row>
    <row r="288" spans="1:7">
      <c r="A288">
        <v>1</v>
      </c>
      <c r="B288">
        <v>7.923</v>
      </c>
      <c r="C288">
        <v>13.6</v>
      </c>
      <c r="D288">
        <v>3.16</v>
      </c>
      <c r="E288">
        <v>50</v>
      </c>
      <c r="F288" s="99">
        <f t="shared" si="4"/>
        <v>39.878058918201113</v>
      </c>
      <c r="G288" s="92"/>
    </row>
    <row r="289" spans="1:7">
      <c r="A289">
        <v>1</v>
      </c>
      <c r="B289">
        <v>7.0880000000000001</v>
      </c>
      <c r="C289">
        <v>15.3</v>
      </c>
      <c r="D289">
        <v>7.85</v>
      </c>
      <c r="E289">
        <v>32.200000000000003</v>
      </c>
      <c r="F289" s="99">
        <f t="shared" si="4"/>
        <v>31.843685410001033</v>
      </c>
      <c r="G289" s="92"/>
    </row>
    <row r="290" spans="1:7">
      <c r="A290">
        <v>1</v>
      </c>
      <c r="B290">
        <v>6.4530000000000003</v>
      </c>
      <c r="C290">
        <v>15.3</v>
      </c>
      <c r="D290">
        <v>8.23</v>
      </c>
      <c r="E290">
        <v>22</v>
      </c>
      <c r="F290" s="99">
        <f t="shared" si="4"/>
        <v>28.759106949262367</v>
      </c>
      <c r="G290" s="92"/>
    </row>
    <row r="291" spans="1:7">
      <c r="A291">
        <v>1</v>
      </c>
      <c r="B291">
        <v>6.23</v>
      </c>
      <c r="C291">
        <v>18.2</v>
      </c>
      <c r="D291">
        <v>12.93</v>
      </c>
      <c r="E291">
        <v>20.100000000000001</v>
      </c>
      <c r="F291" s="99">
        <f t="shared" si="4"/>
        <v>22.365585935497506</v>
      </c>
      <c r="G291" s="92"/>
    </row>
    <row r="292" spans="1:7">
      <c r="A292">
        <v>1</v>
      </c>
      <c r="B292">
        <v>6.2089999999999996</v>
      </c>
      <c r="C292">
        <v>16.600000000000001</v>
      </c>
      <c r="D292">
        <v>7.14</v>
      </c>
      <c r="E292">
        <v>23.2</v>
      </c>
      <c r="F292" s="99">
        <f t="shared" si="4"/>
        <v>27.07067311689169</v>
      </c>
      <c r="G292" s="92"/>
    </row>
    <row r="293" spans="1:7">
      <c r="A293">
        <v>1</v>
      </c>
      <c r="B293">
        <v>6.3150000000000004</v>
      </c>
      <c r="C293">
        <v>16.600000000000001</v>
      </c>
      <c r="D293">
        <v>7.6</v>
      </c>
      <c r="E293">
        <v>22.3</v>
      </c>
      <c r="F293" s="99">
        <f t="shared" si="4"/>
        <v>27.286277120518783</v>
      </c>
      <c r="G293" s="92"/>
    </row>
    <row r="294" spans="1:7">
      <c r="A294">
        <v>1</v>
      </c>
      <c r="B294">
        <v>6.5650000000000004</v>
      </c>
      <c r="C294">
        <v>16.600000000000001</v>
      </c>
      <c r="D294">
        <v>9.51</v>
      </c>
      <c r="E294">
        <v>24.8</v>
      </c>
      <c r="F294" s="99">
        <f t="shared" si="4"/>
        <v>27.322983492645495</v>
      </c>
      <c r="G294" s="92"/>
    </row>
    <row r="295" spans="1:7">
      <c r="A295">
        <v>1</v>
      </c>
      <c r="B295">
        <v>6.8609999999999998</v>
      </c>
      <c r="C295">
        <v>19.2</v>
      </c>
      <c r="D295">
        <v>3.33</v>
      </c>
      <c r="E295">
        <v>28.5</v>
      </c>
      <c r="F295" s="99">
        <f t="shared" si="4"/>
        <v>29.77342859937589</v>
      </c>
      <c r="G295" s="92"/>
    </row>
    <row r="296" spans="1:7">
      <c r="A296">
        <v>1</v>
      </c>
      <c r="B296">
        <v>7.1479999999999997</v>
      </c>
      <c r="C296">
        <v>19.2</v>
      </c>
      <c r="D296">
        <v>3.56</v>
      </c>
      <c r="E296">
        <v>37.299999999999997</v>
      </c>
      <c r="F296" s="99">
        <f t="shared" si="4"/>
        <v>30.937839102051189</v>
      </c>
      <c r="G296" s="92"/>
    </row>
    <row r="297" spans="1:7">
      <c r="A297">
        <v>1</v>
      </c>
      <c r="B297">
        <v>6.63</v>
      </c>
      <c r="C297">
        <v>19.2</v>
      </c>
      <c r="D297">
        <v>4.7</v>
      </c>
      <c r="E297">
        <v>27.9</v>
      </c>
      <c r="F297" s="99">
        <f t="shared" si="4"/>
        <v>27.946992568960209</v>
      </c>
      <c r="G297" s="92"/>
    </row>
    <row r="298" spans="1:7">
      <c r="A298">
        <v>1</v>
      </c>
      <c r="B298">
        <v>6.1269999999999998</v>
      </c>
      <c r="C298">
        <v>16</v>
      </c>
      <c r="D298">
        <v>8.58</v>
      </c>
      <c r="E298">
        <v>23.9</v>
      </c>
      <c r="F298" s="99">
        <f t="shared" si="4"/>
        <v>26.435441942121372</v>
      </c>
      <c r="G298" s="92"/>
    </row>
    <row r="299" spans="1:7">
      <c r="A299">
        <v>1</v>
      </c>
      <c r="B299">
        <v>6.0090000000000003</v>
      </c>
      <c r="C299">
        <v>16</v>
      </c>
      <c r="D299">
        <v>10.4</v>
      </c>
      <c r="E299">
        <v>21.7</v>
      </c>
      <c r="F299" s="99">
        <f t="shared" si="4"/>
        <v>24.861935918818482</v>
      </c>
      <c r="G299" s="92"/>
    </row>
    <row r="300" spans="1:7">
      <c r="A300">
        <v>1</v>
      </c>
      <c r="B300">
        <v>6.6779999999999999</v>
      </c>
      <c r="C300">
        <v>16</v>
      </c>
      <c r="D300">
        <v>6.27</v>
      </c>
      <c r="E300">
        <v>28.6</v>
      </c>
      <c r="F300" s="99">
        <f t="shared" si="4"/>
        <v>30.244310021170488</v>
      </c>
      <c r="G300" s="92"/>
    </row>
    <row r="301" spans="1:7">
      <c r="A301">
        <v>1</v>
      </c>
      <c r="B301">
        <v>6.5490000000000004</v>
      </c>
      <c r="C301">
        <v>16</v>
      </c>
      <c r="D301">
        <v>7.39</v>
      </c>
      <c r="E301">
        <v>27.1</v>
      </c>
      <c r="F301" s="99">
        <f t="shared" si="4"/>
        <v>29.021398348996033</v>
      </c>
      <c r="G301" s="92"/>
    </row>
    <row r="302" spans="1:7">
      <c r="A302">
        <v>1</v>
      </c>
      <c r="B302">
        <v>5.79</v>
      </c>
      <c r="C302">
        <v>16</v>
      </c>
      <c r="D302">
        <v>15.84</v>
      </c>
      <c r="E302">
        <v>20.3</v>
      </c>
      <c r="F302" s="99">
        <f t="shared" si="4"/>
        <v>20.762435790087473</v>
      </c>
      <c r="G302" s="92"/>
    </row>
    <row r="303" spans="1:7">
      <c r="A303">
        <v>1</v>
      </c>
      <c r="B303">
        <v>6.3449999999999998</v>
      </c>
      <c r="C303">
        <v>14.8</v>
      </c>
      <c r="D303">
        <v>4.97</v>
      </c>
      <c r="E303">
        <v>22.5</v>
      </c>
      <c r="F303" s="99">
        <f t="shared" si="4"/>
        <v>30.600889307426112</v>
      </c>
      <c r="G303" s="92"/>
    </row>
    <row r="304" spans="1:7">
      <c r="A304">
        <v>1</v>
      </c>
      <c r="B304">
        <v>7.0410000000000004</v>
      </c>
      <c r="C304">
        <v>14.8</v>
      </c>
      <c r="D304">
        <v>4.74</v>
      </c>
      <c r="E304">
        <v>29</v>
      </c>
      <c r="F304" s="99">
        <f t="shared" si="4"/>
        <v>33.875137592558964</v>
      </c>
      <c r="G304" s="92"/>
    </row>
    <row r="305" spans="1:7">
      <c r="A305">
        <v>1</v>
      </c>
      <c r="B305">
        <v>6.8710000000000004</v>
      </c>
      <c r="C305">
        <v>14.8</v>
      </c>
      <c r="D305">
        <v>6.07</v>
      </c>
      <c r="E305">
        <v>24.8</v>
      </c>
      <c r="F305" s="99">
        <f t="shared" si="4"/>
        <v>32.347014467233251</v>
      </c>
      <c r="G305" s="92"/>
    </row>
    <row r="306" spans="1:7">
      <c r="A306">
        <v>1</v>
      </c>
      <c r="B306">
        <v>6.59</v>
      </c>
      <c r="C306">
        <v>16.100000000000001</v>
      </c>
      <c r="D306">
        <v>9.5</v>
      </c>
      <c r="E306">
        <v>22</v>
      </c>
      <c r="F306" s="99">
        <f t="shared" si="4"/>
        <v>27.906948350755759</v>
      </c>
      <c r="G306" s="92"/>
    </row>
    <row r="307" spans="1:7">
      <c r="A307">
        <v>1</v>
      </c>
      <c r="B307">
        <v>6.4950000000000001</v>
      </c>
      <c r="C307">
        <v>16.100000000000001</v>
      </c>
      <c r="D307">
        <v>8.67</v>
      </c>
      <c r="E307">
        <v>26.4</v>
      </c>
      <c r="F307" s="99">
        <f t="shared" si="4"/>
        <v>27.952582082023941</v>
      </c>
      <c r="G307" s="92"/>
    </row>
    <row r="308" spans="1:7">
      <c r="A308">
        <v>1</v>
      </c>
      <c r="B308">
        <v>6.9820000000000002</v>
      </c>
      <c r="C308">
        <v>16.100000000000001</v>
      </c>
      <c r="D308">
        <v>4.8600000000000003</v>
      </c>
      <c r="E308">
        <v>33.1</v>
      </c>
      <c r="F308" s="99">
        <f t="shared" si="4"/>
        <v>32.330171752475351</v>
      </c>
      <c r="G308" s="92"/>
    </row>
    <row r="309" spans="1:7">
      <c r="A309">
        <v>1</v>
      </c>
      <c r="B309">
        <v>7.2359999999999998</v>
      </c>
      <c r="C309">
        <v>18.399999999999999</v>
      </c>
      <c r="D309">
        <v>6.93</v>
      </c>
      <c r="E309">
        <v>36.1</v>
      </c>
      <c r="F309" s="99">
        <f t="shared" si="4"/>
        <v>30.152789021195915</v>
      </c>
      <c r="G309" s="92"/>
    </row>
    <row r="310" spans="1:7">
      <c r="A310">
        <v>1</v>
      </c>
      <c r="B310">
        <v>6.6159999999999997</v>
      </c>
      <c r="C310">
        <v>18.399999999999999</v>
      </c>
      <c r="D310">
        <v>8.93</v>
      </c>
      <c r="E310">
        <v>28.4</v>
      </c>
      <c r="F310" s="99">
        <f t="shared" si="4"/>
        <v>26.209616660261403</v>
      </c>
      <c r="G310" s="92"/>
    </row>
    <row r="311" spans="1:7">
      <c r="A311">
        <v>1</v>
      </c>
      <c r="B311">
        <v>7.42</v>
      </c>
      <c r="C311">
        <v>18.399999999999999</v>
      </c>
      <c r="D311">
        <v>6.47</v>
      </c>
      <c r="E311">
        <v>33.4</v>
      </c>
      <c r="F311" s="99">
        <f t="shared" si="4"/>
        <v>31.246657091286387</v>
      </c>
      <c r="G311" s="92"/>
    </row>
    <row r="312" spans="1:7">
      <c r="A312">
        <v>1</v>
      </c>
      <c r="B312">
        <v>6.8490000000000002</v>
      </c>
      <c r="C312">
        <v>18.399999999999999</v>
      </c>
      <c r="D312">
        <v>7.53</v>
      </c>
      <c r="E312">
        <v>28.2</v>
      </c>
      <c r="F312" s="99">
        <f t="shared" si="4"/>
        <v>28.062237703200978</v>
      </c>
      <c r="G312" s="92"/>
    </row>
    <row r="313" spans="1:7">
      <c r="A313">
        <v>1</v>
      </c>
      <c r="B313">
        <v>6.6349999999999998</v>
      </c>
      <c r="C313">
        <v>18.399999999999999</v>
      </c>
      <c r="D313">
        <v>4.54</v>
      </c>
      <c r="E313">
        <v>22.8</v>
      </c>
      <c r="F313" s="99">
        <f t="shared" si="4"/>
        <v>28.805636627955423</v>
      </c>
      <c r="G313" s="92"/>
    </row>
    <row r="314" spans="1:7">
      <c r="A314">
        <v>1</v>
      </c>
      <c r="B314">
        <v>5.9720000000000004</v>
      </c>
      <c r="C314">
        <v>18.399999999999999</v>
      </c>
      <c r="D314">
        <v>9.9700000000000006</v>
      </c>
      <c r="E314">
        <v>20.3</v>
      </c>
      <c r="F314" s="99">
        <f t="shared" si="4"/>
        <v>22.707007657032133</v>
      </c>
      <c r="G314" s="92"/>
    </row>
    <row r="315" spans="1:7">
      <c r="A315">
        <v>1</v>
      </c>
      <c r="B315">
        <v>4.9729999999999999</v>
      </c>
      <c r="C315">
        <v>18.399999999999999</v>
      </c>
      <c r="D315">
        <v>12.64</v>
      </c>
      <c r="E315">
        <v>16.100000000000001</v>
      </c>
      <c r="F315" s="99">
        <f t="shared" si="4"/>
        <v>16.669380947502432</v>
      </c>
      <c r="G315" s="92"/>
    </row>
    <row r="316" spans="1:7">
      <c r="A316">
        <v>1</v>
      </c>
      <c r="B316">
        <v>6.1219999999999999</v>
      </c>
      <c r="C316">
        <v>18.399999999999999</v>
      </c>
      <c r="D316">
        <v>5.98</v>
      </c>
      <c r="E316">
        <v>22.1</v>
      </c>
      <c r="F316" s="99">
        <f t="shared" si="4"/>
        <v>25.665825493221927</v>
      </c>
      <c r="G316" s="92"/>
    </row>
    <row r="317" spans="1:7">
      <c r="A317">
        <v>1</v>
      </c>
      <c r="B317">
        <v>6.0229999999999997</v>
      </c>
      <c r="C317">
        <v>18.399999999999999</v>
      </c>
      <c r="D317">
        <v>11.72</v>
      </c>
      <c r="E317">
        <v>19.399999999999999</v>
      </c>
      <c r="F317" s="99">
        <f t="shared" si="4"/>
        <v>21.936634171391582</v>
      </c>
      <c r="G317" s="92"/>
    </row>
    <row r="318" spans="1:7">
      <c r="A318">
        <v>1</v>
      </c>
      <c r="B318">
        <v>6.266</v>
      </c>
      <c r="C318">
        <v>18.399999999999999</v>
      </c>
      <c r="D318">
        <v>7.9</v>
      </c>
      <c r="E318">
        <v>21.6</v>
      </c>
      <c r="F318" s="99">
        <f t="shared" si="4"/>
        <v>25.218179188421423</v>
      </c>
      <c r="G318" s="92"/>
    </row>
    <row r="319" spans="1:7">
      <c r="A319">
        <v>1</v>
      </c>
      <c r="B319">
        <v>6.5670000000000002</v>
      </c>
      <c r="C319">
        <v>18.399999999999999</v>
      </c>
      <c r="D319">
        <v>9.2799999999999994</v>
      </c>
      <c r="E319">
        <v>23.8</v>
      </c>
      <c r="F319" s="99">
        <f t="shared" si="4"/>
        <v>25.788229043257168</v>
      </c>
      <c r="G319" s="92"/>
    </row>
    <row r="320" spans="1:7">
      <c r="A320">
        <v>1</v>
      </c>
      <c r="B320">
        <v>5.7050000000000001</v>
      </c>
      <c r="C320">
        <v>18.399999999999999</v>
      </c>
      <c r="D320">
        <v>11.5</v>
      </c>
      <c r="E320">
        <v>16.2</v>
      </c>
      <c r="F320" s="99">
        <f t="shared" si="4"/>
        <v>20.626527562578094</v>
      </c>
      <c r="G320" s="92"/>
    </row>
    <row r="321" spans="1:7">
      <c r="A321">
        <v>1</v>
      </c>
      <c r="B321">
        <v>5.9139999999999997</v>
      </c>
      <c r="C321">
        <v>18.399999999999999</v>
      </c>
      <c r="D321">
        <v>18.329999999999998</v>
      </c>
      <c r="E321">
        <v>17.8</v>
      </c>
      <c r="F321" s="99">
        <f t="shared" si="4"/>
        <v>17.664817691673527</v>
      </c>
      <c r="G321" s="92"/>
    </row>
    <row r="322" spans="1:7">
      <c r="A322">
        <v>1</v>
      </c>
      <c r="B322">
        <v>5.782</v>
      </c>
      <c r="C322">
        <v>18.399999999999999</v>
      </c>
      <c r="D322">
        <v>15.94</v>
      </c>
      <c r="E322">
        <v>19.8</v>
      </c>
      <c r="F322" s="99">
        <f t="shared" si="4"/>
        <v>18.435397721100401</v>
      </c>
      <c r="G322" s="92"/>
    </row>
    <row r="323" spans="1:7">
      <c r="A323">
        <v>1</v>
      </c>
      <c r="B323">
        <v>6.3819999999999997</v>
      </c>
      <c r="C323">
        <v>18.399999999999999</v>
      </c>
      <c r="D323">
        <v>10.36</v>
      </c>
      <c r="E323">
        <v>23.1</v>
      </c>
      <c r="F323" s="99">
        <f t="shared" si="4"/>
        <v>24.335326025741807</v>
      </c>
      <c r="G323" s="92"/>
    </row>
    <row r="324" spans="1:7">
      <c r="A324">
        <v>1</v>
      </c>
      <c r="B324">
        <v>6.1130000000000004</v>
      </c>
      <c r="C324">
        <v>18.399999999999999</v>
      </c>
      <c r="D324">
        <v>12.73</v>
      </c>
      <c r="E324">
        <v>21</v>
      </c>
      <c r="F324" s="99">
        <f t="shared" si="4"/>
        <v>21.76549831158707</v>
      </c>
      <c r="G324" s="92"/>
    </row>
    <row r="325" spans="1:7">
      <c r="A325">
        <v>1</v>
      </c>
      <c r="B325">
        <v>6.4260000000000002</v>
      </c>
      <c r="C325">
        <v>19.600000000000001</v>
      </c>
      <c r="D325">
        <v>7.2</v>
      </c>
      <c r="E325">
        <v>23.8</v>
      </c>
      <c r="F325" s="99">
        <f t="shared" ref="F325:F388" si="5">SUMPRODUCT($A$2:$D$2,A325:D325)</f>
        <v>25.224043454624354</v>
      </c>
      <c r="G325" s="92"/>
    </row>
    <row r="326" spans="1:7">
      <c r="A326">
        <v>1</v>
      </c>
      <c r="B326">
        <v>6.3760000000000003</v>
      </c>
      <c r="C326">
        <v>19.600000000000001</v>
      </c>
      <c r="D326">
        <v>6.87</v>
      </c>
      <c r="E326">
        <v>23.1</v>
      </c>
      <c r="F326" s="99">
        <f t="shared" si="5"/>
        <v>25.186968284429632</v>
      </c>
      <c r="G326" s="92"/>
    </row>
    <row r="327" spans="1:7">
      <c r="A327">
        <v>1</v>
      </c>
      <c r="B327">
        <v>6.0410000000000004</v>
      </c>
      <c r="C327">
        <v>19.600000000000001</v>
      </c>
      <c r="D327">
        <v>7.7</v>
      </c>
      <c r="E327">
        <v>20.399999999999999</v>
      </c>
      <c r="F327" s="99">
        <f t="shared" si="5"/>
        <v>23.199703547304388</v>
      </c>
      <c r="G327" s="92"/>
    </row>
    <row r="328" spans="1:7">
      <c r="A328">
        <v>1</v>
      </c>
      <c r="B328">
        <v>5.7080000000000002</v>
      </c>
      <c r="C328">
        <v>19.600000000000001</v>
      </c>
      <c r="D328">
        <v>11.74</v>
      </c>
      <c r="E328">
        <v>18.5</v>
      </c>
      <c r="F328" s="99">
        <f t="shared" si="5"/>
        <v>19.385973393995737</v>
      </c>
      <c r="G328" s="92"/>
    </row>
    <row r="329" spans="1:7">
      <c r="A329">
        <v>1</v>
      </c>
      <c r="B329">
        <v>6.415</v>
      </c>
      <c r="C329">
        <v>19.600000000000001</v>
      </c>
      <c r="D329">
        <v>6.12</v>
      </c>
      <c r="E329">
        <v>25</v>
      </c>
      <c r="F329" s="99">
        <f t="shared" si="5"/>
        <v>25.791923967144385</v>
      </c>
      <c r="G329" s="92"/>
    </row>
    <row r="330" spans="1:7">
      <c r="A330">
        <v>1</v>
      </c>
      <c r="B330">
        <v>6.431</v>
      </c>
      <c r="C330">
        <v>19.600000000000001</v>
      </c>
      <c r="D330">
        <v>5.08</v>
      </c>
      <c r="E330">
        <v>24.6</v>
      </c>
      <c r="F330" s="99">
        <f t="shared" si="5"/>
        <v>26.458848617633567</v>
      </c>
      <c r="G330" s="92"/>
    </row>
    <row r="331" spans="1:7">
      <c r="A331">
        <v>1</v>
      </c>
      <c r="B331">
        <v>6.3120000000000003</v>
      </c>
      <c r="C331">
        <v>19.600000000000001</v>
      </c>
      <c r="D331">
        <v>6.15</v>
      </c>
      <c r="E331">
        <v>23</v>
      </c>
      <c r="F331" s="99">
        <f t="shared" si="5"/>
        <v>25.309681439291278</v>
      </c>
      <c r="G331" s="92"/>
    </row>
    <row r="332" spans="1:7">
      <c r="A332">
        <v>1</v>
      </c>
      <c r="B332">
        <v>6.0830000000000002</v>
      </c>
      <c r="C332">
        <v>19.600000000000001</v>
      </c>
      <c r="D332">
        <v>12.79</v>
      </c>
      <c r="E332">
        <v>22.2</v>
      </c>
      <c r="F332" s="99">
        <f t="shared" si="5"/>
        <v>20.478860275674609</v>
      </c>
      <c r="G332" s="92"/>
    </row>
    <row r="333" spans="1:7">
      <c r="A333">
        <v>1</v>
      </c>
      <c r="B333">
        <v>5.8680000000000003</v>
      </c>
      <c r="C333">
        <v>16.899999999999999</v>
      </c>
      <c r="D333">
        <v>9.9700000000000006</v>
      </c>
      <c r="E333">
        <v>19.3</v>
      </c>
      <c r="F333" s="99">
        <f t="shared" si="5"/>
        <v>23.633487711776969</v>
      </c>
      <c r="G333" s="92"/>
    </row>
    <row r="334" spans="1:7">
      <c r="A334">
        <v>1</v>
      </c>
      <c r="B334">
        <v>6.3330000000000002</v>
      </c>
      <c r="C334">
        <v>16.899999999999999</v>
      </c>
      <c r="D334">
        <v>7.34</v>
      </c>
      <c r="E334">
        <v>22.6</v>
      </c>
      <c r="F334" s="99">
        <f t="shared" si="5"/>
        <v>27.237007409773909</v>
      </c>
      <c r="G334" s="92"/>
    </row>
    <row r="335" spans="1:7">
      <c r="A335">
        <v>1</v>
      </c>
      <c r="B335">
        <v>6.1440000000000001</v>
      </c>
      <c r="C335">
        <v>16.899999999999999</v>
      </c>
      <c r="D335">
        <v>9.09</v>
      </c>
      <c r="E335">
        <v>19.8</v>
      </c>
      <c r="F335" s="99">
        <f t="shared" si="5"/>
        <v>25.38293289760848</v>
      </c>
      <c r="G335" s="92"/>
    </row>
    <row r="336" spans="1:7">
      <c r="A336">
        <v>1</v>
      </c>
      <c r="B336">
        <v>5.7060000000000004</v>
      </c>
      <c r="C336">
        <v>16.899999999999999</v>
      </c>
      <c r="D336">
        <v>12.43</v>
      </c>
      <c r="E336">
        <v>17.100000000000001</v>
      </c>
      <c r="F336" s="99">
        <f t="shared" si="5"/>
        <v>21.495347526706038</v>
      </c>
      <c r="G336" s="92"/>
    </row>
    <row r="337" spans="1:7">
      <c r="A337">
        <v>1</v>
      </c>
      <c r="B337">
        <v>6.0309999999999997</v>
      </c>
      <c r="C337">
        <v>16.899999999999999</v>
      </c>
      <c r="D337">
        <v>7.83</v>
      </c>
      <c r="E337">
        <v>19.399999999999999</v>
      </c>
      <c r="F337" s="99">
        <f t="shared" si="5"/>
        <v>25.593165497672516</v>
      </c>
      <c r="G337" s="92"/>
    </row>
    <row r="338" spans="1:7">
      <c r="A338">
        <v>1</v>
      </c>
      <c r="B338">
        <v>6.3159999999999998</v>
      </c>
      <c r="C338">
        <v>20.2</v>
      </c>
      <c r="D338">
        <v>5.68</v>
      </c>
      <c r="E338">
        <v>22.2</v>
      </c>
      <c r="F338" s="99">
        <f t="shared" si="5"/>
        <v>25.038058263204579</v>
      </c>
      <c r="G338" s="92"/>
    </row>
    <row r="339" spans="1:7">
      <c r="A339">
        <v>1</v>
      </c>
      <c r="B339">
        <v>6.31</v>
      </c>
      <c r="C339">
        <v>20.2</v>
      </c>
      <c r="D339">
        <v>6.75</v>
      </c>
      <c r="E339">
        <v>20.7</v>
      </c>
      <c r="F339" s="99">
        <f t="shared" si="5"/>
        <v>24.399133651517758</v>
      </c>
      <c r="G339" s="92"/>
    </row>
    <row r="340" spans="1:7">
      <c r="A340">
        <v>1</v>
      </c>
      <c r="B340">
        <v>6.0369999999999999</v>
      </c>
      <c r="C340">
        <v>20.2</v>
      </c>
      <c r="D340">
        <v>8.01</v>
      </c>
      <c r="E340">
        <v>21.1</v>
      </c>
      <c r="F340" s="99">
        <f t="shared" si="5"/>
        <v>22.445948567126209</v>
      </c>
      <c r="G340" s="92"/>
    </row>
    <row r="341" spans="1:7">
      <c r="A341">
        <v>1</v>
      </c>
      <c r="B341">
        <v>5.8689999999999998</v>
      </c>
      <c r="C341">
        <v>20.2</v>
      </c>
      <c r="D341">
        <v>9.8000000000000007</v>
      </c>
      <c r="E341">
        <v>19.5</v>
      </c>
      <c r="F341" s="99">
        <f t="shared" si="5"/>
        <v>20.66382566726681</v>
      </c>
      <c r="G341" s="92"/>
    </row>
    <row r="342" spans="1:7">
      <c r="A342">
        <v>1</v>
      </c>
      <c r="B342">
        <v>5.8949999999999996</v>
      </c>
      <c r="C342">
        <v>20.2</v>
      </c>
      <c r="D342">
        <v>10.56</v>
      </c>
      <c r="E342">
        <v>18.5</v>
      </c>
      <c r="F342" s="99">
        <f t="shared" si="5"/>
        <v>20.346654289023814</v>
      </c>
      <c r="G342" s="92"/>
    </row>
    <row r="343" spans="1:7">
      <c r="A343">
        <v>1</v>
      </c>
      <c r="B343">
        <v>6.0590000000000002</v>
      </c>
      <c r="C343">
        <v>20.2</v>
      </c>
      <c r="D343">
        <v>8.51</v>
      </c>
      <c r="E343">
        <v>20.6</v>
      </c>
      <c r="F343" s="99">
        <f t="shared" si="5"/>
        <v>22.259384983954686</v>
      </c>
      <c r="G343" s="92"/>
    </row>
    <row r="344" spans="1:7">
      <c r="A344">
        <v>1</v>
      </c>
      <c r="B344">
        <v>5.9850000000000003</v>
      </c>
      <c r="C344">
        <v>20.2</v>
      </c>
      <c r="D344">
        <v>9.74</v>
      </c>
      <c r="E344">
        <v>19</v>
      </c>
      <c r="F344" s="99">
        <f t="shared" si="5"/>
        <v>21.221922838026192</v>
      </c>
      <c r="G344" s="92"/>
    </row>
    <row r="345" spans="1:7">
      <c r="A345">
        <v>1</v>
      </c>
      <c r="B345">
        <v>5.968</v>
      </c>
      <c r="C345">
        <v>20.2</v>
      </c>
      <c r="D345">
        <v>9.2899999999999991</v>
      </c>
      <c r="E345">
        <v>18.7</v>
      </c>
      <c r="F345" s="99">
        <f t="shared" si="5"/>
        <v>21.40247324152336</v>
      </c>
      <c r="G345" s="92"/>
    </row>
    <row r="346" spans="1:7">
      <c r="A346">
        <v>1</v>
      </c>
      <c r="B346">
        <v>7.2409999999999997</v>
      </c>
      <c r="C346">
        <v>15.5</v>
      </c>
      <c r="D346">
        <v>5.49</v>
      </c>
      <c r="E346">
        <v>32.700000000000003</v>
      </c>
      <c r="F346" s="99">
        <f t="shared" si="5"/>
        <v>33.697861726735937</v>
      </c>
      <c r="G346" s="92"/>
    </row>
    <row r="347" spans="1:7">
      <c r="A347">
        <v>1</v>
      </c>
      <c r="B347">
        <v>6.54</v>
      </c>
      <c r="C347">
        <v>15.9</v>
      </c>
      <c r="D347">
        <v>8.65</v>
      </c>
      <c r="E347">
        <v>16.5</v>
      </c>
      <c r="F347" s="99">
        <f t="shared" si="5"/>
        <v>28.353356649308886</v>
      </c>
      <c r="G347" s="92"/>
    </row>
    <row r="348" spans="1:7">
      <c r="A348">
        <v>1</v>
      </c>
      <c r="B348">
        <v>6.6959999999999997</v>
      </c>
      <c r="C348">
        <v>17.600000000000001</v>
      </c>
      <c r="D348">
        <v>7.18</v>
      </c>
      <c r="E348">
        <v>23.9</v>
      </c>
      <c r="F348" s="99">
        <f t="shared" si="5"/>
        <v>28.316088333763112</v>
      </c>
      <c r="G348" s="92"/>
    </row>
    <row r="349" spans="1:7">
      <c r="A349">
        <v>1</v>
      </c>
      <c r="B349">
        <v>6.8739999999999997</v>
      </c>
      <c r="C349">
        <v>17.600000000000001</v>
      </c>
      <c r="D349">
        <v>4.6100000000000003</v>
      </c>
      <c r="E349">
        <v>31.2</v>
      </c>
      <c r="F349" s="99">
        <f t="shared" si="5"/>
        <v>30.589373879601691</v>
      </c>
      <c r="G349" s="92"/>
    </row>
    <row r="350" spans="1:7">
      <c r="A350">
        <v>1</v>
      </c>
      <c r="B350">
        <v>6.0140000000000002</v>
      </c>
      <c r="C350">
        <v>18.8</v>
      </c>
      <c r="D350">
        <v>10.53</v>
      </c>
      <c r="E350">
        <v>17.5</v>
      </c>
      <c r="F350" s="99">
        <f t="shared" si="5"/>
        <v>22.204155129357151</v>
      </c>
      <c r="G350" s="92"/>
    </row>
    <row r="351" spans="1:7">
      <c r="A351">
        <v>1</v>
      </c>
      <c r="B351">
        <v>5.8979999999999997</v>
      </c>
      <c r="C351">
        <v>18.8</v>
      </c>
      <c r="D351">
        <v>12.67</v>
      </c>
      <c r="E351">
        <v>17.2</v>
      </c>
      <c r="F351" s="99">
        <f t="shared" si="5"/>
        <v>20.456702127822723</v>
      </c>
      <c r="G351" s="92"/>
    </row>
    <row r="352" spans="1:7">
      <c r="A352">
        <v>1</v>
      </c>
      <c r="B352">
        <v>6.516</v>
      </c>
      <c r="C352">
        <v>17.899999999999999</v>
      </c>
      <c r="D352">
        <v>6.36</v>
      </c>
      <c r="E352">
        <v>23.1</v>
      </c>
      <c r="F352" s="99">
        <f t="shared" si="5"/>
        <v>27.692976461343875</v>
      </c>
      <c r="G352" s="92"/>
    </row>
    <row r="353" spans="1:7">
      <c r="A353">
        <v>1</v>
      </c>
      <c r="B353">
        <v>6.6349999999999998</v>
      </c>
      <c r="C353">
        <v>17</v>
      </c>
      <c r="D353">
        <v>5.99</v>
      </c>
      <c r="E353">
        <v>24.5</v>
      </c>
      <c r="F353" s="99">
        <f t="shared" si="5"/>
        <v>29.279529957918704</v>
      </c>
      <c r="G353" s="92"/>
    </row>
    <row r="354" spans="1:7">
      <c r="A354">
        <v>1</v>
      </c>
      <c r="B354">
        <v>6.9390000000000001</v>
      </c>
      <c r="C354">
        <v>19.7</v>
      </c>
      <c r="D354">
        <v>5.89</v>
      </c>
      <c r="E354">
        <v>26.6</v>
      </c>
      <c r="F354" s="99">
        <f t="shared" si="5"/>
        <v>28.19644759440736</v>
      </c>
      <c r="G354" s="92"/>
    </row>
    <row r="355" spans="1:7">
      <c r="A355">
        <v>1</v>
      </c>
      <c r="B355">
        <v>6.49</v>
      </c>
      <c r="C355">
        <v>19.7</v>
      </c>
      <c r="D355">
        <v>5.98</v>
      </c>
      <c r="E355">
        <v>22.9</v>
      </c>
      <c r="F355" s="99">
        <f t="shared" si="5"/>
        <v>26.117561078708537</v>
      </c>
      <c r="G355" s="92"/>
    </row>
    <row r="356" spans="1:7">
      <c r="A356">
        <v>1</v>
      </c>
      <c r="B356">
        <v>6.5789999999999997</v>
      </c>
      <c r="C356">
        <v>18.3</v>
      </c>
      <c r="D356">
        <v>5.49</v>
      </c>
      <c r="E356">
        <v>24.1</v>
      </c>
      <c r="F356" s="99">
        <f t="shared" si="5"/>
        <v>28.102629907147676</v>
      </c>
      <c r="G356" s="92"/>
    </row>
    <row r="357" spans="1:7">
      <c r="A357">
        <v>1</v>
      </c>
      <c r="B357">
        <v>5.8840000000000003</v>
      </c>
      <c r="C357">
        <v>18.3</v>
      </c>
      <c r="D357">
        <v>7.79</v>
      </c>
      <c r="E357">
        <v>18.600000000000001</v>
      </c>
      <c r="F357" s="99">
        <f t="shared" si="5"/>
        <v>23.649259269062366</v>
      </c>
      <c r="G357" s="92"/>
    </row>
    <row r="358" spans="1:7">
      <c r="A358">
        <v>1</v>
      </c>
      <c r="B358">
        <v>6.7279999999999998</v>
      </c>
      <c r="C358">
        <v>17</v>
      </c>
      <c r="D358">
        <v>4.5</v>
      </c>
      <c r="E358">
        <v>30.1</v>
      </c>
      <c r="F358" s="99">
        <f t="shared" si="5"/>
        <v>30.551454580627297</v>
      </c>
      <c r="G358" s="92"/>
    </row>
    <row r="359" spans="1:7">
      <c r="A359">
        <v>1</v>
      </c>
      <c r="B359">
        <v>5.6630000000000003</v>
      </c>
      <c r="C359">
        <v>22</v>
      </c>
      <c r="D359">
        <v>8.0500000000000007</v>
      </c>
      <c r="E359">
        <v>18.2</v>
      </c>
      <c r="F359" s="99">
        <f t="shared" si="5"/>
        <v>19.0590083071233</v>
      </c>
      <c r="G359" s="92"/>
    </row>
    <row r="360" spans="1:7">
      <c r="A360">
        <v>1</v>
      </c>
      <c r="B360">
        <v>5.9359999999999999</v>
      </c>
      <c r="C360">
        <v>22</v>
      </c>
      <c r="D360">
        <v>5.57</v>
      </c>
      <c r="E360">
        <v>20.6</v>
      </c>
      <c r="F360" s="99">
        <f t="shared" si="5"/>
        <v>21.709796330719445</v>
      </c>
      <c r="G360" s="92"/>
    </row>
    <row r="361" spans="1:7">
      <c r="A361">
        <v>1</v>
      </c>
      <c r="B361">
        <v>6.2119999999999997</v>
      </c>
      <c r="C361">
        <v>20.2</v>
      </c>
      <c r="D361">
        <v>17.600000000000001</v>
      </c>
      <c r="E361">
        <v>17.8</v>
      </c>
      <c r="F361" s="99">
        <f t="shared" si="5"/>
        <v>17.752530685602188</v>
      </c>
      <c r="G361" s="92"/>
    </row>
    <row r="362" spans="1:7">
      <c r="A362">
        <v>1</v>
      </c>
      <c r="B362">
        <v>6.3949999999999996</v>
      </c>
      <c r="C362">
        <v>20.2</v>
      </c>
      <c r="D362">
        <v>13.27</v>
      </c>
      <c r="E362">
        <v>21.7</v>
      </c>
      <c r="F362" s="99">
        <f t="shared" si="5"/>
        <v>21.054771346815844</v>
      </c>
      <c r="G362" s="92"/>
    </row>
    <row r="363" spans="1:7">
      <c r="A363">
        <v>1</v>
      </c>
      <c r="B363">
        <v>6.1269999999999998</v>
      </c>
      <c r="C363">
        <v>20.2</v>
      </c>
      <c r="D363">
        <v>11.48</v>
      </c>
      <c r="E363">
        <v>22.7</v>
      </c>
      <c r="F363" s="99">
        <f t="shared" si="5"/>
        <v>20.868170715155053</v>
      </c>
      <c r="G363" s="92"/>
    </row>
    <row r="364" spans="1:7">
      <c r="A364">
        <v>1</v>
      </c>
      <c r="B364">
        <v>6.1120000000000001</v>
      </c>
      <c r="C364">
        <v>20.2</v>
      </c>
      <c r="D364">
        <v>12.67</v>
      </c>
      <c r="E364">
        <v>22.6</v>
      </c>
      <c r="F364" s="99">
        <f t="shared" si="5"/>
        <v>20.119990632428834</v>
      </c>
      <c r="G364" s="92"/>
    </row>
    <row r="365" spans="1:7">
      <c r="A365">
        <v>1</v>
      </c>
      <c r="B365">
        <v>6.3979999999999997</v>
      </c>
      <c r="C365">
        <v>20.2</v>
      </c>
      <c r="D365">
        <v>7.79</v>
      </c>
      <c r="E365">
        <v>25</v>
      </c>
      <c r="F365" s="99">
        <f t="shared" si="5"/>
        <v>24.201812779189357</v>
      </c>
      <c r="G365" s="92"/>
    </row>
    <row r="366" spans="1:7">
      <c r="A366">
        <v>1</v>
      </c>
      <c r="B366">
        <v>6.2510000000000003</v>
      </c>
      <c r="C366">
        <v>20.2</v>
      </c>
      <c r="D366">
        <v>14.19</v>
      </c>
      <c r="E366">
        <v>19.899999999999999</v>
      </c>
      <c r="F366" s="99">
        <f t="shared" si="5"/>
        <v>19.878489498058109</v>
      </c>
      <c r="G366" s="92"/>
    </row>
    <row r="367" spans="1:7">
      <c r="A367">
        <v>1</v>
      </c>
      <c r="B367">
        <v>5.3620000000000001</v>
      </c>
      <c r="C367">
        <v>20.2</v>
      </c>
      <c r="D367">
        <v>10.19</v>
      </c>
      <c r="E367">
        <v>20.8</v>
      </c>
      <c r="F367" s="99">
        <f t="shared" si="5"/>
        <v>18.151503030462685</v>
      </c>
      <c r="G367" s="92"/>
    </row>
    <row r="368" spans="1:7">
      <c r="A368">
        <v>1</v>
      </c>
      <c r="B368">
        <v>5.8029999999999999</v>
      </c>
      <c r="C368">
        <v>20.2</v>
      </c>
      <c r="D368">
        <v>14.64</v>
      </c>
      <c r="E368">
        <v>16.8</v>
      </c>
      <c r="F368" s="99">
        <f t="shared" si="5"/>
        <v>17.598268355668999</v>
      </c>
      <c r="G368" s="92"/>
    </row>
    <row r="369" spans="1:7">
      <c r="A369">
        <v>1</v>
      </c>
      <c r="B369">
        <v>8.7799999999999994</v>
      </c>
      <c r="C369">
        <v>20.2</v>
      </c>
      <c r="D369">
        <v>5.29</v>
      </c>
      <c r="E369">
        <v>21.9</v>
      </c>
      <c r="F369" s="99">
        <f t="shared" si="5"/>
        <v>36.387059687130311</v>
      </c>
      <c r="G369" s="92"/>
    </row>
    <row r="370" spans="1:7">
      <c r="A370">
        <v>1</v>
      </c>
      <c r="B370">
        <v>3.5609999999999999</v>
      </c>
      <c r="C370">
        <v>20.2</v>
      </c>
      <c r="D370">
        <v>7.12</v>
      </c>
      <c r="E370">
        <v>27.5</v>
      </c>
      <c r="F370" s="99">
        <f t="shared" si="5"/>
        <v>11.774673372351195</v>
      </c>
      <c r="G370" s="92"/>
    </row>
    <row r="371" spans="1:7">
      <c r="A371">
        <v>1</v>
      </c>
      <c r="B371">
        <v>4.9630000000000001</v>
      </c>
      <c r="C371">
        <v>20.2</v>
      </c>
      <c r="D371">
        <v>14</v>
      </c>
      <c r="E371">
        <v>21.9</v>
      </c>
      <c r="F371" s="99">
        <f t="shared" si="5"/>
        <v>14.171270403070402</v>
      </c>
      <c r="G371" s="92"/>
    </row>
    <row r="372" spans="1:7">
      <c r="A372">
        <v>1</v>
      </c>
      <c r="B372">
        <v>3.863</v>
      </c>
      <c r="C372">
        <v>20.2</v>
      </c>
      <c r="D372">
        <v>13.33</v>
      </c>
      <c r="E372">
        <v>23.1</v>
      </c>
      <c r="F372" s="99">
        <f t="shared" si="5"/>
        <v>9.5874171757060331</v>
      </c>
      <c r="G372" s="92"/>
    </row>
    <row r="373" spans="1:7">
      <c r="A373">
        <v>1</v>
      </c>
      <c r="B373">
        <v>4.97</v>
      </c>
      <c r="C373">
        <v>20.2</v>
      </c>
      <c r="D373">
        <v>3.26</v>
      </c>
      <c r="E373">
        <v>50</v>
      </c>
      <c r="F373" s="99">
        <f t="shared" si="5"/>
        <v>20.344071437429303</v>
      </c>
      <c r="G373" s="92"/>
    </row>
    <row r="374" spans="1:7">
      <c r="A374">
        <v>1</v>
      </c>
      <c r="B374">
        <v>6.6829999999999998</v>
      </c>
      <c r="C374">
        <v>20.2</v>
      </c>
      <c r="D374">
        <v>3.73</v>
      </c>
      <c r="E374">
        <v>50</v>
      </c>
      <c r="F374" s="99">
        <f t="shared" si="5"/>
        <v>27.810238840950479</v>
      </c>
      <c r="G374" s="92"/>
    </row>
    <row r="375" spans="1:7">
      <c r="A375">
        <v>1</v>
      </c>
      <c r="B375">
        <v>7.016</v>
      </c>
      <c r="C375">
        <v>20.2</v>
      </c>
      <c r="D375">
        <v>2.96</v>
      </c>
      <c r="E375">
        <v>50</v>
      </c>
      <c r="F375" s="99">
        <f t="shared" si="5"/>
        <v>29.754164394915666</v>
      </c>
      <c r="G375" s="92"/>
    </row>
    <row r="376" spans="1:7">
      <c r="A376">
        <v>1</v>
      </c>
      <c r="B376">
        <v>6.2160000000000002</v>
      </c>
      <c r="C376">
        <v>20.2</v>
      </c>
      <c r="D376">
        <v>9.5299999999999994</v>
      </c>
      <c r="E376">
        <v>50</v>
      </c>
      <c r="F376" s="99">
        <f t="shared" si="5"/>
        <v>22.385064270509638</v>
      </c>
      <c r="G376" s="92"/>
    </row>
    <row r="377" spans="1:7">
      <c r="A377">
        <v>1</v>
      </c>
      <c r="B377">
        <v>5.875</v>
      </c>
      <c r="C377">
        <v>20.2</v>
      </c>
      <c r="D377">
        <v>8.8800000000000008</v>
      </c>
      <c r="E377">
        <v>50</v>
      </c>
      <c r="F377" s="99">
        <f t="shared" si="5"/>
        <v>21.216979425772742</v>
      </c>
      <c r="G377" s="92"/>
    </row>
    <row r="378" spans="1:7">
      <c r="A378">
        <v>1</v>
      </c>
      <c r="B378">
        <v>4.9059999999999997</v>
      </c>
      <c r="C378">
        <v>20.2</v>
      </c>
      <c r="D378">
        <v>34.770000000000003</v>
      </c>
      <c r="E378">
        <v>13.8</v>
      </c>
      <c r="F378" s="99">
        <f t="shared" si="5"/>
        <v>2.0374872721564472</v>
      </c>
      <c r="G378" s="92"/>
    </row>
    <row r="379" spans="1:7">
      <c r="A379">
        <v>1</v>
      </c>
      <c r="B379">
        <v>4.1379999999999999</v>
      </c>
      <c r="C379">
        <v>20.2</v>
      </c>
      <c r="D379">
        <v>37.97</v>
      </c>
      <c r="E379">
        <v>13.8</v>
      </c>
      <c r="F379" s="99">
        <f t="shared" si="5"/>
        <v>-3.2601342139155385</v>
      </c>
      <c r="G379" s="92"/>
    </row>
    <row r="380" spans="1:7">
      <c r="A380">
        <v>1</v>
      </c>
      <c r="B380">
        <v>7.3129999999999997</v>
      </c>
      <c r="C380">
        <v>20.2</v>
      </c>
      <c r="D380">
        <v>13.44</v>
      </c>
      <c r="E380">
        <v>15</v>
      </c>
      <c r="F380" s="99">
        <f t="shared" si="5"/>
        <v>25.102720806335153</v>
      </c>
      <c r="G380" s="92"/>
    </row>
    <row r="381" spans="1:7">
      <c r="A381">
        <v>1</v>
      </c>
      <c r="B381">
        <v>6.649</v>
      </c>
      <c r="C381">
        <v>20.2</v>
      </c>
      <c r="D381">
        <v>23.24</v>
      </c>
      <c r="E381">
        <v>13.9</v>
      </c>
      <c r="F381" s="99">
        <f t="shared" si="5"/>
        <v>16.500785558464663</v>
      </c>
      <c r="G381" s="92"/>
    </row>
    <row r="382" spans="1:7">
      <c r="A382">
        <v>1</v>
      </c>
      <c r="B382">
        <v>6.7939999999999996</v>
      </c>
      <c r="C382">
        <v>20.2</v>
      </c>
      <c r="D382">
        <v>21.24</v>
      </c>
      <c r="E382">
        <v>13.3</v>
      </c>
      <c r="F382" s="99">
        <f t="shared" si="5"/>
        <v>18.29913297106868</v>
      </c>
      <c r="G382" s="92"/>
    </row>
    <row r="383" spans="1:7">
      <c r="A383">
        <v>1</v>
      </c>
      <c r="B383">
        <v>6.38</v>
      </c>
      <c r="C383">
        <v>20.2</v>
      </c>
      <c r="D383">
        <v>23.69</v>
      </c>
      <c r="E383">
        <v>13.1</v>
      </c>
      <c r="F383" s="99">
        <f t="shared" si="5"/>
        <v>15.028824765025353</v>
      </c>
      <c r="G383" s="92"/>
    </row>
    <row r="384" spans="1:7">
      <c r="A384">
        <v>1</v>
      </c>
      <c r="B384">
        <v>6.2229999999999999</v>
      </c>
      <c r="C384">
        <v>20.2</v>
      </c>
      <c r="D384">
        <v>21.78</v>
      </c>
      <c r="E384">
        <v>10.199999999999999</v>
      </c>
      <c r="F384" s="99">
        <f t="shared" si="5"/>
        <v>15.412052540677026</v>
      </c>
      <c r="G384" s="92"/>
    </row>
    <row r="385" spans="1:7">
      <c r="A385">
        <v>1</v>
      </c>
      <c r="B385">
        <v>6.968</v>
      </c>
      <c r="C385">
        <v>20.2</v>
      </c>
      <c r="D385">
        <v>17.21</v>
      </c>
      <c r="E385">
        <v>10.4</v>
      </c>
      <c r="F385" s="99">
        <f t="shared" si="5"/>
        <v>21.389193137425874</v>
      </c>
      <c r="G385" s="92"/>
    </row>
    <row r="386" spans="1:7">
      <c r="A386">
        <v>1</v>
      </c>
      <c r="B386">
        <v>6.5449999999999999</v>
      </c>
      <c r="C386">
        <v>20.2</v>
      </c>
      <c r="D386">
        <v>21.08</v>
      </c>
      <c r="E386">
        <v>10.9</v>
      </c>
      <c r="F386" s="99">
        <f t="shared" si="5"/>
        <v>17.266282066108747</v>
      </c>
      <c r="G386" s="92"/>
    </row>
    <row r="387" spans="1:7">
      <c r="A387">
        <v>1</v>
      </c>
      <c r="B387">
        <v>5.5359999999999996</v>
      </c>
      <c r="C387">
        <v>20.2</v>
      </c>
      <c r="D387">
        <v>23.6</v>
      </c>
      <c r="E387">
        <v>11.3</v>
      </c>
      <c r="F387" s="99">
        <f t="shared" si="5"/>
        <v>11.269272000321401</v>
      </c>
      <c r="G387" s="92"/>
    </row>
    <row r="388" spans="1:7">
      <c r="A388">
        <v>1</v>
      </c>
      <c r="B388">
        <v>5.52</v>
      </c>
      <c r="C388">
        <v>20.2</v>
      </c>
      <c r="D388">
        <v>24.56</v>
      </c>
      <c r="E388">
        <v>12.3</v>
      </c>
      <c r="F388" s="99">
        <f t="shared" si="5"/>
        <v>10.64809180486203</v>
      </c>
      <c r="G388" s="92"/>
    </row>
    <row r="389" spans="1:7">
      <c r="A389">
        <v>1</v>
      </c>
      <c r="B389">
        <v>4.3680000000000003</v>
      </c>
      <c r="C389">
        <v>20.2</v>
      </c>
      <c r="D389">
        <v>30.63</v>
      </c>
      <c r="E389">
        <v>8.8000000000000007</v>
      </c>
      <c r="F389" s="99">
        <f t="shared" ref="F389:F452" si="6">SUMPRODUCT($A$2:$D$2,A389:D389)</f>
        <v>1.9754663521558271</v>
      </c>
      <c r="G389" s="92"/>
    </row>
    <row r="390" spans="1:7">
      <c r="A390">
        <v>1</v>
      </c>
      <c r="B390">
        <v>5.2770000000000001</v>
      </c>
      <c r="C390">
        <v>20.2</v>
      </c>
      <c r="D390">
        <v>30.81</v>
      </c>
      <c r="E390">
        <v>7.2</v>
      </c>
      <c r="F390" s="99">
        <f t="shared" si="6"/>
        <v>5.9770589663017333</v>
      </c>
      <c r="G390" s="92"/>
    </row>
    <row r="391" spans="1:7">
      <c r="A391">
        <v>1</v>
      </c>
      <c r="B391">
        <v>4.6520000000000001</v>
      </c>
      <c r="C391">
        <v>20.2</v>
      </c>
      <c r="D391">
        <v>28.28</v>
      </c>
      <c r="E391">
        <v>10.5</v>
      </c>
      <c r="F391" s="99">
        <f t="shared" si="6"/>
        <v>4.6015892667109206</v>
      </c>
      <c r="G391" s="92"/>
    </row>
    <row r="392" spans="1:7">
      <c r="A392">
        <v>1</v>
      </c>
      <c r="B392">
        <v>5</v>
      </c>
      <c r="C392">
        <v>20.2</v>
      </c>
      <c r="D392">
        <v>31.99</v>
      </c>
      <c r="E392">
        <v>7.4</v>
      </c>
      <c r="F392" s="99">
        <f t="shared" si="6"/>
        <v>4.0515566531645746</v>
      </c>
      <c r="G392" s="92"/>
    </row>
    <row r="393" spans="1:7">
      <c r="A393">
        <v>1</v>
      </c>
      <c r="B393">
        <v>4.88</v>
      </c>
      <c r="C393">
        <v>20.2</v>
      </c>
      <c r="D393">
        <v>30.62</v>
      </c>
      <c r="E393">
        <v>10.199999999999999</v>
      </c>
      <c r="F393" s="99">
        <f t="shared" si="6"/>
        <v>4.2930799322876219</v>
      </c>
      <c r="G393" s="92"/>
    </row>
    <row r="394" spans="1:7">
      <c r="A394">
        <v>1</v>
      </c>
      <c r="B394">
        <v>5.39</v>
      </c>
      <c r="C394">
        <v>20.2</v>
      </c>
      <c r="D394">
        <v>20.85</v>
      </c>
      <c r="E394">
        <v>11.5</v>
      </c>
      <c r="F394" s="99">
        <f t="shared" si="6"/>
        <v>12.18248618416847</v>
      </c>
      <c r="G394" s="92"/>
    </row>
    <row r="395" spans="1:7">
      <c r="A395">
        <v>1</v>
      </c>
      <c r="B395">
        <v>5.7130000000000001</v>
      </c>
      <c r="C395">
        <v>20.2</v>
      </c>
      <c r="D395">
        <v>17.11</v>
      </c>
      <c r="E395">
        <v>15.1</v>
      </c>
      <c r="F395" s="99">
        <f t="shared" si="6"/>
        <v>15.7795204216768</v>
      </c>
      <c r="G395" s="92"/>
    </row>
    <row r="396" spans="1:7">
      <c r="A396">
        <v>1</v>
      </c>
      <c r="B396">
        <v>6.0510000000000002</v>
      </c>
      <c r="C396">
        <v>20.2</v>
      </c>
      <c r="D396">
        <v>18.760000000000002</v>
      </c>
      <c r="E396">
        <v>23.2</v>
      </c>
      <c r="F396" s="99">
        <f t="shared" si="6"/>
        <v>16.362253315709516</v>
      </c>
      <c r="G396" s="92"/>
    </row>
    <row r="397" spans="1:7">
      <c r="A397">
        <v>1</v>
      </c>
      <c r="B397">
        <v>5.0359999999999996</v>
      </c>
      <c r="C397">
        <v>20.2</v>
      </c>
      <c r="D397">
        <v>25.68</v>
      </c>
      <c r="E397">
        <v>9.6999999999999993</v>
      </c>
      <c r="F397" s="99">
        <f t="shared" si="6"/>
        <v>7.8222056976195269</v>
      </c>
      <c r="G397" s="92"/>
    </row>
    <row r="398" spans="1:7">
      <c r="A398">
        <v>1</v>
      </c>
      <c r="B398">
        <v>6.1929999999999996</v>
      </c>
      <c r="C398">
        <v>20.2</v>
      </c>
      <c r="D398">
        <v>15.17</v>
      </c>
      <c r="E398">
        <v>13.8</v>
      </c>
      <c r="F398" s="99">
        <f t="shared" si="6"/>
        <v>19.056225509199429</v>
      </c>
      <c r="G398" s="92"/>
    </row>
    <row r="399" spans="1:7">
      <c r="A399">
        <v>1</v>
      </c>
      <c r="B399">
        <v>5.8869999999999996</v>
      </c>
      <c r="C399">
        <v>20.2</v>
      </c>
      <c r="D399">
        <v>16.350000000000001</v>
      </c>
      <c r="E399">
        <v>12.7</v>
      </c>
      <c r="F399" s="99">
        <f t="shared" si="6"/>
        <v>16.999775988690523</v>
      </c>
      <c r="G399" s="92"/>
    </row>
    <row r="400" spans="1:7">
      <c r="A400">
        <v>1</v>
      </c>
      <c r="B400">
        <v>6.4710000000000001</v>
      </c>
      <c r="C400">
        <v>20.2</v>
      </c>
      <c r="D400">
        <v>17.12</v>
      </c>
      <c r="E400">
        <v>13.1</v>
      </c>
      <c r="F400" s="99">
        <f t="shared" si="6"/>
        <v>19.196491440239143</v>
      </c>
      <c r="G400" s="92"/>
    </row>
    <row r="401" spans="1:7">
      <c r="A401">
        <v>1</v>
      </c>
      <c r="B401">
        <v>6.4050000000000002</v>
      </c>
      <c r="C401">
        <v>20.2</v>
      </c>
      <c r="D401">
        <v>19.37</v>
      </c>
      <c r="E401">
        <v>12.5</v>
      </c>
      <c r="F401" s="99">
        <f t="shared" si="6"/>
        <v>17.611910860231404</v>
      </c>
      <c r="G401" s="92"/>
    </row>
    <row r="402" spans="1:7">
      <c r="A402">
        <v>1</v>
      </c>
      <c r="B402">
        <v>5.7469999999999999</v>
      </c>
      <c r="C402">
        <v>20.2</v>
      </c>
      <c r="D402">
        <v>19.920000000000002</v>
      </c>
      <c r="E402">
        <v>8.5</v>
      </c>
      <c r="F402" s="99">
        <f t="shared" si="6"/>
        <v>14.326270750845762</v>
      </c>
      <c r="G402" s="92"/>
    </row>
    <row r="403" spans="1:7">
      <c r="A403">
        <v>1</v>
      </c>
      <c r="B403">
        <v>5.4530000000000003</v>
      </c>
      <c r="C403">
        <v>20.2</v>
      </c>
      <c r="D403">
        <v>30.59</v>
      </c>
      <c r="E403">
        <v>5</v>
      </c>
      <c r="F403" s="99">
        <f t="shared" si="6"/>
        <v>6.897570303751948</v>
      </c>
      <c r="G403" s="92"/>
    </row>
    <row r="404" spans="1:7">
      <c r="A404">
        <v>1</v>
      </c>
      <c r="B404">
        <v>5.8520000000000003</v>
      </c>
      <c r="C404">
        <v>20.2</v>
      </c>
      <c r="D404">
        <v>29.97</v>
      </c>
      <c r="E404">
        <v>6.3</v>
      </c>
      <c r="F404" s="99">
        <f t="shared" si="6"/>
        <v>9.0537427868305791</v>
      </c>
      <c r="G404" s="92"/>
    </row>
    <row r="405" spans="1:7">
      <c r="A405">
        <v>1</v>
      </c>
      <c r="B405">
        <v>5.9870000000000001</v>
      </c>
      <c r="C405">
        <v>20.2</v>
      </c>
      <c r="D405">
        <v>26.77</v>
      </c>
      <c r="E405">
        <v>5.6</v>
      </c>
      <c r="F405" s="99">
        <f t="shared" si="6"/>
        <v>11.493102815443201</v>
      </c>
      <c r="G405" s="92"/>
    </row>
    <row r="406" spans="1:7">
      <c r="A406">
        <v>1</v>
      </c>
      <c r="B406">
        <v>6.343</v>
      </c>
      <c r="C406">
        <v>20.2</v>
      </c>
      <c r="D406">
        <v>20.32</v>
      </c>
      <c r="E406">
        <v>7.2</v>
      </c>
      <c r="F406" s="99">
        <f t="shared" si="6"/>
        <v>16.788739358233496</v>
      </c>
      <c r="G406" s="92"/>
    </row>
    <row r="407" spans="1:7">
      <c r="A407">
        <v>1</v>
      </c>
      <c r="B407">
        <v>6.4039999999999999</v>
      </c>
      <c r="C407">
        <v>20.2</v>
      </c>
      <c r="D407">
        <v>20.309999999999999</v>
      </c>
      <c r="E407">
        <v>12.1</v>
      </c>
      <c r="F407" s="99">
        <f t="shared" si="6"/>
        <v>17.069898092687289</v>
      </c>
      <c r="G407" s="92"/>
    </row>
    <row r="408" spans="1:7">
      <c r="A408">
        <v>1</v>
      </c>
      <c r="B408">
        <v>5.3490000000000002</v>
      </c>
      <c r="C408">
        <v>20.2</v>
      </c>
      <c r="D408">
        <v>19.77</v>
      </c>
      <c r="E408">
        <v>8.3000000000000007</v>
      </c>
      <c r="F408" s="99">
        <f t="shared" si="6"/>
        <v>12.614904068372901</v>
      </c>
      <c r="G408" s="92"/>
    </row>
    <row r="409" spans="1:7">
      <c r="A409">
        <v>1</v>
      </c>
      <c r="B409">
        <v>5.5309999999999997</v>
      </c>
      <c r="C409">
        <v>20.2</v>
      </c>
      <c r="D409">
        <v>27.38</v>
      </c>
      <c r="E409">
        <v>8.5</v>
      </c>
      <c r="F409" s="99">
        <f t="shared" si="6"/>
        <v>9.0852693954436354</v>
      </c>
      <c r="G409" s="92"/>
    </row>
    <row r="410" spans="1:7">
      <c r="A410">
        <v>1</v>
      </c>
      <c r="B410">
        <v>5.6829999999999998</v>
      </c>
      <c r="C410">
        <v>20.2</v>
      </c>
      <c r="D410">
        <v>22.98</v>
      </c>
      <c r="E410">
        <v>5</v>
      </c>
      <c r="F410" s="99">
        <f t="shared" si="6"/>
        <v>12.287558405548912</v>
      </c>
      <c r="G410" s="92"/>
    </row>
    <row r="411" spans="1:7">
      <c r="A411">
        <v>1</v>
      </c>
      <c r="B411">
        <v>4.1379999999999999</v>
      </c>
      <c r="C411">
        <v>20.2</v>
      </c>
      <c r="D411">
        <v>23.34</v>
      </c>
      <c r="E411">
        <v>11.9</v>
      </c>
      <c r="F411" s="99">
        <f t="shared" si="6"/>
        <v>5.1053829996608737</v>
      </c>
      <c r="G411" s="92"/>
    </row>
    <row r="412" spans="1:7">
      <c r="A412">
        <v>1</v>
      </c>
      <c r="B412">
        <v>5.6079999999999997</v>
      </c>
      <c r="C412">
        <v>20.2</v>
      </c>
      <c r="D412">
        <v>12.13</v>
      </c>
      <c r="E412">
        <v>27.9</v>
      </c>
      <c r="F412" s="99">
        <f t="shared" si="6"/>
        <v>18.152993548177797</v>
      </c>
      <c r="G412" s="92"/>
    </row>
    <row r="413" spans="1:7">
      <c r="A413">
        <v>1</v>
      </c>
      <c r="B413">
        <v>5.617</v>
      </c>
      <c r="C413">
        <v>20.2</v>
      </c>
      <c r="D413">
        <v>26.4</v>
      </c>
      <c r="E413">
        <v>17.2</v>
      </c>
      <c r="F413" s="99">
        <f t="shared" si="6"/>
        <v>10.03396517073022</v>
      </c>
      <c r="G413" s="92"/>
    </row>
    <row r="414" spans="1:7">
      <c r="A414">
        <v>1</v>
      </c>
      <c r="B414">
        <v>6.8520000000000003</v>
      </c>
      <c r="C414">
        <v>20.2</v>
      </c>
      <c r="D414">
        <v>19.78</v>
      </c>
      <c r="E414">
        <v>27.5</v>
      </c>
      <c r="F414" s="99">
        <f t="shared" si="6"/>
        <v>19.395863690106218</v>
      </c>
      <c r="G414" s="92"/>
    </row>
    <row r="415" spans="1:7">
      <c r="A415">
        <v>1</v>
      </c>
      <c r="B415">
        <v>5.7569999999999997</v>
      </c>
      <c r="C415">
        <v>20.2</v>
      </c>
      <c r="D415">
        <v>10.11</v>
      </c>
      <c r="E415">
        <v>15</v>
      </c>
      <c r="F415" s="99">
        <f t="shared" si="6"/>
        <v>19.98083875831469</v>
      </c>
      <c r="G415" s="92"/>
    </row>
    <row r="416" spans="1:7">
      <c r="A416">
        <v>1</v>
      </c>
      <c r="B416">
        <v>6.657</v>
      </c>
      <c r="C416">
        <v>20.2</v>
      </c>
      <c r="D416">
        <v>21.22</v>
      </c>
      <c r="E416">
        <v>17.2</v>
      </c>
      <c r="F416" s="99">
        <f t="shared" si="6"/>
        <v>17.691956415518185</v>
      </c>
      <c r="G416" s="92"/>
    </row>
    <row r="417" spans="1:7">
      <c r="A417">
        <v>1</v>
      </c>
      <c r="B417">
        <v>4.6280000000000001</v>
      </c>
      <c r="C417">
        <v>20.2</v>
      </c>
      <c r="D417">
        <v>34.369999999999997</v>
      </c>
      <c r="E417">
        <v>17.899999999999999</v>
      </c>
      <c r="F417" s="99">
        <f t="shared" si="6"/>
        <v>1.0109225249141822</v>
      </c>
      <c r="G417" s="92"/>
    </row>
    <row r="418" spans="1:7">
      <c r="A418">
        <v>1</v>
      </c>
      <c r="B418">
        <v>5.1550000000000002</v>
      </c>
      <c r="C418">
        <v>20.2</v>
      </c>
      <c r="D418">
        <v>20.079999999999998</v>
      </c>
      <c r="E418">
        <v>16.3</v>
      </c>
      <c r="F418" s="99">
        <f t="shared" si="6"/>
        <v>11.561652642024779</v>
      </c>
      <c r="G418" s="92"/>
    </row>
    <row r="419" spans="1:7">
      <c r="A419">
        <v>1</v>
      </c>
      <c r="B419">
        <v>4.5190000000000001</v>
      </c>
      <c r="C419">
        <v>20.2</v>
      </c>
      <c r="D419">
        <v>36.979999999999997</v>
      </c>
      <c r="E419">
        <v>7</v>
      </c>
      <c r="F419" s="99">
        <f t="shared" si="6"/>
        <v>-0.97367120331340118</v>
      </c>
      <c r="G419" s="92"/>
    </row>
    <row r="420" spans="1:7">
      <c r="A420">
        <v>1</v>
      </c>
      <c r="B420">
        <v>6.4340000000000002</v>
      </c>
      <c r="C420">
        <v>20.2</v>
      </c>
      <c r="D420">
        <v>29.05</v>
      </c>
      <c r="E420">
        <v>7.2</v>
      </c>
      <c r="F420" s="99">
        <f t="shared" si="6"/>
        <v>12.207779008996219</v>
      </c>
      <c r="G420" s="92"/>
    </row>
    <row r="421" spans="1:7">
      <c r="A421">
        <v>1</v>
      </c>
      <c r="B421">
        <v>6.782</v>
      </c>
      <c r="C421">
        <v>20.2</v>
      </c>
      <c r="D421">
        <v>25.79</v>
      </c>
      <c r="E421">
        <v>7.5</v>
      </c>
      <c r="F421" s="99">
        <f t="shared" si="6"/>
        <v>15.643232039922022</v>
      </c>
      <c r="G421" s="92"/>
    </row>
    <row r="422" spans="1:7">
      <c r="A422">
        <v>1</v>
      </c>
      <c r="B422">
        <v>5.3040000000000003</v>
      </c>
      <c r="C422">
        <v>20.2</v>
      </c>
      <c r="D422">
        <v>26.64</v>
      </c>
      <c r="E422">
        <v>10.4</v>
      </c>
      <c r="F422" s="99">
        <f t="shared" si="6"/>
        <v>8.483405050214591</v>
      </c>
      <c r="G422" s="92"/>
    </row>
    <row r="423" spans="1:7">
      <c r="A423">
        <v>1</v>
      </c>
      <c r="B423">
        <v>5.9569999999999999</v>
      </c>
      <c r="C423">
        <v>20.2</v>
      </c>
      <c r="D423">
        <v>20.62</v>
      </c>
      <c r="E423">
        <v>8.8000000000000007</v>
      </c>
      <c r="F423" s="99">
        <f t="shared" si="6"/>
        <v>14.874245167544192</v>
      </c>
      <c r="G423" s="92"/>
    </row>
    <row r="424" spans="1:7">
      <c r="A424">
        <v>1</v>
      </c>
      <c r="B424">
        <v>6.8239999999999998</v>
      </c>
      <c r="C424">
        <v>20.2</v>
      </c>
      <c r="D424">
        <v>22.74</v>
      </c>
      <c r="E424">
        <v>8.4</v>
      </c>
      <c r="F424" s="99">
        <f t="shared" si="6"/>
        <v>17.576887067575363</v>
      </c>
      <c r="G424" s="92"/>
    </row>
    <row r="425" spans="1:7">
      <c r="A425">
        <v>1</v>
      </c>
      <c r="B425">
        <v>6.4109999999999996</v>
      </c>
      <c r="C425">
        <v>20.2</v>
      </c>
      <c r="D425">
        <v>15.02</v>
      </c>
      <c r="E425">
        <v>16.7</v>
      </c>
      <c r="F425" s="99">
        <f t="shared" si="6"/>
        <v>20.126358128140417</v>
      </c>
      <c r="G425" s="92"/>
    </row>
    <row r="426" spans="1:7">
      <c r="A426">
        <v>1</v>
      </c>
      <c r="B426">
        <v>6.0060000000000002</v>
      </c>
      <c r="C426">
        <v>20.2</v>
      </c>
      <c r="D426">
        <v>15.7</v>
      </c>
      <c r="E426">
        <v>14.2</v>
      </c>
      <c r="F426" s="99">
        <f t="shared" si="6"/>
        <v>17.908784778126311</v>
      </c>
      <c r="G426" s="92"/>
    </row>
    <row r="427" spans="1:7">
      <c r="A427">
        <v>1</v>
      </c>
      <c r="B427">
        <v>5.6479999999999997</v>
      </c>
      <c r="C427">
        <v>20.2</v>
      </c>
      <c r="D427">
        <v>14.1</v>
      </c>
      <c r="E427">
        <v>20.8</v>
      </c>
      <c r="F427" s="99">
        <f t="shared" si="6"/>
        <v>17.207153180822893</v>
      </c>
      <c r="G427" s="92"/>
    </row>
    <row r="428" spans="1:7">
      <c r="A428">
        <v>1</v>
      </c>
      <c r="B428">
        <v>6.1029999999999998</v>
      </c>
      <c r="C428">
        <v>20.2</v>
      </c>
      <c r="D428">
        <v>23.29</v>
      </c>
      <c r="E428">
        <v>13.4</v>
      </c>
      <c r="F428" s="99">
        <f t="shared" si="6"/>
        <v>14.00677543872694</v>
      </c>
      <c r="G428" s="92"/>
    </row>
    <row r="429" spans="1:7">
      <c r="A429">
        <v>1</v>
      </c>
      <c r="B429">
        <v>5.5650000000000004</v>
      </c>
      <c r="C429">
        <v>20.2</v>
      </c>
      <c r="D429">
        <v>17.16</v>
      </c>
      <c r="E429">
        <v>11.7</v>
      </c>
      <c r="F429" s="99">
        <f t="shared" si="6"/>
        <v>15.082647837592829</v>
      </c>
      <c r="G429" s="92"/>
    </row>
    <row r="430" spans="1:7">
      <c r="A430">
        <v>1</v>
      </c>
      <c r="B430">
        <v>5.8959999999999999</v>
      </c>
      <c r="C430">
        <v>20.2</v>
      </c>
      <c r="D430">
        <v>24.39</v>
      </c>
      <c r="E430">
        <v>8.3000000000000007</v>
      </c>
      <c r="F430" s="99">
        <f t="shared" si="6"/>
        <v>12.443097046689349</v>
      </c>
      <c r="G430" s="92"/>
    </row>
    <row r="431" spans="1:7">
      <c r="A431">
        <v>1</v>
      </c>
      <c r="B431">
        <v>5.8369999999999997</v>
      </c>
      <c r="C431">
        <v>20.2</v>
      </c>
      <c r="D431">
        <v>15.69</v>
      </c>
      <c r="E431">
        <v>10.199999999999999</v>
      </c>
      <c r="F431" s="99">
        <f t="shared" si="6"/>
        <v>17.151396695493773</v>
      </c>
      <c r="G431" s="92"/>
    </row>
    <row r="432" spans="1:7">
      <c r="A432">
        <v>1</v>
      </c>
      <c r="B432">
        <v>6.202</v>
      </c>
      <c r="C432">
        <v>20.2</v>
      </c>
      <c r="D432">
        <v>14.52</v>
      </c>
      <c r="E432">
        <v>10.9</v>
      </c>
      <c r="F432" s="99">
        <f t="shared" si="6"/>
        <v>19.468537994811321</v>
      </c>
      <c r="G432" s="92"/>
    </row>
    <row r="433" spans="1:7">
      <c r="A433">
        <v>1</v>
      </c>
      <c r="B433">
        <v>6.1929999999999996</v>
      </c>
      <c r="C433">
        <v>20.2</v>
      </c>
      <c r="D433">
        <v>21.52</v>
      </c>
      <c r="E433">
        <v>11</v>
      </c>
      <c r="F433" s="99">
        <f t="shared" si="6"/>
        <v>15.425259391208298</v>
      </c>
      <c r="G433" s="92"/>
    </row>
    <row r="434" spans="1:7">
      <c r="A434">
        <v>1</v>
      </c>
      <c r="B434">
        <v>6.38</v>
      </c>
      <c r="C434">
        <v>20.2</v>
      </c>
      <c r="D434">
        <v>24.08</v>
      </c>
      <c r="E434">
        <v>9.5</v>
      </c>
      <c r="F434" s="99">
        <f t="shared" si="6"/>
        <v>14.805820546755033</v>
      </c>
      <c r="G434" s="92"/>
    </row>
    <row r="435" spans="1:7">
      <c r="A435">
        <v>1</v>
      </c>
      <c r="B435">
        <v>6.3479999999999999</v>
      </c>
      <c r="C435">
        <v>20.2</v>
      </c>
      <c r="D435">
        <v>17.64</v>
      </c>
      <c r="E435">
        <v>14.5</v>
      </c>
      <c r="F435" s="99">
        <f t="shared" si="6"/>
        <v>18.343755706451375</v>
      </c>
      <c r="G435" s="92"/>
    </row>
    <row r="436" spans="1:7">
      <c r="A436">
        <v>1</v>
      </c>
      <c r="B436">
        <v>6.8330000000000002</v>
      </c>
      <c r="C436">
        <v>20.2</v>
      </c>
      <c r="D436">
        <v>19.690000000000001</v>
      </c>
      <c r="E436">
        <v>14.1</v>
      </c>
      <c r="F436" s="99">
        <f t="shared" si="6"/>
        <v>19.361533204081539</v>
      </c>
      <c r="G436" s="92"/>
    </row>
    <row r="437" spans="1:7">
      <c r="A437">
        <v>1</v>
      </c>
      <c r="B437">
        <v>6.4249999999999998</v>
      </c>
      <c r="C437">
        <v>20.2</v>
      </c>
      <c r="D437">
        <v>12.03</v>
      </c>
      <c r="E437">
        <v>16.100000000000001</v>
      </c>
      <c r="F437" s="99">
        <f t="shared" si="6"/>
        <v>21.8992730280935</v>
      </c>
      <c r="G437" s="92"/>
    </row>
    <row r="438" spans="1:7">
      <c r="A438">
        <v>1</v>
      </c>
      <c r="B438">
        <v>6.4359999999999999</v>
      </c>
      <c r="C438">
        <v>20.2</v>
      </c>
      <c r="D438">
        <v>16.22</v>
      </c>
      <c r="E438">
        <v>14.3</v>
      </c>
      <c r="F438" s="99">
        <f t="shared" si="6"/>
        <v>19.553076826289626</v>
      </c>
      <c r="G438" s="92"/>
    </row>
    <row r="439" spans="1:7">
      <c r="A439">
        <v>1</v>
      </c>
      <c r="B439">
        <v>6.2080000000000002</v>
      </c>
      <c r="C439">
        <v>20.2</v>
      </c>
      <c r="D439">
        <v>15.17</v>
      </c>
      <c r="E439">
        <v>11.7</v>
      </c>
      <c r="F439" s="99">
        <f t="shared" si="6"/>
        <v>19.12395682335724</v>
      </c>
      <c r="G439" s="92"/>
    </row>
    <row r="440" spans="1:7">
      <c r="A440">
        <v>1</v>
      </c>
      <c r="B440">
        <v>6.6289999999999996</v>
      </c>
      <c r="C440">
        <v>20.2</v>
      </c>
      <c r="D440">
        <v>23.27</v>
      </c>
      <c r="E440">
        <v>13.4</v>
      </c>
      <c r="F440" s="99">
        <f t="shared" si="6"/>
        <v>16.393322968951413</v>
      </c>
      <c r="G440" s="92"/>
    </row>
    <row r="441" spans="1:7">
      <c r="A441">
        <v>1</v>
      </c>
      <c r="B441">
        <v>6.4610000000000003</v>
      </c>
      <c r="C441">
        <v>20.2</v>
      </c>
      <c r="D441">
        <v>18.05</v>
      </c>
      <c r="E441">
        <v>9.6</v>
      </c>
      <c r="F441" s="99">
        <f t="shared" si="6"/>
        <v>18.619557941079073</v>
      </c>
      <c r="G441" s="92"/>
    </row>
    <row r="442" spans="1:7">
      <c r="A442">
        <v>1</v>
      </c>
      <c r="B442">
        <v>6.1520000000000001</v>
      </c>
      <c r="C442">
        <v>20.2</v>
      </c>
      <c r="D442">
        <v>26.45</v>
      </c>
      <c r="E442">
        <v>8.6999999999999993</v>
      </c>
      <c r="F442" s="99">
        <f t="shared" si="6"/>
        <v>12.421125091298299</v>
      </c>
      <c r="G442" s="92"/>
    </row>
    <row r="443" spans="1:7">
      <c r="A443">
        <v>1</v>
      </c>
      <c r="B443">
        <v>5.9349999999999996</v>
      </c>
      <c r="C443">
        <v>20.2</v>
      </c>
      <c r="D443">
        <v>34.020000000000003</v>
      </c>
      <c r="E443">
        <v>8.4</v>
      </c>
      <c r="F443" s="99">
        <f t="shared" si="6"/>
        <v>7.1127096892863193</v>
      </c>
      <c r="G443" s="92"/>
    </row>
    <row r="444" spans="1:7">
      <c r="A444">
        <v>1</v>
      </c>
      <c r="B444">
        <v>5.6269999999999998</v>
      </c>
      <c r="C444">
        <v>20.2</v>
      </c>
      <c r="D444">
        <v>22.88</v>
      </c>
      <c r="E444">
        <v>12.8</v>
      </c>
      <c r="F444" s="99">
        <f t="shared" si="6"/>
        <v>12.091875401480372</v>
      </c>
      <c r="G444" s="92"/>
    </row>
    <row r="445" spans="1:7">
      <c r="A445">
        <v>1</v>
      </c>
      <c r="B445">
        <v>5.8179999999999996</v>
      </c>
      <c r="C445">
        <v>20.2</v>
      </c>
      <c r="D445">
        <v>22.11</v>
      </c>
      <c r="E445">
        <v>10.5</v>
      </c>
      <c r="F445" s="99">
        <f t="shared" si="6"/>
        <v>13.394611181418334</v>
      </c>
      <c r="G445" s="92"/>
    </row>
    <row r="446" spans="1:7">
      <c r="A446">
        <v>1</v>
      </c>
      <c r="B446">
        <v>6.4059999999999997</v>
      </c>
      <c r="C446">
        <v>20.2</v>
      </c>
      <c r="D446">
        <v>19.52</v>
      </c>
      <c r="E446">
        <v>17.100000000000001</v>
      </c>
      <c r="F446" s="99">
        <f t="shared" si="6"/>
        <v>17.530655427994368</v>
      </c>
      <c r="G446" s="92"/>
    </row>
    <row r="447" spans="1:7">
      <c r="A447">
        <v>1</v>
      </c>
      <c r="B447">
        <v>6.2190000000000003</v>
      </c>
      <c r="C447">
        <v>20.2</v>
      </c>
      <c r="D447">
        <v>16.59</v>
      </c>
      <c r="E447">
        <v>18.399999999999999</v>
      </c>
      <c r="F447" s="99">
        <f t="shared" si="6"/>
        <v>18.36166237696051</v>
      </c>
      <c r="G447" s="92"/>
    </row>
    <row r="448" spans="1:7">
      <c r="A448">
        <v>1</v>
      </c>
      <c r="B448">
        <v>6.4850000000000003</v>
      </c>
      <c r="C448">
        <v>20.2</v>
      </c>
      <c r="D448">
        <v>18.850000000000001</v>
      </c>
      <c r="E448">
        <v>15.4</v>
      </c>
      <c r="F448" s="99">
        <f t="shared" si="6"/>
        <v>18.27048349343346</v>
      </c>
      <c r="G448" s="92"/>
    </row>
    <row r="449" spans="1:7">
      <c r="A449">
        <v>1</v>
      </c>
      <c r="B449">
        <v>5.8540000000000001</v>
      </c>
      <c r="C449">
        <v>20.2</v>
      </c>
      <c r="D449">
        <v>23.79</v>
      </c>
      <c r="E449">
        <v>10.8</v>
      </c>
      <c r="F449" s="99">
        <f t="shared" si="6"/>
        <v>12.596532779771071</v>
      </c>
      <c r="G449" s="92"/>
    </row>
    <row r="450" spans="1:7">
      <c r="A450">
        <v>1</v>
      </c>
      <c r="B450">
        <v>6.4589999999999996</v>
      </c>
      <c r="C450">
        <v>20.2</v>
      </c>
      <c r="D450">
        <v>23.98</v>
      </c>
      <c r="E450">
        <v>11.8</v>
      </c>
      <c r="F450" s="99">
        <f t="shared" si="6"/>
        <v>15.219719370106729</v>
      </c>
      <c r="G450" s="92"/>
    </row>
    <row r="451" spans="1:7">
      <c r="A451">
        <v>1</v>
      </c>
      <c r="B451">
        <v>6.3410000000000002</v>
      </c>
      <c r="C451">
        <v>20.2</v>
      </c>
      <c r="D451">
        <v>17.79</v>
      </c>
      <c r="E451">
        <v>14.9</v>
      </c>
      <c r="F451" s="99">
        <f t="shared" si="6"/>
        <v>18.226376906663514</v>
      </c>
      <c r="G451" s="92"/>
    </row>
    <row r="452" spans="1:7">
      <c r="A452">
        <v>1</v>
      </c>
      <c r="B452">
        <v>6.2510000000000003</v>
      </c>
      <c r="C452">
        <v>20.2</v>
      </c>
      <c r="D452">
        <v>16.440000000000001</v>
      </c>
      <c r="E452">
        <v>12.6</v>
      </c>
      <c r="F452" s="99">
        <f t="shared" si="6"/>
        <v>18.591926700344718</v>
      </c>
      <c r="G452" s="92"/>
    </row>
    <row r="453" spans="1:7">
      <c r="A453">
        <v>1</v>
      </c>
      <c r="B453">
        <v>6.1849999999999996</v>
      </c>
      <c r="C453">
        <v>20.2</v>
      </c>
      <c r="D453">
        <v>18.13</v>
      </c>
      <c r="E453">
        <v>14.1</v>
      </c>
      <c r="F453" s="99">
        <f t="shared" ref="F453:F510" si="7">SUMPRODUCT($A$2:$D$2,A453:D453)</f>
        <v>17.327557305545646</v>
      </c>
      <c r="G453" s="92"/>
    </row>
    <row r="454" spans="1:7">
      <c r="A454">
        <v>1</v>
      </c>
      <c r="B454">
        <v>6.4169999999999998</v>
      </c>
      <c r="C454">
        <v>20.2</v>
      </c>
      <c r="D454">
        <v>19.309999999999999</v>
      </c>
      <c r="E454">
        <v>13</v>
      </c>
      <c r="F454" s="99">
        <f t="shared" si="7"/>
        <v>17.700404252830005</v>
      </c>
      <c r="G454" s="92"/>
    </row>
    <row r="455" spans="1:7">
      <c r="A455">
        <v>1</v>
      </c>
      <c r="B455">
        <v>6.7489999999999997</v>
      </c>
      <c r="C455">
        <v>20.2</v>
      </c>
      <c r="D455">
        <v>17.440000000000001</v>
      </c>
      <c r="E455">
        <v>13.4</v>
      </c>
      <c r="F455" s="99">
        <f t="shared" si="7"/>
        <v>20.26880064251122</v>
      </c>
      <c r="G455" s="92"/>
    </row>
    <row r="456" spans="1:7">
      <c r="A456">
        <v>1</v>
      </c>
      <c r="B456">
        <v>6.6550000000000002</v>
      </c>
      <c r="C456">
        <v>20.2</v>
      </c>
      <c r="D456">
        <v>17.73</v>
      </c>
      <c r="E456">
        <v>15.2</v>
      </c>
      <c r="F456" s="99">
        <f t="shared" si="7"/>
        <v>19.678527424305916</v>
      </c>
      <c r="G456" s="92"/>
    </row>
    <row r="457" spans="1:7">
      <c r="A457">
        <v>1</v>
      </c>
      <c r="B457">
        <v>6.2969999999999997</v>
      </c>
      <c r="C457">
        <v>20.2</v>
      </c>
      <c r="D457">
        <v>17.27</v>
      </c>
      <c r="E457">
        <v>16.100000000000001</v>
      </c>
      <c r="F457" s="99">
        <f t="shared" si="7"/>
        <v>18.325037342827709</v>
      </c>
      <c r="G457" s="92"/>
    </row>
    <row r="458" spans="1:7">
      <c r="A458">
        <v>1</v>
      </c>
      <c r="B458">
        <v>7.3929999999999998</v>
      </c>
      <c r="C458">
        <v>20.2</v>
      </c>
      <c r="D458">
        <v>16.739999999999998</v>
      </c>
      <c r="E458">
        <v>17.8</v>
      </c>
      <c r="F458" s="99">
        <f t="shared" si="7"/>
        <v>23.576995711863809</v>
      </c>
      <c r="G458" s="92"/>
    </row>
    <row r="459" spans="1:7">
      <c r="A459">
        <v>1</v>
      </c>
      <c r="B459">
        <v>6.7279999999999998</v>
      </c>
      <c r="C459">
        <v>20.2</v>
      </c>
      <c r="D459">
        <v>18.71</v>
      </c>
      <c r="E459">
        <v>14.9</v>
      </c>
      <c r="F459" s="99">
        <f t="shared" si="7"/>
        <v>19.447783579092068</v>
      </c>
      <c r="G459" s="92"/>
    </row>
    <row r="460" spans="1:7">
      <c r="A460">
        <v>1</v>
      </c>
      <c r="B460">
        <v>6.5250000000000004</v>
      </c>
      <c r="C460">
        <v>20.2</v>
      </c>
      <c r="D460">
        <v>18.13</v>
      </c>
      <c r="E460">
        <v>14.1</v>
      </c>
      <c r="F460" s="99">
        <f t="shared" si="7"/>
        <v>18.862800426455898</v>
      </c>
      <c r="G460" s="92"/>
    </row>
    <row r="461" spans="1:7">
      <c r="A461">
        <v>1</v>
      </c>
      <c r="B461">
        <v>5.976</v>
      </c>
      <c r="C461">
        <v>20.2</v>
      </c>
      <c r="D461">
        <v>19.010000000000002</v>
      </c>
      <c r="E461">
        <v>12.7</v>
      </c>
      <c r="F461" s="99">
        <f t="shared" si="7"/>
        <v>15.880645322952333</v>
      </c>
      <c r="G461" s="92"/>
    </row>
    <row r="462" spans="1:7">
      <c r="A462">
        <v>1</v>
      </c>
      <c r="B462">
        <v>5.9359999999999999</v>
      </c>
      <c r="C462">
        <v>20.2</v>
      </c>
      <c r="D462">
        <v>16.940000000000001</v>
      </c>
      <c r="E462">
        <v>13.5</v>
      </c>
      <c r="F462" s="99">
        <f t="shared" si="7"/>
        <v>16.883666259094511</v>
      </c>
      <c r="G462" s="92"/>
    </row>
    <row r="463" spans="1:7">
      <c r="A463">
        <v>1</v>
      </c>
      <c r="B463">
        <v>6.3010000000000002</v>
      </c>
      <c r="C463">
        <v>20.2</v>
      </c>
      <c r="D463">
        <v>16.23</v>
      </c>
      <c r="E463">
        <v>14.9</v>
      </c>
      <c r="F463" s="99">
        <f t="shared" si="7"/>
        <v>18.937776941990656</v>
      </c>
      <c r="G463" s="92"/>
    </row>
    <row r="464" spans="1:7">
      <c r="A464">
        <v>1</v>
      </c>
      <c r="B464">
        <v>6.0810000000000004</v>
      </c>
      <c r="C464">
        <v>20.2</v>
      </c>
      <c r="D464">
        <v>14.7</v>
      </c>
      <c r="E464">
        <v>20</v>
      </c>
      <c r="F464" s="99">
        <f t="shared" si="7"/>
        <v>18.819247036787957</v>
      </c>
      <c r="G464" s="92"/>
    </row>
    <row r="465" spans="1:7">
      <c r="A465">
        <v>1</v>
      </c>
      <c r="B465">
        <v>6.7009999999999996</v>
      </c>
      <c r="C465">
        <v>20.2</v>
      </c>
      <c r="D465">
        <v>16.420000000000002</v>
      </c>
      <c r="E465">
        <v>16.399999999999999</v>
      </c>
      <c r="F465" s="99">
        <f t="shared" si="7"/>
        <v>20.63530223883631</v>
      </c>
      <c r="G465" s="92"/>
    </row>
    <row r="466" spans="1:7">
      <c r="A466">
        <v>1</v>
      </c>
      <c r="B466">
        <v>6.3760000000000003</v>
      </c>
      <c r="C466">
        <v>20.2</v>
      </c>
      <c r="D466">
        <v>14.65</v>
      </c>
      <c r="E466">
        <v>17.7</v>
      </c>
      <c r="F466" s="99">
        <f t="shared" si="7"/>
        <v>20.179886499618412</v>
      </c>
      <c r="G466" s="92"/>
    </row>
    <row r="467" spans="1:7">
      <c r="A467">
        <v>1</v>
      </c>
      <c r="B467">
        <v>6.3170000000000002</v>
      </c>
      <c r="C467">
        <v>20.2</v>
      </c>
      <c r="D467">
        <v>13.99</v>
      </c>
      <c r="E467">
        <v>19.5</v>
      </c>
      <c r="F467" s="99">
        <f t="shared" si="7"/>
        <v>20.29086841792698</v>
      </c>
      <c r="G467" s="92"/>
    </row>
    <row r="468" spans="1:7">
      <c r="A468">
        <v>1</v>
      </c>
      <c r="B468">
        <v>6.5129999999999999</v>
      </c>
      <c r="C468">
        <v>20.2</v>
      </c>
      <c r="D468">
        <v>10.29</v>
      </c>
      <c r="E468">
        <v>20.2</v>
      </c>
      <c r="F468" s="99">
        <f t="shared" si="7"/>
        <v>23.291571968050981</v>
      </c>
      <c r="G468" s="92"/>
    </row>
    <row r="469" spans="1:7">
      <c r="A469">
        <v>1</v>
      </c>
      <c r="B469">
        <v>6.2089999999999996</v>
      </c>
      <c r="C469">
        <v>20.2</v>
      </c>
      <c r="D469">
        <v>13.22</v>
      </c>
      <c r="E469">
        <v>21.4</v>
      </c>
      <c r="F469" s="99">
        <f t="shared" si="7"/>
        <v>20.243493335652694</v>
      </c>
      <c r="G469" s="92"/>
    </row>
    <row r="470" spans="1:7">
      <c r="A470">
        <v>1</v>
      </c>
      <c r="B470">
        <v>5.7590000000000003</v>
      </c>
      <c r="C470">
        <v>20.2</v>
      </c>
      <c r="D470">
        <v>14.13</v>
      </c>
      <c r="E470">
        <v>19.899999999999999</v>
      </c>
      <c r="F470" s="99">
        <f t="shared" si="7"/>
        <v>17.691210734954474</v>
      </c>
      <c r="G470" s="92"/>
    </row>
    <row r="471" spans="1:7">
      <c r="A471">
        <v>1</v>
      </c>
      <c r="B471">
        <v>5.952</v>
      </c>
      <c r="C471">
        <v>20.2</v>
      </c>
      <c r="D471">
        <v>17.149999999999999</v>
      </c>
      <c r="E471">
        <v>19</v>
      </c>
      <c r="F471" s="99">
        <f t="shared" si="7"/>
        <v>16.835833799742922</v>
      </c>
      <c r="G471" s="92"/>
    </row>
    <row r="472" spans="1:7">
      <c r="A472">
        <v>1</v>
      </c>
      <c r="B472">
        <v>6.0030000000000001</v>
      </c>
      <c r="C472">
        <v>20.2</v>
      </c>
      <c r="D472">
        <v>21.32</v>
      </c>
      <c r="E472">
        <v>19.100000000000001</v>
      </c>
      <c r="F472" s="99">
        <f t="shared" si="7"/>
        <v>14.681690549450632</v>
      </c>
      <c r="G472" s="92"/>
    </row>
    <row r="473" spans="1:7">
      <c r="A473">
        <v>1</v>
      </c>
      <c r="B473">
        <v>5.9260000000000002</v>
      </c>
      <c r="C473">
        <v>20.2</v>
      </c>
      <c r="D473">
        <v>18.13</v>
      </c>
      <c r="E473">
        <v>19.100000000000001</v>
      </c>
      <c r="F473" s="99">
        <f t="shared" si="7"/>
        <v>16.158063281087557</v>
      </c>
      <c r="G473" s="92"/>
    </row>
    <row r="474" spans="1:7">
      <c r="A474">
        <v>1</v>
      </c>
      <c r="B474">
        <v>5.7130000000000001</v>
      </c>
      <c r="C474">
        <v>20.2</v>
      </c>
      <c r="D474">
        <v>14.76</v>
      </c>
      <c r="E474">
        <v>20.100000000000001</v>
      </c>
      <c r="F474" s="99">
        <f t="shared" si="7"/>
        <v>17.123263788177454</v>
      </c>
      <c r="G474" s="92"/>
    </row>
    <row r="475" spans="1:7">
      <c r="A475">
        <v>1</v>
      </c>
      <c r="B475">
        <v>6.1669999999999998</v>
      </c>
      <c r="C475">
        <v>20.2</v>
      </c>
      <c r="D475">
        <v>16.29</v>
      </c>
      <c r="E475">
        <v>19.899999999999999</v>
      </c>
      <c r="F475" s="99">
        <f t="shared" si="7"/>
        <v>18.298402194241902</v>
      </c>
      <c r="G475" s="92"/>
    </row>
    <row r="476" spans="1:7">
      <c r="A476">
        <v>1</v>
      </c>
      <c r="B476">
        <v>6.2290000000000001</v>
      </c>
      <c r="C476">
        <v>20.2</v>
      </c>
      <c r="D476">
        <v>12.87</v>
      </c>
      <c r="E476">
        <v>19.600000000000001</v>
      </c>
      <c r="F476" s="99">
        <f t="shared" si="7"/>
        <v>20.533933745285189</v>
      </c>
      <c r="G476" s="92"/>
    </row>
    <row r="477" spans="1:7">
      <c r="A477">
        <v>1</v>
      </c>
      <c r="B477">
        <v>6.4370000000000003</v>
      </c>
      <c r="C477">
        <v>20.2</v>
      </c>
      <c r="D477">
        <v>14.36</v>
      </c>
      <c r="E477">
        <v>23.2</v>
      </c>
      <c r="F477" s="99">
        <f t="shared" si="7"/>
        <v>20.621150826676541</v>
      </c>
      <c r="G477" s="92"/>
    </row>
    <row r="478" spans="1:7">
      <c r="A478">
        <v>1</v>
      </c>
      <c r="B478">
        <v>6.98</v>
      </c>
      <c r="C478">
        <v>20.2</v>
      </c>
      <c r="D478">
        <v>11.66</v>
      </c>
      <c r="E478">
        <v>29.8</v>
      </c>
      <c r="F478" s="99">
        <f t="shared" si="7"/>
        <v>24.61689975644515</v>
      </c>
      <c r="G478" s="92"/>
    </row>
    <row r="479" spans="1:7">
      <c r="A479">
        <v>1</v>
      </c>
      <c r="B479">
        <v>5.4269999999999996</v>
      </c>
      <c r="C479">
        <v>20.2</v>
      </c>
      <c r="D479">
        <v>18.14</v>
      </c>
      <c r="E479">
        <v>13.8</v>
      </c>
      <c r="F479" s="99">
        <f t="shared" si="7"/>
        <v>13.89915017322585</v>
      </c>
      <c r="G479" s="92"/>
    </row>
    <row r="480" spans="1:7">
      <c r="A480">
        <v>1</v>
      </c>
      <c r="B480">
        <v>6.1619999999999999</v>
      </c>
      <c r="C480">
        <v>20.2</v>
      </c>
      <c r="D480">
        <v>24.1</v>
      </c>
      <c r="E480">
        <v>13.3</v>
      </c>
      <c r="F480" s="99">
        <f t="shared" si="7"/>
        <v>13.81002266723748</v>
      </c>
      <c r="G480" s="92"/>
    </row>
    <row r="481" spans="1:7">
      <c r="A481">
        <v>1</v>
      </c>
      <c r="B481">
        <v>6.484</v>
      </c>
      <c r="C481">
        <v>20.2</v>
      </c>
      <c r="D481">
        <v>18.68</v>
      </c>
      <c r="E481">
        <v>16.7</v>
      </c>
      <c r="F481" s="99">
        <f t="shared" si="7"/>
        <v>18.363175039427954</v>
      </c>
      <c r="G481" s="92"/>
    </row>
    <row r="482" spans="1:7">
      <c r="A482">
        <v>1</v>
      </c>
      <c r="B482">
        <v>5.3040000000000003</v>
      </c>
      <c r="C482">
        <v>20.2</v>
      </c>
      <c r="D482">
        <v>24.91</v>
      </c>
      <c r="E482">
        <v>12</v>
      </c>
      <c r="F482" s="99">
        <f t="shared" si="7"/>
        <v>9.4726288902342226</v>
      </c>
      <c r="G482" s="92"/>
    </row>
    <row r="483" spans="1:7">
      <c r="A483">
        <v>1</v>
      </c>
      <c r="B483">
        <v>6.1849999999999996</v>
      </c>
      <c r="C483">
        <v>20.2</v>
      </c>
      <c r="D483">
        <v>18.03</v>
      </c>
      <c r="E483">
        <v>14.6</v>
      </c>
      <c r="F483" s="99">
        <f t="shared" si="7"/>
        <v>17.38473787433291</v>
      </c>
      <c r="G483" s="92"/>
    </row>
    <row r="484" spans="1:7">
      <c r="A484">
        <v>1</v>
      </c>
      <c r="B484">
        <v>6.2290000000000001</v>
      </c>
      <c r="C484">
        <v>20.2</v>
      </c>
      <c r="D484">
        <v>13.11</v>
      </c>
      <c r="E484">
        <v>21.4</v>
      </c>
      <c r="F484" s="99">
        <f t="shared" si="7"/>
        <v>20.39670038019576</v>
      </c>
      <c r="G484" s="92"/>
    </row>
    <row r="485" spans="1:7">
      <c r="A485">
        <v>1</v>
      </c>
      <c r="B485">
        <v>6.242</v>
      </c>
      <c r="C485">
        <v>20.2</v>
      </c>
      <c r="D485">
        <v>10.74</v>
      </c>
      <c r="E485">
        <v>23</v>
      </c>
      <c r="F485" s="99">
        <f t="shared" si="7"/>
        <v>21.810580332723962</v>
      </c>
      <c r="G485" s="92"/>
    </row>
    <row r="486" spans="1:7">
      <c r="A486">
        <v>1</v>
      </c>
      <c r="B486">
        <v>6.75</v>
      </c>
      <c r="C486">
        <v>20.2</v>
      </c>
      <c r="D486">
        <v>7.74</v>
      </c>
      <c r="E486">
        <v>23.7</v>
      </c>
      <c r="F486" s="99">
        <f t="shared" si="7"/>
        <v>25.819831235819475</v>
      </c>
      <c r="G486" s="92"/>
    </row>
    <row r="487" spans="1:7">
      <c r="A487">
        <v>1</v>
      </c>
      <c r="B487">
        <v>7.0609999999999999</v>
      </c>
      <c r="C487">
        <v>20.2</v>
      </c>
      <c r="D487">
        <v>7.01</v>
      </c>
      <c r="E487">
        <v>25</v>
      </c>
      <c r="F487" s="99">
        <f t="shared" si="7"/>
        <v>27.641545301504976</v>
      </c>
      <c r="G487" s="92"/>
    </row>
    <row r="488" spans="1:7">
      <c r="A488">
        <v>1</v>
      </c>
      <c r="B488">
        <v>5.7619999999999996</v>
      </c>
      <c r="C488">
        <v>20.2</v>
      </c>
      <c r="D488">
        <v>10.42</v>
      </c>
      <c r="E488">
        <v>21.8</v>
      </c>
      <c r="F488" s="99">
        <f t="shared" si="7"/>
        <v>19.826156099793444</v>
      </c>
      <c r="G488" s="92"/>
    </row>
    <row r="489" spans="1:7">
      <c r="A489">
        <v>1</v>
      </c>
      <c r="B489">
        <v>5.8710000000000004</v>
      </c>
      <c r="C489">
        <v>20.2</v>
      </c>
      <c r="D489">
        <v>13.34</v>
      </c>
      <c r="E489">
        <v>20.6</v>
      </c>
      <c r="F489" s="99">
        <f t="shared" si="7"/>
        <v>18.648664374085449</v>
      </c>
      <c r="G489" s="92"/>
    </row>
    <row r="490" spans="1:7">
      <c r="A490">
        <v>1</v>
      </c>
      <c r="B490">
        <v>6.3120000000000003</v>
      </c>
      <c r="C490">
        <v>20.2</v>
      </c>
      <c r="D490">
        <v>10.58</v>
      </c>
      <c r="E490">
        <v>21.2</v>
      </c>
      <c r="F490" s="99">
        <f t="shared" si="7"/>
        <v>22.218148708853334</v>
      </c>
      <c r="G490" s="92"/>
    </row>
    <row r="491" spans="1:7">
      <c r="A491">
        <v>1</v>
      </c>
      <c r="B491">
        <v>6.1139999999999999</v>
      </c>
      <c r="C491">
        <v>20.2</v>
      </c>
      <c r="D491">
        <v>14.98</v>
      </c>
      <c r="E491">
        <v>19.100000000000001</v>
      </c>
      <c r="F491" s="99">
        <f t="shared" si="7"/>
        <v>18.808150335330794</v>
      </c>
      <c r="G491" s="92"/>
    </row>
    <row r="492" spans="1:7">
      <c r="A492">
        <v>1</v>
      </c>
      <c r="B492">
        <v>5.9050000000000002</v>
      </c>
      <c r="C492">
        <v>20.2</v>
      </c>
      <c r="D492">
        <v>11.45</v>
      </c>
      <c r="E492">
        <v>20.6</v>
      </c>
      <c r="F492" s="99">
        <f t="shared" si="7"/>
        <v>19.882901436255722</v>
      </c>
      <c r="G492" s="92"/>
    </row>
    <row r="493" spans="1:7">
      <c r="A493">
        <v>1</v>
      </c>
      <c r="B493">
        <v>5.4539999999999997</v>
      </c>
      <c r="C493">
        <v>20.100000000000001</v>
      </c>
      <c r="D493">
        <v>18.059999999999999</v>
      </c>
      <c r="E493">
        <v>15.2</v>
      </c>
      <c r="F493" s="99">
        <f t="shared" si="7"/>
        <v>14.159883249266755</v>
      </c>
      <c r="G493" s="92"/>
    </row>
    <row r="494" spans="1:7">
      <c r="A494">
        <v>1</v>
      </c>
      <c r="B494">
        <v>5.4139999999999997</v>
      </c>
      <c r="C494">
        <v>20.100000000000001</v>
      </c>
      <c r="D494">
        <v>23.97</v>
      </c>
      <c r="E494">
        <v>7</v>
      </c>
      <c r="F494" s="99">
        <f t="shared" si="7"/>
        <v>10.599894796185428</v>
      </c>
      <c r="G494" s="92"/>
    </row>
    <row r="495" spans="1:7">
      <c r="A495">
        <v>1</v>
      </c>
      <c r="B495">
        <v>5.093</v>
      </c>
      <c r="C495">
        <v>20.100000000000001</v>
      </c>
      <c r="D495">
        <v>29.68</v>
      </c>
      <c r="E495">
        <v>8.1</v>
      </c>
      <c r="F495" s="99">
        <f t="shared" si="7"/>
        <v>5.8854341954557547</v>
      </c>
      <c r="G495" s="92"/>
    </row>
    <row r="496" spans="1:7">
      <c r="A496">
        <v>1</v>
      </c>
      <c r="B496">
        <v>5.9829999999999997</v>
      </c>
      <c r="C496">
        <v>20.100000000000001</v>
      </c>
      <c r="D496">
        <v>18.07</v>
      </c>
      <c r="E496">
        <v>13.6</v>
      </c>
      <c r="F496" s="99">
        <f t="shared" si="7"/>
        <v>16.542822871686603</v>
      </c>
      <c r="G496" s="92"/>
    </row>
    <row r="497" spans="1:7">
      <c r="A497">
        <v>1</v>
      </c>
      <c r="B497">
        <v>5.9829999999999997</v>
      </c>
      <c r="C497">
        <v>20.100000000000001</v>
      </c>
      <c r="D497">
        <v>13.35</v>
      </c>
      <c r="E497">
        <v>20.100000000000001</v>
      </c>
      <c r="F497" s="99">
        <f t="shared" si="7"/>
        <v>19.241745718445365</v>
      </c>
      <c r="G497" s="92"/>
    </row>
    <row r="498" spans="1:7">
      <c r="A498">
        <v>1</v>
      </c>
      <c r="B498">
        <v>5.7069999999999999</v>
      </c>
      <c r="C498">
        <v>19.2</v>
      </c>
      <c r="D498">
        <v>12.01</v>
      </c>
      <c r="E498">
        <v>21.8</v>
      </c>
      <c r="F498" s="99">
        <f t="shared" si="7"/>
        <v>19.599359459434435</v>
      </c>
      <c r="G498" s="92"/>
    </row>
    <row r="499" spans="1:7">
      <c r="A499">
        <v>1</v>
      </c>
      <c r="B499">
        <v>5.9260000000000002</v>
      </c>
      <c r="C499">
        <v>19.2</v>
      </c>
      <c r="D499">
        <v>13.59</v>
      </c>
      <c r="E499">
        <v>24.5</v>
      </c>
      <c r="F499" s="99">
        <f t="shared" si="7"/>
        <v>19.684783659299658</v>
      </c>
      <c r="G499" s="92"/>
    </row>
    <row r="500" spans="1:7">
      <c r="A500">
        <v>1</v>
      </c>
      <c r="B500">
        <v>5.67</v>
      </c>
      <c r="C500">
        <v>19.2</v>
      </c>
      <c r="D500">
        <v>17.600000000000001</v>
      </c>
      <c r="E500">
        <v>23.1</v>
      </c>
      <c r="F500" s="99">
        <f t="shared" si="7"/>
        <v>16.23589508930392</v>
      </c>
      <c r="G500" s="92"/>
    </row>
    <row r="501" spans="1:7">
      <c r="A501">
        <v>1</v>
      </c>
      <c r="B501">
        <v>5.39</v>
      </c>
      <c r="C501">
        <v>19.2</v>
      </c>
      <c r="D501">
        <v>21.14</v>
      </c>
      <c r="E501">
        <v>19.7</v>
      </c>
      <c r="F501" s="99">
        <f t="shared" si="7"/>
        <v>12.947385089955821</v>
      </c>
      <c r="G501" s="92"/>
    </row>
    <row r="502" spans="1:7">
      <c r="A502">
        <v>1</v>
      </c>
      <c r="B502">
        <v>5.7939999999999996</v>
      </c>
      <c r="C502">
        <v>19.2</v>
      </c>
      <c r="D502">
        <v>14.1</v>
      </c>
      <c r="E502">
        <v>18.3</v>
      </c>
      <c r="F502" s="99">
        <f t="shared" si="7"/>
        <v>18.797127193895932</v>
      </c>
      <c r="G502" s="92"/>
    </row>
    <row r="503" spans="1:7">
      <c r="A503">
        <v>1</v>
      </c>
      <c r="B503">
        <v>6.0190000000000001</v>
      </c>
      <c r="C503">
        <v>19.2</v>
      </c>
      <c r="D503">
        <v>12.92</v>
      </c>
      <c r="E503">
        <v>21.2</v>
      </c>
      <c r="F503" s="99">
        <f t="shared" si="7"/>
        <v>20.487827617952696</v>
      </c>
      <c r="G503" s="92"/>
    </row>
    <row r="504" spans="1:7">
      <c r="A504">
        <v>1</v>
      </c>
      <c r="B504">
        <v>5.569</v>
      </c>
      <c r="C504">
        <v>19.2</v>
      </c>
      <c r="D504">
        <v>15.1</v>
      </c>
      <c r="E504">
        <v>17.5</v>
      </c>
      <c r="F504" s="99">
        <f t="shared" si="7"/>
        <v>17.209351793656246</v>
      </c>
      <c r="G504" s="92"/>
    </row>
    <row r="505" spans="1:7">
      <c r="A505">
        <v>1</v>
      </c>
      <c r="B505">
        <v>6.0270000000000001</v>
      </c>
      <c r="C505">
        <v>19.2</v>
      </c>
      <c r="D505">
        <v>14.33</v>
      </c>
      <c r="E505">
        <v>16.8</v>
      </c>
      <c r="F505" s="99">
        <f t="shared" si="7"/>
        <v>19.71770496560314</v>
      </c>
      <c r="G505" s="92"/>
    </row>
    <row r="506" spans="1:7">
      <c r="A506">
        <v>1</v>
      </c>
      <c r="B506">
        <v>6.593</v>
      </c>
      <c r="C506">
        <v>21</v>
      </c>
      <c r="D506">
        <v>9.67</v>
      </c>
      <c r="E506">
        <v>22.4</v>
      </c>
      <c r="F506" s="99">
        <f t="shared" si="7"/>
        <v>23.262747125823971</v>
      </c>
      <c r="G506" s="92"/>
    </row>
    <row r="507" spans="1:7">
      <c r="A507">
        <v>1</v>
      </c>
      <c r="B507">
        <v>6.12</v>
      </c>
      <c r="C507">
        <v>21</v>
      </c>
      <c r="D507">
        <v>9.08</v>
      </c>
      <c r="E507">
        <v>20.6</v>
      </c>
      <c r="F507" s="99">
        <f t="shared" si="7"/>
        <v>21.464318375226036</v>
      </c>
      <c r="G507" s="92"/>
    </row>
    <row r="508" spans="1:7">
      <c r="A508">
        <v>1</v>
      </c>
      <c r="B508">
        <v>6.976</v>
      </c>
      <c r="C508">
        <v>21</v>
      </c>
      <c r="D508">
        <v>5.64</v>
      </c>
      <c r="E508">
        <v>23.9</v>
      </c>
      <c r="F508" s="99">
        <f t="shared" si="7"/>
        <v>27.296530269446574</v>
      </c>
      <c r="G508" s="92"/>
    </row>
    <row r="509" spans="1:7">
      <c r="A509">
        <v>1</v>
      </c>
      <c r="B509">
        <v>6.7939999999999996</v>
      </c>
      <c r="C509">
        <v>21</v>
      </c>
      <c r="D509">
        <v>6.48</v>
      </c>
      <c r="E509">
        <v>22</v>
      </c>
      <c r="F509" s="99">
        <f t="shared" si="7"/>
        <v>25.994406879852203</v>
      </c>
      <c r="G509" s="92"/>
    </row>
    <row r="510" spans="1:7">
      <c r="A510">
        <v>1</v>
      </c>
      <c r="B510">
        <v>6.03</v>
      </c>
      <c r="C510">
        <v>21</v>
      </c>
      <c r="D510">
        <v>7.88</v>
      </c>
      <c r="E510">
        <v>11.9</v>
      </c>
      <c r="F510" s="99">
        <f t="shared" si="7"/>
        <v>21.744097315726346</v>
      </c>
      <c r="G510" s="92"/>
    </row>
  </sheetData>
  <mergeCells count="6">
    <mergeCell ref="J46:K46"/>
    <mergeCell ref="A3:D3"/>
    <mergeCell ref="H4:SS4"/>
    <mergeCell ref="H10:K10"/>
    <mergeCell ref="H16:K16"/>
    <mergeCell ref="J22:K22"/>
  </mergeCells>
  <phoneticPr fontId="1" type="noConversion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I31"/>
  <sheetViews>
    <sheetView zoomScale="79" zoomScaleNormal="79" workbookViewId="0">
      <selection activeCell="P17" sqref="P17"/>
    </sheetView>
  </sheetViews>
  <sheetFormatPr defaultColWidth="5.19921875" defaultRowHeight="17.399999999999999"/>
  <cols>
    <col min="1" max="1" width="9.19921875" style="9" bestFit="1" customWidth="1"/>
    <col min="2" max="7" width="6.796875" style="9" bestFit="1" customWidth="1"/>
    <col min="8" max="8" width="7.296875" style="9" bestFit="1" customWidth="1"/>
    <col min="9" max="10" width="6.796875" style="9" bestFit="1" customWidth="1"/>
    <col min="11" max="11" width="7.296875" style="9" bestFit="1" customWidth="1"/>
    <col min="12" max="12" width="12.5" style="9" bestFit="1" customWidth="1"/>
    <col min="13" max="14" width="6.796875" style="9" bestFit="1" customWidth="1"/>
    <col min="15" max="21" width="5.19921875" style="9"/>
    <col min="22" max="22" width="9.19921875" style="9" bestFit="1" customWidth="1"/>
    <col min="23" max="28" width="6.796875" style="9" bestFit="1" customWidth="1"/>
    <col min="29" max="29" width="7.296875" style="9" bestFit="1" customWidth="1"/>
    <col min="30" max="31" width="6.796875" style="9" bestFit="1" customWidth="1"/>
    <col min="32" max="33" width="7.296875" style="9" bestFit="1" customWidth="1"/>
    <col min="34" max="35" width="6.796875" style="9" bestFit="1" customWidth="1"/>
    <col min="36" max="16384" width="5.19921875" style="9"/>
  </cols>
  <sheetData>
    <row r="1" spans="1:35">
      <c r="A1" s="9" t="s">
        <v>583</v>
      </c>
      <c r="B1" s="9" t="s">
        <v>594</v>
      </c>
      <c r="C1" s="9" t="s">
        <v>597</v>
      </c>
      <c r="D1" s="9" t="s">
        <v>585</v>
      </c>
      <c r="E1" s="9" t="s">
        <v>599</v>
      </c>
      <c r="F1" s="9" t="s">
        <v>601</v>
      </c>
      <c r="G1" s="9" t="s">
        <v>587</v>
      </c>
      <c r="H1" s="9" t="s">
        <v>603</v>
      </c>
      <c r="I1" s="9" t="s">
        <v>589</v>
      </c>
      <c r="J1" s="9" t="s">
        <v>605</v>
      </c>
      <c r="K1" s="9" t="s">
        <v>607</v>
      </c>
      <c r="L1" s="10" t="s">
        <v>591</v>
      </c>
      <c r="M1" s="10"/>
      <c r="N1" s="10"/>
      <c r="AG1" s="10"/>
      <c r="AH1" s="10"/>
      <c r="AI1" s="10"/>
    </row>
    <row r="2" spans="1:35">
      <c r="A2" s="9">
        <v>0.99999999999999978</v>
      </c>
      <c r="B2" s="9">
        <v>-0.48372516002837296</v>
      </c>
      <c r="C2" s="9">
        <v>-0.42732077237328164</v>
      </c>
      <c r="D2" s="9">
        <v>0.69535994707153892</v>
      </c>
      <c r="E2" s="9">
        <v>-0.3769545650045959</v>
      </c>
      <c r="F2" s="9">
        <v>0.24992873408590391</v>
      </c>
      <c r="G2" s="9">
        <v>-0.38162623063977752</v>
      </c>
      <c r="H2" s="9">
        <v>-0.46853593356776635</v>
      </c>
      <c r="I2" s="9">
        <v>-0.50778668553756101</v>
      </c>
      <c r="J2" s="9">
        <v>0.33346081965706648</v>
      </c>
      <c r="K2" s="9">
        <v>-0.99999999999999978</v>
      </c>
      <c r="L2" s="10">
        <v>0.99999999999999978</v>
      </c>
      <c r="M2" s="10"/>
      <c r="N2" s="10"/>
      <c r="AG2" s="10"/>
      <c r="AH2" s="10"/>
      <c r="AI2" s="10"/>
    </row>
    <row r="3" spans="1:35">
      <c r="A3" s="9">
        <v>-0.48372516002837296</v>
      </c>
      <c r="B3" s="9">
        <v>1</v>
      </c>
      <c r="C3" s="9">
        <v>0.76365144692091447</v>
      </c>
      <c r="D3" s="9">
        <v>-0.39167585265684346</v>
      </c>
      <c r="E3" s="9">
        <v>0.64477851135525488</v>
      </c>
      <c r="F3" s="9">
        <v>-0.70802698874276826</v>
      </c>
      <c r="G3" s="9">
        <v>0.59512927460384857</v>
      </c>
      <c r="H3" s="9">
        <v>0.72076017995154407</v>
      </c>
      <c r="I3" s="9">
        <v>0.38324755642888669</v>
      </c>
      <c r="J3" s="9">
        <v>-0.35697653510419292</v>
      </c>
      <c r="K3" s="9">
        <v>0.48372516002837296</v>
      </c>
      <c r="L3" s="10">
        <v>-0.48372516002837296</v>
      </c>
      <c r="M3" s="10"/>
      <c r="N3" s="10"/>
      <c r="AG3" s="10"/>
      <c r="AH3" s="10"/>
      <c r="AI3" s="10"/>
    </row>
    <row r="4" spans="1:35">
      <c r="A4" s="9">
        <v>-0.42732077237328164</v>
      </c>
      <c r="B4" s="9">
        <v>0.76365144692091447</v>
      </c>
      <c r="C4" s="9">
        <v>1</v>
      </c>
      <c r="D4" s="9">
        <v>-0.30218818784959328</v>
      </c>
      <c r="E4" s="9">
        <v>0.73147010378595789</v>
      </c>
      <c r="F4" s="9">
        <v>-0.76923011322582613</v>
      </c>
      <c r="G4" s="9">
        <v>0.61144056348557552</v>
      </c>
      <c r="H4" s="9">
        <v>0.66802320040301999</v>
      </c>
      <c r="I4" s="9">
        <v>0.18893267711276665</v>
      </c>
      <c r="J4" s="9">
        <v>-0.38005063779240028</v>
      </c>
      <c r="K4" s="9">
        <v>0.42732077237328164</v>
      </c>
      <c r="L4" s="10">
        <v>-0.42732077237328164</v>
      </c>
      <c r="M4" s="10"/>
      <c r="N4" s="10"/>
      <c r="AG4" s="10"/>
      <c r="AH4" s="10"/>
      <c r="AI4" s="10"/>
    </row>
    <row r="5" spans="1:35">
      <c r="A5" s="9">
        <v>0.69535994707153892</v>
      </c>
      <c r="B5" s="9">
        <v>-0.39167585265684346</v>
      </c>
      <c r="C5" s="9">
        <v>-0.30218818784959328</v>
      </c>
      <c r="D5" s="9">
        <v>0.99999999999999989</v>
      </c>
      <c r="E5" s="9">
        <v>-0.24026493104775123</v>
      </c>
      <c r="F5" s="9">
        <v>0.20524621293005513</v>
      </c>
      <c r="G5" s="9">
        <v>-0.20984666776610875</v>
      </c>
      <c r="H5" s="9">
        <v>-0.29204783262321909</v>
      </c>
      <c r="I5" s="9">
        <v>-0.35550149455908486</v>
      </c>
      <c r="J5" s="9">
        <v>0.1280686350925431</v>
      </c>
      <c r="K5" s="9">
        <v>-0.69535994707153892</v>
      </c>
      <c r="L5" s="10">
        <v>0.69535994707153892</v>
      </c>
      <c r="M5" s="10"/>
      <c r="N5" s="10"/>
      <c r="AG5" s="10"/>
      <c r="AH5" s="10"/>
      <c r="AI5" s="10"/>
    </row>
    <row r="6" spans="1:35">
      <c r="A6" s="9">
        <v>-0.3769545650045959</v>
      </c>
      <c r="B6" s="9">
        <v>0.64477851135525488</v>
      </c>
      <c r="C6" s="9">
        <v>0.73147010378595789</v>
      </c>
      <c r="D6" s="9">
        <v>-0.24026493104775123</v>
      </c>
      <c r="E6" s="9">
        <v>1.0000000000000002</v>
      </c>
      <c r="F6" s="9">
        <v>-0.74788054086863165</v>
      </c>
      <c r="G6" s="9">
        <v>0.45602245175161338</v>
      </c>
      <c r="H6" s="9">
        <v>0.50645559355070491</v>
      </c>
      <c r="I6" s="9">
        <v>0.26151501167195718</v>
      </c>
      <c r="J6" s="9">
        <v>-0.27353397663851314</v>
      </c>
      <c r="K6" s="9">
        <v>0.3769545650045959</v>
      </c>
      <c r="L6" s="10">
        <v>-0.3769545650045959</v>
      </c>
      <c r="M6" s="10"/>
      <c r="N6" s="10"/>
      <c r="AG6" s="10"/>
      <c r="AH6" s="10"/>
      <c r="AI6" s="10"/>
    </row>
    <row r="7" spans="1:35">
      <c r="A7" s="9">
        <v>0.24992873408590391</v>
      </c>
      <c r="B7" s="9">
        <v>-0.70802698874276826</v>
      </c>
      <c r="C7" s="9">
        <v>-0.76923011322582613</v>
      </c>
      <c r="D7" s="9">
        <v>0.20524621293005513</v>
      </c>
      <c r="E7" s="9">
        <v>-0.74788054086863165</v>
      </c>
      <c r="F7" s="9">
        <v>0.99999999999999978</v>
      </c>
      <c r="G7" s="9">
        <v>-0.49458792967207543</v>
      </c>
      <c r="H7" s="9">
        <v>-0.53443158440845606</v>
      </c>
      <c r="I7" s="9">
        <v>-0.23247054240825624</v>
      </c>
      <c r="J7" s="9">
        <v>0.29151167313304011</v>
      </c>
      <c r="K7" s="9">
        <v>-0.24992873408590391</v>
      </c>
      <c r="L7" s="9">
        <v>0.24992873408590391</v>
      </c>
    </row>
    <row r="8" spans="1:35">
      <c r="A8" s="9">
        <v>-0.38162623063977752</v>
      </c>
      <c r="B8" s="9">
        <v>0.59512927460384857</v>
      </c>
      <c r="C8" s="9">
        <v>0.61144056348557552</v>
      </c>
      <c r="D8" s="9">
        <v>-0.20984666776610875</v>
      </c>
      <c r="E8" s="9">
        <v>0.45602245175161338</v>
      </c>
      <c r="F8" s="9">
        <v>-0.49458792967207543</v>
      </c>
      <c r="G8" s="9">
        <v>1.0000000000000002</v>
      </c>
      <c r="H8" s="9">
        <v>0.91022818853318221</v>
      </c>
      <c r="I8" s="9">
        <v>0.4647411785030543</v>
      </c>
      <c r="J8" s="9">
        <v>-0.44441281557512585</v>
      </c>
      <c r="K8" s="9">
        <v>0.38162623063977752</v>
      </c>
      <c r="L8" s="9">
        <v>-0.38162623063977752</v>
      </c>
    </row>
    <row r="9" spans="1:35">
      <c r="A9" s="9">
        <v>-0.46853593356776635</v>
      </c>
      <c r="B9" s="9">
        <v>0.72076017995154407</v>
      </c>
      <c r="C9" s="9">
        <v>0.66802320040301999</v>
      </c>
      <c r="D9" s="9">
        <v>-0.29204783262321909</v>
      </c>
      <c r="E9" s="9">
        <v>0.50645559355070491</v>
      </c>
      <c r="F9" s="9">
        <v>-0.53443158440845606</v>
      </c>
      <c r="G9" s="9">
        <v>0.91022818853318221</v>
      </c>
      <c r="H9" s="9">
        <v>0.99999999999999989</v>
      </c>
      <c r="I9" s="9">
        <v>0.46085303506566561</v>
      </c>
      <c r="J9" s="9">
        <v>-0.44180800672281384</v>
      </c>
      <c r="K9" s="9">
        <v>0.46853593356776635</v>
      </c>
      <c r="L9" s="9">
        <v>-0.46853593356776635</v>
      </c>
    </row>
    <row r="10" spans="1:35">
      <c r="A10" s="9">
        <v>-0.50778668553756101</v>
      </c>
      <c r="B10" s="9">
        <v>0.38324755642888669</v>
      </c>
      <c r="C10" s="9">
        <v>0.18893267711276665</v>
      </c>
      <c r="D10" s="9">
        <v>-0.35550149455908486</v>
      </c>
      <c r="E10" s="9">
        <v>0.26151501167195718</v>
      </c>
      <c r="F10" s="9">
        <v>-0.23247054240825624</v>
      </c>
      <c r="G10" s="9">
        <v>0.4647411785030543</v>
      </c>
      <c r="H10" s="9">
        <v>0.46085303506566561</v>
      </c>
      <c r="I10" s="9">
        <v>1</v>
      </c>
      <c r="J10" s="9">
        <v>-0.17738330230523142</v>
      </c>
      <c r="K10" s="9">
        <v>0.50778668553756101</v>
      </c>
      <c r="L10" s="9">
        <v>-0.50778668553756101</v>
      </c>
    </row>
    <row r="11" spans="1:35">
      <c r="A11" s="9">
        <v>0.33346081965706648</v>
      </c>
      <c r="B11" s="9">
        <v>-0.35697653510419292</v>
      </c>
      <c r="C11" s="9">
        <v>-0.38005063779240028</v>
      </c>
      <c r="D11" s="9">
        <v>0.1280686350925431</v>
      </c>
      <c r="E11" s="9">
        <v>-0.27353397663851314</v>
      </c>
      <c r="F11" s="9">
        <v>0.29151167313304011</v>
      </c>
      <c r="G11" s="9">
        <v>-0.44441281557512585</v>
      </c>
      <c r="H11" s="9">
        <v>-0.44180800672281384</v>
      </c>
      <c r="I11" s="9">
        <v>-0.17738330230523142</v>
      </c>
      <c r="J11" s="9">
        <v>1.0000000000000002</v>
      </c>
      <c r="K11" s="9">
        <v>-0.33346081965706648</v>
      </c>
      <c r="L11" s="9">
        <v>0.33346081965706648</v>
      </c>
    </row>
    <row r="12" spans="1:35">
      <c r="A12" s="9">
        <v>-0.99999999999999978</v>
      </c>
      <c r="B12" s="9">
        <v>0.48372516002837296</v>
      </c>
      <c r="C12" s="9">
        <v>0.42732077237328164</v>
      </c>
      <c r="D12" s="9">
        <v>-0.69535994707153892</v>
      </c>
      <c r="E12" s="9">
        <v>0.3769545650045959</v>
      </c>
      <c r="F12" s="9">
        <v>-0.24992873408590391</v>
      </c>
      <c r="G12" s="9">
        <v>0.38162623063977752</v>
      </c>
      <c r="H12" s="9">
        <v>0.46853593356776635</v>
      </c>
      <c r="I12" s="9">
        <v>0.50778668553756101</v>
      </c>
      <c r="J12" s="9">
        <v>-0.33346081965706648</v>
      </c>
      <c r="K12" s="9">
        <v>0.99999999999999978</v>
      </c>
      <c r="L12" s="9">
        <v>-0.99999999999999978</v>
      </c>
    </row>
    <row r="13" spans="1:35">
      <c r="A13" s="9">
        <v>0.99999999999999978</v>
      </c>
      <c r="B13" s="9">
        <v>-0.48372516002837296</v>
      </c>
      <c r="C13" s="9">
        <v>-0.42732077237328164</v>
      </c>
      <c r="D13" s="9">
        <v>0.69535994707153892</v>
      </c>
      <c r="E13" s="9">
        <v>-0.3769545650045959</v>
      </c>
      <c r="F13" s="9">
        <v>0.24992873408590391</v>
      </c>
      <c r="G13" s="9">
        <v>-0.38162623063977752</v>
      </c>
      <c r="H13" s="9">
        <v>-0.46853593356776635</v>
      </c>
      <c r="I13" s="9">
        <v>-0.50778668553756101</v>
      </c>
      <c r="J13" s="9">
        <v>0.33346081965706648</v>
      </c>
      <c r="K13" s="9">
        <v>-0.99999999999999978</v>
      </c>
      <c r="L13" s="9">
        <v>0.99999999999999978</v>
      </c>
    </row>
    <row r="15" spans="1:35">
      <c r="B15" s="9" t="s">
        <v>637</v>
      </c>
      <c r="C15" s="9" t="s">
        <v>638</v>
      </c>
      <c r="D15" s="9" t="s">
        <v>639</v>
      </c>
      <c r="E15" s="9" t="s">
        <v>640</v>
      </c>
      <c r="F15" s="9" t="s">
        <v>641</v>
      </c>
      <c r="G15" s="9" t="s">
        <v>642</v>
      </c>
      <c r="H15" s="9" t="s">
        <v>643</v>
      </c>
      <c r="I15" s="9" t="s">
        <v>644</v>
      </c>
      <c r="J15" s="9" t="s">
        <v>645</v>
      </c>
      <c r="K15" s="9" t="s">
        <v>646</v>
      </c>
      <c r="L15" s="9" t="s">
        <v>647</v>
      </c>
      <c r="M15" s="9" t="s">
        <v>648</v>
      </c>
    </row>
    <row r="16" spans="1:35">
      <c r="A16" s="9" t="s">
        <v>649</v>
      </c>
      <c r="B16" s="9">
        <v>6.3109089741493039</v>
      </c>
      <c r="C16" s="9">
        <v>2.1618148701071247</v>
      </c>
      <c r="D16" s="9">
        <v>1.0374234811527918</v>
      </c>
      <c r="E16" s="9">
        <v>0.81219636157409847</v>
      </c>
      <c r="F16" s="9">
        <v>0.53060612292387233</v>
      </c>
      <c r="G16" s="9">
        <v>0.41802607894825738</v>
      </c>
      <c r="H16" s="9">
        <v>0.28722052474142384</v>
      </c>
      <c r="I16" s="9">
        <v>0.21201429995108129</v>
      </c>
      <c r="J16" s="9">
        <v>0.16298214632657962</v>
      </c>
      <c r="K16" s="9">
        <v>6.6807140125465014E-2</v>
      </c>
      <c r="L16" s="9">
        <v>-7.8440251404925715E-21</v>
      </c>
      <c r="M16" s="9">
        <v>-1.1102230246251565E-16</v>
      </c>
    </row>
    <row r="18" spans="1:13">
      <c r="A18" s="9" t="s">
        <v>613</v>
      </c>
    </row>
    <row r="19" spans="1:13">
      <c r="B19" s="9" t="s">
        <v>612</v>
      </c>
      <c r="C19" s="9" t="s">
        <v>614</v>
      </c>
      <c r="D19" s="9" t="s">
        <v>615</v>
      </c>
      <c r="E19" s="9" t="s">
        <v>616</v>
      </c>
      <c r="F19" s="9" t="s">
        <v>617</v>
      </c>
      <c r="G19" s="9" t="s">
        <v>618</v>
      </c>
      <c r="H19" s="9" t="s">
        <v>619</v>
      </c>
      <c r="I19" s="9" t="s">
        <v>620</v>
      </c>
      <c r="J19" s="9" t="s">
        <v>621</v>
      </c>
      <c r="K19" s="9" t="s">
        <v>622</v>
      </c>
      <c r="L19" s="9" t="s">
        <v>623</v>
      </c>
      <c r="M19" s="9" t="s">
        <v>624</v>
      </c>
    </row>
    <row r="20" spans="1:13">
      <c r="A20" s="9" t="s">
        <v>625</v>
      </c>
      <c r="B20" s="9">
        <v>-0.32364369357146267</v>
      </c>
      <c r="C20" s="9">
        <v>-0.37168199281263758</v>
      </c>
      <c r="D20" s="9">
        <v>5.8350176315260259E-2</v>
      </c>
      <c r="E20" s="9">
        <v>9.9398275522941185E-2</v>
      </c>
      <c r="F20" s="9">
        <v>-1.9856470151864355E-2</v>
      </c>
      <c r="G20" s="9">
        <v>-0.24329885074708646</v>
      </c>
      <c r="H20" s="9">
        <v>-7.3782367525138587E-2</v>
      </c>
      <c r="I20" s="9">
        <v>7.8689977462410465E-2</v>
      </c>
      <c r="J20" s="9">
        <v>7.4212937959018316E-2</v>
      </c>
      <c r="K20" s="9">
        <v>2.0584175789570391E-2</v>
      </c>
      <c r="L20" s="9">
        <v>0.70710678114349157</v>
      </c>
      <c r="M20" s="9">
        <v>-0.40824829049530903</v>
      </c>
    </row>
    <row r="21" spans="1:13">
      <c r="A21" s="9" t="s">
        <v>626</v>
      </c>
      <c r="B21" s="9">
        <v>0.32555993004699213</v>
      </c>
      <c r="C21" s="9">
        <v>-0.20638733584759184</v>
      </c>
      <c r="D21" s="9">
        <v>-0.11900305352250098</v>
      </c>
      <c r="E21" s="9">
        <v>8.852852945077809E-2</v>
      </c>
      <c r="F21" s="9">
        <v>-0.10318675432762288</v>
      </c>
      <c r="G21" s="9">
        <v>-0.23574308248651082</v>
      </c>
      <c r="H21" s="9">
        <v>0.70532647108643876</v>
      </c>
      <c r="I21" s="9">
        <v>0.43087634293270172</v>
      </c>
      <c r="J21" s="9">
        <v>-0.12452023214794536</v>
      </c>
      <c r="K21" s="9">
        <v>-0.25406401385819494</v>
      </c>
      <c r="L21" s="9">
        <v>-1.147768963378939E-11</v>
      </c>
      <c r="M21" s="9">
        <v>0</v>
      </c>
    </row>
    <row r="22" spans="1:13">
      <c r="A22" s="9" t="s">
        <v>627</v>
      </c>
      <c r="B22" s="9">
        <v>0.31102160239849269</v>
      </c>
      <c r="C22" s="9">
        <v>-0.29260975282933094</v>
      </c>
      <c r="D22" s="9">
        <v>-0.23349703114027176</v>
      </c>
      <c r="E22" s="9">
        <v>-0.11199145208344317</v>
      </c>
      <c r="F22" s="9">
        <v>-0.16466822134841755</v>
      </c>
      <c r="G22" s="9">
        <v>0.10133552462886036</v>
      </c>
      <c r="H22" s="9">
        <v>6.4862830468328594E-2</v>
      </c>
      <c r="I22" s="9">
        <v>-0.23372274336522272</v>
      </c>
      <c r="J22" s="9">
        <v>0.80605830678993018</v>
      </c>
      <c r="K22" s="9">
        <v>6.8074469062318899E-2</v>
      </c>
      <c r="L22" s="9">
        <v>-1.096513757457335E-11</v>
      </c>
      <c r="M22" s="9">
        <v>0</v>
      </c>
    </row>
    <row r="23" spans="1:13">
      <c r="A23" s="9" t="s">
        <v>628</v>
      </c>
      <c r="B23" s="9">
        <v>-0.24074946413064277</v>
      </c>
      <c r="C23" s="9">
        <v>-0.3462800795657911</v>
      </c>
      <c r="D23" s="9">
        <v>0.24866985685243972</v>
      </c>
      <c r="E23" s="9">
        <v>-6.0385793232687515E-2</v>
      </c>
      <c r="F23" s="9">
        <v>0.33338418651098056</v>
      </c>
      <c r="G23" s="9">
        <v>0.70090544355642015</v>
      </c>
      <c r="H23" s="9">
        <v>0.3815456388997851</v>
      </c>
      <c r="I23" s="9">
        <v>-8.2038058275014772E-2</v>
      </c>
      <c r="J23" s="9">
        <v>-4.2874650473803518E-2</v>
      </c>
      <c r="K23" s="9">
        <v>-9.3621813976677917E-3</v>
      </c>
      <c r="L23" s="9">
        <v>8.4876773022827936E-12</v>
      </c>
      <c r="M23" s="9">
        <v>0</v>
      </c>
    </row>
    <row r="24" spans="1:13">
      <c r="A24" s="9" t="s">
        <v>629</v>
      </c>
      <c r="B24" s="9">
        <v>0.27629246803399282</v>
      </c>
      <c r="C24" s="9">
        <v>-0.26924919549008269</v>
      </c>
      <c r="D24" s="9">
        <v>-0.36329570002058287</v>
      </c>
      <c r="E24" s="9">
        <v>3.9113534593716803E-2</v>
      </c>
      <c r="F24" s="9">
        <v>0.36208628122129843</v>
      </c>
      <c r="G24" s="9">
        <v>0.24324862061452476</v>
      </c>
      <c r="H24" s="9">
        <v>-0.48178187795334393</v>
      </c>
      <c r="I24" s="9">
        <v>0.53943546080177218</v>
      </c>
      <c r="J24" s="9">
        <v>-6.4990282141750289E-2</v>
      </c>
      <c r="K24" s="9">
        <v>-7.0150585667846967E-3</v>
      </c>
      <c r="L24" s="9">
        <v>-9.7407540165956753E-12</v>
      </c>
      <c r="M24" s="9">
        <v>0</v>
      </c>
    </row>
    <row r="25" spans="1:13">
      <c r="A25" s="9" t="s">
        <v>630</v>
      </c>
      <c r="B25" s="9">
        <v>-0.2627126702385485</v>
      </c>
      <c r="C25" s="9">
        <v>0.37320592487795573</v>
      </c>
      <c r="D25" s="9">
        <v>0.31382786481874736</v>
      </c>
      <c r="E25" s="9">
        <v>-6.6146987360317586E-2</v>
      </c>
      <c r="F25" s="9">
        <v>-0.21346916585774556</v>
      </c>
      <c r="G25" s="9">
        <v>0.1854953025769609</v>
      </c>
      <c r="H25" s="9">
        <v>-1.0276607320485914E-2</v>
      </c>
      <c r="I25" s="9">
        <v>0.64007156349682737</v>
      </c>
      <c r="J25" s="9">
        <v>0.44272569139500112</v>
      </c>
      <c r="K25" s="9">
        <v>-5.5273799688341473E-2</v>
      </c>
      <c r="L25" s="9">
        <v>9.2619951461068247E-12</v>
      </c>
      <c r="M25" s="9">
        <v>0</v>
      </c>
    </row>
    <row r="26" spans="1:13">
      <c r="A26" s="9" t="s">
        <v>631</v>
      </c>
      <c r="B26" s="9">
        <v>0.29141972500570429</v>
      </c>
      <c r="C26" s="9">
        <v>-0.2265353019177074</v>
      </c>
      <c r="D26" s="9">
        <v>0.4599578123892219</v>
      </c>
      <c r="E26" s="9">
        <v>0.1340947330894634</v>
      </c>
      <c r="F26" s="9">
        <v>-0.31546089321698911</v>
      </c>
      <c r="G26" s="9">
        <v>0.13254589375459574</v>
      </c>
      <c r="H26" s="9">
        <v>-0.31591702729940785</v>
      </c>
      <c r="I26" s="9">
        <v>-0.10995639071532663</v>
      </c>
      <c r="J26" s="9">
        <v>-7.701355127941921E-2</v>
      </c>
      <c r="K26" s="9">
        <v>-0.63190558002321084</v>
      </c>
      <c r="L26" s="9">
        <v>-1.0274068913508264E-11</v>
      </c>
      <c r="M26" s="9">
        <v>0</v>
      </c>
    </row>
    <row r="27" spans="1:13">
      <c r="A27" s="9" t="s">
        <v>632</v>
      </c>
      <c r="B27" s="9">
        <v>0.32126448337449409</v>
      </c>
      <c r="C27" s="9">
        <v>-0.20043612460813703</v>
      </c>
      <c r="D27" s="9">
        <v>0.35750283767209762</v>
      </c>
      <c r="E27" s="9">
        <v>0.1176935575236594</v>
      </c>
      <c r="F27" s="9">
        <v>-0.36275637637637975</v>
      </c>
      <c r="G27" s="9">
        <v>9.7362132631685805E-2</v>
      </c>
      <c r="H27" s="9">
        <v>-3.1349686609568911E-2</v>
      </c>
      <c r="I27" s="9">
        <v>0.12634042156118977</v>
      </c>
      <c r="J27" s="9">
        <v>-0.18505850182200076</v>
      </c>
      <c r="K27" s="9">
        <v>0.72297407402224423</v>
      </c>
      <c r="L27" s="9">
        <v>-1.1326252681034456E-11</v>
      </c>
      <c r="M27" s="9">
        <v>0</v>
      </c>
    </row>
    <row r="28" spans="1:13">
      <c r="A28" s="9" t="s">
        <v>633</v>
      </c>
      <c r="B28" s="9">
        <v>0.22861226207905089</v>
      </c>
      <c r="C28" s="9">
        <v>0.15745595059547157</v>
      </c>
      <c r="D28" s="9">
        <v>0.36493587229385588</v>
      </c>
      <c r="E28" s="9">
        <v>0.58083612361757875</v>
      </c>
      <c r="F28" s="9">
        <v>0.57062620680829979</v>
      </c>
      <c r="G28" s="9">
        <v>-0.2073076875165889</v>
      </c>
      <c r="H28" s="9">
        <v>4.5033172580944789E-2</v>
      </c>
      <c r="I28" s="9">
        <v>-5.0277371679863042E-2</v>
      </c>
      <c r="J28" s="9">
        <v>0.27453197046375166</v>
      </c>
      <c r="K28" s="9">
        <v>6.2296991266423712E-2</v>
      </c>
      <c r="L28" s="9">
        <v>-8.0597774739757428E-12</v>
      </c>
      <c r="M28" s="9">
        <v>0</v>
      </c>
    </row>
    <row r="29" spans="1:13">
      <c r="A29" s="9" t="s">
        <v>634</v>
      </c>
      <c r="B29" s="9">
        <v>-0.19830507652346854</v>
      </c>
      <c r="C29" s="9">
        <v>9.6790207615541565E-2</v>
      </c>
      <c r="D29" s="9">
        <v>-0.39528107641145316</v>
      </c>
      <c r="E29" s="9">
        <v>0.75579431900066696</v>
      </c>
      <c r="F29" s="9">
        <v>-0.34133769950756376</v>
      </c>
      <c r="G29" s="9">
        <v>0.31890782770178372</v>
      </c>
      <c r="H29" s="9">
        <v>3.6946588089111061E-2</v>
      </c>
      <c r="I29" s="9">
        <v>-5.6127790112108181E-2</v>
      </c>
      <c r="J29" s="9">
        <v>-2.5069665544488182E-2</v>
      </c>
      <c r="K29" s="9">
        <v>-2.1842054223179974E-2</v>
      </c>
      <c r="L29" s="9">
        <v>6.9912907304430587E-12</v>
      </c>
      <c r="M29" s="9">
        <v>0</v>
      </c>
    </row>
    <row r="30" spans="1:13">
      <c r="A30" s="9" t="s">
        <v>635</v>
      </c>
      <c r="B30" s="9">
        <v>0.32364369357146278</v>
      </c>
      <c r="C30" s="9">
        <v>0.37168199275537878</v>
      </c>
      <c r="D30" s="9">
        <v>-5.8350176306271227E-2</v>
      </c>
      <c r="E30" s="9">
        <v>-9.9398275507628517E-2</v>
      </c>
      <c r="F30" s="9">
        <v>1.9856470148805427E-2</v>
      </c>
      <c r="G30" s="9">
        <v>0.24329885070960547</v>
      </c>
      <c r="H30" s="9">
        <v>7.3782367513772137E-2</v>
      </c>
      <c r="I30" s="9">
        <v>-7.8689977450288037E-2</v>
      </c>
      <c r="J30" s="9">
        <v>-7.4212937947585544E-2</v>
      </c>
      <c r="K30" s="9">
        <v>-2.0584175786399331E-2</v>
      </c>
      <c r="L30" s="9">
        <v>0.70710678122960358</v>
      </c>
      <c r="M30" s="9">
        <v>0.408248290432417</v>
      </c>
    </row>
    <row r="31" spans="1:13">
      <c r="A31" s="9" t="s">
        <v>636</v>
      </c>
      <c r="B31" s="9">
        <v>-0.32364369357146267</v>
      </c>
      <c r="C31" s="9">
        <v>-0.37168199278400832</v>
      </c>
      <c r="D31" s="9">
        <v>5.8350176310765674E-2</v>
      </c>
      <c r="E31" s="9">
        <v>9.9398275515284795E-2</v>
      </c>
      <c r="F31" s="9">
        <v>-1.985647015033486E-2</v>
      </c>
      <c r="G31" s="9">
        <v>-0.24329885072834592</v>
      </c>
      <c r="H31" s="9">
        <v>-7.3782367519455341E-2</v>
      </c>
      <c r="I31" s="9">
        <v>7.8689977456349203E-2</v>
      </c>
      <c r="J31" s="9">
        <v>7.4212937953301888E-2</v>
      </c>
      <c r="K31" s="9">
        <v>2.0584175787984875E-2</v>
      </c>
      <c r="L31" s="9">
        <v>1.1410132279517017E-11</v>
      </c>
      <c r="M31" s="9">
        <v>0.81649658092772603</v>
      </c>
    </row>
  </sheetData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input_Click">
                <anchor moveWithCells="1">
                  <from>
                    <xdr:col>13</xdr:col>
                    <xdr:colOff>320040</xdr:colOff>
                    <xdr:row>0</xdr:row>
                    <xdr:rowOff>114300</xdr:rowOff>
                  </from>
                  <to>
                    <xdr:col>18</xdr:col>
                    <xdr:colOff>152400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기초통계량</vt:lpstr>
      <vt:lpstr>정규분포와 시그마</vt:lpstr>
      <vt:lpstr>데이터 표준화</vt:lpstr>
      <vt:lpstr>공분산</vt:lpstr>
      <vt:lpstr>상관계수</vt:lpstr>
      <vt:lpstr>행렬</vt:lpstr>
      <vt:lpstr>주성분분석</vt:lpstr>
      <vt:lpstr>MTS</vt:lpstr>
      <vt:lpstr>MTS (상관행렬)</vt:lpstr>
      <vt:lpstr>단순회귀분석</vt:lpstr>
      <vt:lpstr>다중회귀분석</vt:lpstr>
      <vt:lpstr>PCR</vt:lpstr>
      <vt:lpstr>PLS</vt:lpstr>
      <vt:lpstr>마할라노비스거리계산</vt:lpstr>
      <vt:lpstr>보스턴주택가격</vt:lpstr>
      <vt:lpstr>보스턴주택가격_회귀</vt:lpstr>
      <vt:lpstr>보스턴주택가격_PCA</vt:lpstr>
      <vt:lpstr>보스턴주택가격_PCA_회귀</vt:lpstr>
      <vt:lpstr>고유값고유벡터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mingk</dc:creator>
  <cp:lastModifiedBy>mingk</cp:lastModifiedBy>
  <dcterms:created xsi:type="dcterms:W3CDTF">2017-12-14T10:12:00Z</dcterms:created>
  <dcterms:modified xsi:type="dcterms:W3CDTF">2019-12-14T08:21:56Z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94384b61-fbdd-41b0-84d0-5b29db546db7</vt:lpwstr>
  </property>
</Properties>
</file>